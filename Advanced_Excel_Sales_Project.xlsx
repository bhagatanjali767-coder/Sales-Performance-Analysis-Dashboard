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evendra\Projects\Excel Project\"/>
    </mc:Choice>
  </mc:AlternateContent>
  <xr:revisionPtr revIDLastSave="0" documentId="8_{D116C596-175A-4A24-982C-C8DF01CDEE53}" xr6:coauthVersionLast="47" xr6:coauthVersionMax="47" xr10:uidLastSave="{00000000-0000-0000-0000-000000000000}"/>
  <bookViews>
    <workbookView xWindow="-108" yWindow="-108" windowWidth="23256" windowHeight="13176" firstSheet="3" activeTab="4" xr2:uid="{00000000-000D-0000-FFFF-FFFF00000000}"/>
  </bookViews>
  <sheets>
    <sheet name="Pivot_Region" sheetId="4" r:id="rId1"/>
    <sheet name="Pivot_Monthly" sheetId="5" r:id="rId2"/>
    <sheet name="Pivot_Top_Products" sheetId="6" r:id="rId3"/>
    <sheet name="Pivot_Salesperson" sheetId="7" r:id="rId4"/>
    <sheet name="Dashboard" sheetId="8" r:id="rId5"/>
    <sheet name="Cleaned_Data" sheetId="3" r:id="rId6"/>
    <sheet name="Raw_Data" sheetId="1" r:id="rId7"/>
    <sheet name="Lookup_Tables" sheetId="2" r:id="rId8"/>
  </sheets>
  <definedNames>
    <definedName name="Category" localSheetId="7">Lookup_Tables!$B$2:$B$7</definedName>
    <definedName name="Category">Cleaned_Data!$H$2:$H$1001</definedName>
    <definedName name="Category_Fetched">Cleaned_Data!$G$2:$G$1001</definedName>
    <definedName name="Cost">Lookup_Tables!$C$2:$C$7</definedName>
    <definedName name="Cost_Price">Cleaned_Data!$M$2:$M$1001</definedName>
    <definedName name="Discount">Cleaned_Data!$K$2:$K$1001</definedName>
    <definedName name="Discount_Fixed">Cleaned_Data!$L$2:$L$1001</definedName>
    <definedName name="Order_Date">Cleaned_Data!$B$2:$B$1001</definedName>
    <definedName name="Order_ID">Cleaned_Data!$A$2:$A$1001</definedName>
    <definedName name="Product" localSheetId="7">Lookup_Tables!$A$2:$A$7</definedName>
    <definedName name="Product">Cleaned_Data!$F$2:$F$1001</definedName>
    <definedName name="Quantity">Cleaned_Data!$I$2:$I$1001</definedName>
    <definedName name="Region" localSheetId="7">Lookup_Tables!$A$10:$A$13</definedName>
    <definedName name="Region">Cleaned_Data!$C$2:$C$1001</definedName>
    <definedName name="Salesperson">Cleaned_Data!$E$2:$E$1001</definedName>
    <definedName name="Slicer_Category_Fetched">#N/A</definedName>
    <definedName name="Slicer_Region">#N/A</definedName>
    <definedName name="Slicer_Salesperson">#N/A</definedName>
    <definedName name="State">Cleaned_Data!$D$2:$D$1001</definedName>
    <definedName name="Target">Lookup_Tables!$B$10:$B$13</definedName>
    <definedName name="Unit_Price">Cleaned_Data!$J$2:$J$1001</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 i="3" l="1"/>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2" i="3"/>
  <c r="C9" i="4"/>
  <c r="B9" i="4"/>
  <c r="B12" i="4" l="1"/>
  <c r="O2" i="3"/>
  <c r="Q2" i="3" s="1"/>
  <c r="R2" i="3" s="1"/>
  <c r="O1001" i="3"/>
  <c r="Q1001" i="3" s="1"/>
  <c r="R1001" i="3" s="1"/>
  <c r="O1000" i="3"/>
  <c r="Q1000" i="3" s="1"/>
  <c r="R1000" i="3" s="1"/>
  <c r="O999" i="3"/>
  <c r="Q999" i="3" s="1"/>
  <c r="R999" i="3" s="1"/>
  <c r="O998" i="3"/>
  <c r="Q998" i="3" s="1"/>
  <c r="R998" i="3" s="1"/>
  <c r="O997" i="3"/>
  <c r="Q997" i="3" s="1"/>
  <c r="R997" i="3" s="1"/>
  <c r="O996" i="3"/>
  <c r="Q996" i="3" s="1"/>
  <c r="R996" i="3" s="1"/>
  <c r="O995" i="3"/>
  <c r="Q995" i="3" s="1"/>
  <c r="R995" i="3" s="1"/>
  <c r="O994" i="3"/>
  <c r="Q994" i="3" s="1"/>
  <c r="R994" i="3" s="1"/>
  <c r="O993" i="3"/>
  <c r="Q993" i="3" s="1"/>
  <c r="R993" i="3" s="1"/>
  <c r="O992" i="3"/>
  <c r="Q992" i="3" s="1"/>
  <c r="R992" i="3" s="1"/>
  <c r="O991" i="3"/>
  <c r="Q991" i="3" s="1"/>
  <c r="R991" i="3" s="1"/>
  <c r="O990" i="3"/>
  <c r="Q990" i="3" s="1"/>
  <c r="R990" i="3" s="1"/>
  <c r="O989" i="3"/>
  <c r="Q989" i="3" s="1"/>
  <c r="R989" i="3" s="1"/>
  <c r="O988" i="3"/>
  <c r="Q988" i="3" s="1"/>
  <c r="R988" i="3" s="1"/>
  <c r="O987" i="3"/>
  <c r="Q987" i="3" s="1"/>
  <c r="R987" i="3" s="1"/>
  <c r="O986" i="3"/>
  <c r="Q986" i="3" s="1"/>
  <c r="R986" i="3" s="1"/>
  <c r="O985" i="3"/>
  <c r="Q985" i="3" s="1"/>
  <c r="R985" i="3" s="1"/>
  <c r="O984" i="3"/>
  <c r="Q984" i="3" s="1"/>
  <c r="R984" i="3" s="1"/>
  <c r="O983" i="3"/>
  <c r="Q983" i="3" s="1"/>
  <c r="R983" i="3" s="1"/>
  <c r="O982" i="3"/>
  <c r="Q982" i="3" s="1"/>
  <c r="R982" i="3" s="1"/>
  <c r="O981" i="3"/>
  <c r="Q981" i="3" s="1"/>
  <c r="R981" i="3" s="1"/>
  <c r="O980" i="3"/>
  <c r="Q980" i="3" s="1"/>
  <c r="R980" i="3" s="1"/>
  <c r="O979" i="3"/>
  <c r="Q979" i="3" s="1"/>
  <c r="R979" i="3" s="1"/>
  <c r="O978" i="3"/>
  <c r="Q978" i="3" s="1"/>
  <c r="R978" i="3" s="1"/>
  <c r="O977" i="3"/>
  <c r="Q977" i="3" s="1"/>
  <c r="R977" i="3" s="1"/>
  <c r="O976" i="3"/>
  <c r="Q976" i="3" s="1"/>
  <c r="R976" i="3" s="1"/>
  <c r="O975" i="3"/>
  <c r="Q975" i="3" s="1"/>
  <c r="R975" i="3" s="1"/>
  <c r="O974" i="3"/>
  <c r="Q974" i="3" s="1"/>
  <c r="R974" i="3" s="1"/>
  <c r="O973" i="3"/>
  <c r="Q973" i="3" s="1"/>
  <c r="R973" i="3" s="1"/>
  <c r="O972" i="3"/>
  <c r="Q972" i="3" s="1"/>
  <c r="R972" i="3" s="1"/>
  <c r="O971" i="3"/>
  <c r="Q971" i="3" s="1"/>
  <c r="R971" i="3" s="1"/>
  <c r="O970" i="3"/>
  <c r="Q970" i="3" s="1"/>
  <c r="R970" i="3" s="1"/>
  <c r="O969" i="3"/>
  <c r="Q969" i="3" s="1"/>
  <c r="R969" i="3" s="1"/>
  <c r="O968" i="3"/>
  <c r="Q968" i="3" s="1"/>
  <c r="R968" i="3" s="1"/>
  <c r="O967" i="3"/>
  <c r="Q967" i="3" s="1"/>
  <c r="R967" i="3" s="1"/>
  <c r="O966" i="3"/>
  <c r="Q966" i="3" s="1"/>
  <c r="R966" i="3" s="1"/>
  <c r="O965" i="3"/>
  <c r="Q965" i="3" s="1"/>
  <c r="R965" i="3" s="1"/>
  <c r="O964" i="3"/>
  <c r="Q964" i="3" s="1"/>
  <c r="R964" i="3" s="1"/>
  <c r="O963" i="3"/>
  <c r="Q963" i="3" s="1"/>
  <c r="R963" i="3" s="1"/>
  <c r="O962" i="3"/>
  <c r="Q962" i="3" s="1"/>
  <c r="R962" i="3" s="1"/>
  <c r="O961" i="3"/>
  <c r="Q961" i="3" s="1"/>
  <c r="R961" i="3" s="1"/>
  <c r="O960" i="3"/>
  <c r="Q960" i="3" s="1"/>
  <c r="R960" i="3" s="1"/>
  <c r="O959" i="3"/>
  <c r="Q959" i="3" s="1"/>
  <c r="R959" i="3" s="1"/>
  <c r="O958" i="3"/>
  <c r="Q958" i="3" s="1"/>
  <c r="R958" i="3" s="1"/>
  <c r="O957" i="3"/>
  <c r="Q957" i="3" s="1"/>
  <c r="R957" i="3" s="1"/>
  <c r="O956" i="3"/>
  <c r="Q956" i="3" s="1"/>
  <c r="R956" i="3" s="1"/>
  <c r="O955" i="3"/>
  <c r="Q955" i="3" s="1"/>
  <c r="R955" i="3" s="1"/>
  <c r="O954" i="3"/>
  <c r="Q954" i="3" s="1"/>
  <c r="R954" i="3" s="1"/>
  <c r="O953" i="3"/>
  <c r="Q953" i="3" s="1"/>
  <c r="R953" i="3" s="1"/>
  <c r="O952" i="3"/>
  <c r="Q952" i="3" s="1"/>
  <c r="R952" i="3" s="1"/>
  <c r="O951" i="3"/>
  <c r="Q951" i="3" s="1"/>
  <c r="R951" i="3" s="1"/>
  <c r="O950" i="3"/>
  <c r="Q950" i="3" s="1"/>
  <c r="R950" i="3" s="1"/>
  <c r="O949" i="3"/>
  <c r="Q949" i="3" s="1"/>
  <c r="R949" i="3" s="1"/>
  <c r="O948" i="3"/>
  <c r="Q948" i="3" s="1"/>
  <c r="R948" i="3" s="1"/>
  <c r="O947" i="3"/>
  <c r="Q947" i="3" s="1"/>
  <c r="R947" i="3" s="1"/>
  <c r="O946" i="3"/>
  <c r="Q946" i="3" s="1"/>
  <c r="R946" i="3" s="1"/>
  <c r="O945" i="3"/>
  <c r="Q945" i="3" s="1"/>
  <c r="R945" i="3" s="1"/>
  <c r="O944" i="3"/>
  <c r="Q944" i="3" s="1"/>
  <c r="R944" i="3" s="1"/>
  <c r="O943" i="3"/>
  <c r="Q943" i="3" s="1"/>
  <c r="R943" i="3" s="1"/>
  <c r="O942" i="3"/>
  <c r="Q942" i="3" s="1"/>
  <c r="R942" i="3" s="1"/>
  <c r="O941" i="3"/>
  <c r="Q941" i="3" s="1"/>
  <c r="R941" i="3" s="1"/>
  <c r="O940" i="3"/>
  <c r="Q940" i="3" s="1"/>
  <c r="R940" i="3" s="1"/>
  <c r="O939" i="3"/>
  <c r="Q939" i="3" s="1"/>
  <c r="R939" i="3" s="1"/>
  <c r="O938" i="3"/>
  <c r="Q938" i="3" s="1"/>
  <c r="R938" i="3" s="1"/>
  <c r="O937" i="3"/>
  <c r="Q937" i="3" s="1"/>
  <c r="R937" i="3" s="1"/>
  <c r="O936" i="3"/>
  <c r="Q936" i="3" s="1"/>
  <c r="R936" i="3" s="1"/>
  <c r="O935" i="3"/>
  <c r="Q935" i="3" s="1"/>
  <c r="R935" i="3" s="1"/>
  <c r="O934" i="3"/>
  <c r="Q934" i="3" s="1"/>
  <c r="R934" i="3" s="1"/>
  <c r="O933" i="3"/>
  <c r="Q933" i="3" s="1"/>
  <c r="R933" i="3" s="1"/>
  <c r="O932" i="3"/>
  <c r="Q932" i="3" s="1"/>
  <c r="R932" i="3" s="1"/>
  <c r="O931" i="3"/>
  <c r="Q931" i="3" s="1"/>
  <c r="R931" i="3" s="1"/>
  <c r="O930" i="3"/>
  <c r="Q930" i="3" s="1"/>
  <c r="R930" i="3" s="1"/>
  <c r="O929" i="3"/>
  <c r="Q929" i="3" s="1"/>
  <c r="R929" i="3" s="1"/>
  <c r="O928" i="3"/>
  <c r="Q928" i="3" s="1"/>
  <c r="R928" i="3" s="1"/>
  <c r="O927" i="3"/>
  <c r="Q927" i="3" s="1"/>
  <c r="R927" i="3" s="1"/>
  <c r="O926" i="3"/>
  <c r="Q926" i="3" s="1"/>
  <c r="R926" i="3" s="1"/>
  <c r="O925" i="3"/>
  <c r="Q925" i="3" s="1"/>
  <c r="R925" i="3" s="1"/>
  <c r="O924" i="3"/>
  <c r="Q924" i="3" s="1"/>
  <c r="R924" i="3" s="1"/>
  <c r="O923" i="3"/>
  <c r="Q923" i="3" s="1"/>
  <c r="R923" i="3" s="1"/>
  <c r="O922" i="3"/>
  <c r="Q922" i="3" s="1"/>
  <c r="R922" i="3" s="1"/>
  <c r="O921" i="3"/>
  <c r="Q921" i="3" s="1"/>
  <c r="R921" i="3" s="1"/>
  <c r="O920" i="3"/>
  <c r="Q920" i="3" s="1"/>
  <c r="R920" i="3" s="1"/>
  <c r="O919" i="3"/>
  <c r="Q919" i="3" s="1"/>
  <c r="R919" i="3" s="1"/>
  <c r="O918" i="3"/>
  <c r="Q918" i="3" s="1"/>
  <c r="R918" i="3" s="1"/>
  <c r="O917" i="3"/>
  <c r="Q917" i="3" s="1"/>
  <c r="R917" i="3" s="1"/>
  <c r="O916" i="3"/>
  <c r="Q916" i="3" s="1"/>
  <c r="R916" i="3" s="1"/>
  <c r="O915" i="3"/>
  <c r="Q915" i="3" s="1"/>
  <c r="R915" i="3" s="1"/>
  <c r="O914" i="3"/>
  <c r="Q914" i="3" s="1"/>
  <c r="R914" i="3" s="1"/>
  <c r="O913" i="3"/>
  <c r="Q913" i="3" s="1"/>
  <c r="R913" i="3" s="1"/>
  <c r="O912" i="3"/>
  <c r="Q912" i="3" s="1"/>
  <c r="R912" i="3" s="1"/>
  <c r="O911" i="3"/>
  <c r="Q911" i="3" s="1"/>
  <c r="R911" i="3" s="1"/>
  <c r="O910" i="3"/>
  <c r="Q910" i="3" s="1"/>
  <c r="R910" i="3" s="1"/>
  <c r="O909" i="3"/>
  <c r="Q909" i="3" s="1"/>
  <c r="R909" i="3" s="1"/>
  <c r="O908" i="3"/>
  <c r="Q908" i="3" s="1"/>
  <c r="R908" i="3" s="1"/>
  <c r="O907" i="3"/>
  <c r="Q907" i="3" s="1"/>
  <c r="R907" i="3" s="1"/>
  <c r="O906" i="3"/>
  <c r="Q906" i="3" s="1"/>
  <c r="R906" i="3" s="1"/>
  <c r="O905" i="3"/>
  <c r="Q905" i="3" s="1"/>
  <c r="R905" i="3" s="1"/>
  <c r="O904" i="3"/>
  <c r="Q904" i="3" s="1"/>
  <c r="R904" i="3" s="1"/>
  <c r="O903" i="3"/>
  <c r="Q903" i="3" s="1"/>
  <c r="R903" i="3" s="1"/>
  <c r="O902" i="3"/>
  <c r="Q902" i="3" s="1"/>
  <c r="R902" i="3" s="1"/>
  <c r="O901" i="3"/>
  <c r="Q901" i="3" s="1"/>
  <c r="R901" i="3" s="1"/>
  <c r="O900" i="3"/>
  <c r="Q900" i="3" s="1"/>
  <c r="R900" i="3" s="1"/>
  <c r="O899" i="3"/>
  <c r="Q899" i="3" s="1"/>
  <c r="R899" i="3" s="1"/>
  <c r="O898" i="3"/>
  <c r="Q898" i="3" s="1"/>
  <c r="R898" i="3" s="1"/>
  <c r="O897" i="3"/>
  <c r="Q897" i="3" s="1"/>
  <c r="R897" i="3" s="1"/>
  <c r="O896" i="3"/>
  <c r="Q896" i="3" s="1"/>
  <c r="R896" i="3" s="1"/>
  <c r="O895" i="3"/>
  <c r="Q895" i="3" s="1"/>
  <c r="R895" i="3" s="1"/>
  <c r="O894" i="3"/>
  <c r="Q894" i="3" s="1"/>
  <c r="R894" i="3" s="1"/>
  <c r="O893" i="3"/>
  <c r="Q893" i="3" s="1"/>
  <c r="R893" i="3" s="1"/>
  <c r="O892" i="3"/>
  <c r="Q892" i="3" s="1"/>
  <c r="R892" i="3" s="1"/>
  <c r="O891" i="3"/>
  <c r="Q891" i="3" s="1"/>
  <c r="R891" i="3" s="1"/>
  <c r="O890" i="3"/>
  <c r="Q890" i="3" s="1"/>
  <c r="R890" i="3" s="1"/>
  <c r="O889" i="3"/>
  <c r="Q889" i="3" s="1"/>
  <c r="R889" i="3" s="1"/>
  <c r="O888" i="3"/>
  <c r="Q888" i="3" s="1"/>
  <c r="R888" i="3" s="1"/>
  <c r="O887" i="3"/>
  <c r="Q887" i="3" s="1"/>
  <c r="R887" i="3" s="1"/>
  <c r="O886" i="3"/>
  <c r="Q886" i="3" s="1"/>
  <c r="R886" i="3" s="1"/>
  <c r="O885" i="3"/>
  <c r="Q885" i="3" s="1"/>
  <c r="R885" i="3" s="1"/>
  <c r="O884" i="3"/>
  <c r="Q884" i="3" s="1"/>
  <c r="R884" i="3" s="1"/>
  <c r="O883" i="3"/>
  <c r="Q883" i="3" s="1"/>
  <c r="R883" i="3" s="1"/>
  <c r="O882" i="3"/>
  <c r="Q882" i="3" s="1"/>
  <c r="R882" i="3" s="1"/>
  <c r="O881" i="3"/>
  <c r="Q881" i="3" s="1"/>
  <c r="R881" i="3" s="1"/>
  <c r="O880" i="3"/>
  <c r="Q880" i="3" s="1"/>
  <c r="R880" i="3" s="1"/>
  <c r="O879" i="3"/>
  <c r="Q879" i="3" s="1"/>
  <c r="R879" i="3" s="1"/>
  <c r="O878" i="3"/>
  <c r="Q878" i="3" s="1"/>
  <c r="R878" i="3" s="1"/>
  <c r="O877" i="3"/>
  <c r="Q877" i="3" s="1"/>
  <c r="R877" i="3" s="1"/>
  <c r="O876" i="3"/>
  <c r="Q876" i="3" s="1"/>
  <c r="R876" i="3" s="1"/>
  <c r="O875" i="3"/>
  <c r="Q875" i="3" s="1"/>
  <c r="R875" i="3" s="1"/>
  <c r="O874" i="3"/>
  <c r="Q874" i="3" s="1"/>
  <c r="R874" i="3" s="1"/>
  <c r="O873" i="3"/>
  <c r="Q873" i="3" s="1"/>
  <c r="R873" i="3" s="1"/>
  <c r="O872" i="3"/>
  <c r="Q872" i="3" s="1"/>
  <c r="R872" i="3" s="1"/>
  <c r="O871" i="3"/>
  <c r="Q871" i="3" s="1"/>
  <c r="R871" i="3" s="1"/>
  <c r="O870" i="3"/>
  <c r="Q870" i="3" s="1"/>
  <c r="R870" i="3" s="1"/>
  <c r="O869" i="3"/>
  <c r="Q869" i="3" s="1"/>
  <c r="R869" i="3" s="1"/>
  <c r="O868" i="3"/>
  <c r="Q868" i="3" s="1"/>
  <c r="R868" i="3" s="1"/>
  <c r="O867" i="3"/>
  <c r="Q867" i="3" s="1"/>
  <c r="R867" i="3" s="1"/>
  <c r="O866" i="3"/>
  <c r="Q866" i="3" s="1"/>
  <c r="R866" i="3" s="1"/>
  <c r="O865" i="3"/>
  <c r="Q865" i="3" s="1"/>
  <c r="R865" i="3" s="1"/>
  <c r="O864" i="3"/>
  <c r="Q864" i="3" s="1"/>
  <c r="R864" i="3" s="1"/>
  <c r="O863" i="3"/>
  <c r="Q863" i="3" s="1"/>
  <c r="R863" i="3" s="1"/>
  <c r="O862" i="3"/>
  <c r="Q862" i="3" s="1"/>
  <c r="R862" i="3" s="1"/>
  <c r="O861" i="3"/>
  <c r="Q861" i="3" s="1"/>
  <c r="R861" i="3" s="1"/>
  <c r="O860" i="3"/>
  <c r="Q860" i="3" s="1"/>
  <c r="R860" i="3" s="1"/>
  <c r="O859" i="3"/>
  <c r="Q859" i="3" s="1"/>
  <c r="R859" i="3" s="1"/>
  <c r="O858" i="3"/>
  <c r="Q858" i="3" s="1"/>
  <c r="R858" i="3" s="1"/>
  <c r="O857" i="3"/>
  <c r="Q857" i="3" s="1"/>
  <c r="R857" i="3" s="1"/>
  <c r="O856" i="3"/>
  <c r="Q856" i="3" s="1"/>
  <c r="R856" i="3" s="1"/>
  <c r="O855" i="3"/>
  <c r="Q855" i="3" s="1"/>
  <c r="R855" i="3" s="1"/>
  <c r="O854" i="3"/>
  <c r="Q854" i="3" s="1"/>
  <c r="R854" i="3" s="1"/>
  <c r="O853" i="3"/>
  <c r="Q853" i="3" s="1"/>
  <c r="R853" i="3" s="1"/>
  <c r="O852" i="3"/>
  <c r="Q852" i="3" s="1"/>
  <c r="R852" i="3" s="1"/>
  <c r="O851" i="3"/>
  <c r="Q851" i="3" s="1"/>
  <c r="R851" i="3" s="1"/>
  <c r="O850" i="3"/>
  <c r="Q850" i="3" s="1"/>
  <c r="R850" i="3" s="1"/>
  <c r="O849" i="3"/>
  <c r="Q849" i="3" s="1"/>
  <c r="R849" i="3" s="1"/>
  <c r="O848" i="3"/>
  <c r="Q848" i="3" s="1"/>
  <c r="R848" i="3" s="1"/>
  <c r="O847" i="3"/>
  <c r="Q847" i="3" s="1"/>
  <c r="R847" i="3" s="1"/>
  <c r="O846" i="3"/>
  <c r="Q846" i="3" s="1"/>
  <c r="R846" i="3" s="1"/>
  <c r="O845" i="3"/>
  <c r="Q845" i="3" s="1"/>
  <c r="R845" i="3" s="1"/>
  <c r="O844" i="3"/>
  <c r="Q844" i="3" s="1"/>
  <c r="R844" i="3" s="1"/>
  <c r="O843" i="3"/>
  <c r="Q843" i="3" s="1"/>
  <c r="R843" i="3" s="1"/>
  <c r="O842" i="3"/>
  <c r="Q842" i="3" s="1"/>
  <c r="R842" i="3" s="1"/>
  <c r="O841" i="3"/>
  <c r="Q841" i="3" s="1"/>
  <c r="R841" i="3" s="1"/>
  <c r="O840" i="3"/>
  <c r="Q840" i="3" s="1"/>
  <c r="R840" i="3" s="1"/>
  <c r="O839" i="3"/>
  <c r="Q839" i="3" s="1"/>
  <c r="R839" i="3" s="1"/>
  <c r="O838" i="3"/>
  <c r="Q838" i="3" s="1"/>
  <c r="R838" i="3" s="1"/>
  <c r="O837" i="3"/>
  <c r="Q837" i="3" s="1"/>
  <c r="R837" i="3" s="1"/>
  <c r="O836" i="3"/>
  <c r="Q836" i="3" s="1"/>
  <c r="R836" i="3" s="1"/>
  <c r="O835" i="3"/>
  <c r="Q835" i="3" s="1"/>
  <c r="R835" i="3" s="1"/>
  <c r="O834" i="3"/>
  <c r="Q834" i="3" s="1"/>
  <c r="R834" i="3" s="1"/>
  <c r="O833" i="3"/>
  <c r="Q833" i="3" s="1"/>
  <c r="R833" i="3" s="1"/>
  <c r="O832" i="3"/>
  <c r="Q832" i="3" s="1"/>
  <c r="R832" i="3" s="1"/>
  <c r="O831" i="3"/>
  <c r="Q831" i="3" s="1"/>
  <c r="R831" i="3" s="1"/>
  <c r="O830" i="3"/>
  <c r="Q830" i="3" s="1"/>
  <c r="R830" i="3" s="1"/>
  <c r="O829" i="3"/>
  <c r="Q829" i="3" s="1"/>
  <c r="R829" i="3" s="1"/>
  <c r="O828" i="3"/>
  <c r="Q828" i="3" s="1"/>
  <c r="R828" i="3" s="1"/>
  <c r="O827" i="3"/>
  <c r="Q827" i="3" s="1"/>
  <c r="R827" i="3" s="1"/>
  <c r="O826" i="3"/>
  <c r="Q826" i="3" s="1"/>
  <c r="R826" i="3" s="1"/>
  <c r="O825" i="3"/>
  <c r="Q825" i="3" s="1"/>
  <c r="R825" i="3" s="1"/>
  <c r="O824" i="3"/>
  <c r="Q824" i="3" s="1"/>
  <c r="R824" i="3" s="1"/>
  <c r="O823" i="3"/>
  <c r="Q823" i="3" s="1"/>
  <c r="R823" i="3" s="1"/>
  <c r="O822" i="3"/>
  <c r="Q822" i="3" s="1"/>
  <c r="R822" i="3" s="1"/>
  <c r="O821" i="3"/>
  <c r="Q821" i="3" s="1"/>
  <c r="R821" i="3" s="1"/>
  <c r="O820" i="3"/>
  <c r="Q820" i="3" s="1"/>
  <c r="R820" i="3" s="1"/>
  <c r="O819" i="3"/>
  <c r="Q819" i="3" s="1"/>
  <c r="R819" i="3" s="1"/>
  <c r="O818" i="3"/>
  <c r="Q818" i="3" s="1"/>
  <c r="R818" i="3" s="1"/>
  <c r="O817" i="3"/>
  <c r="Q817" i="3" s="1"/>
  <c r="R817" i="3" s="1"/>
  <c r="O816" i="3"/>
  <c r="Q816" i="3" s="1"/>
  <c r="R816" i="3" s="1"/>
  <c r="O815" i="3"/>
  <c r="Q815" i="3" s="1"/>
  <c r="R815" i="3" s="1"/>
  <c r="O814" i="3"/>
  <c r="Q814" i="3" s="1"/>
  <c r="R814" i="3" s="1"/>
  <c r="O813" i="3"/>
  <c r="Q813" i="3" s="1"/>
  <c r="R813" i="3" s="1"/>
  <c r="O812" i="3"/>
  <c r="Q812" i="3" s="1"/>
  <c r="R812" i="3" s="1"/>
  <c r="O811" i="3"/>
  <c r="Q811" i="3" s="1"/>
  <c r="R811" i="3" s="1"/>
  <c r="O810" i="3"/>
  <c r="Q810" i="3" s="1"/>
  <c r="R810" i="3" s="1"/>
  <c r="O809" i="3"/>
  <c r="Q809" i="3" s="1"/>
  <c r="R809" i="3" s="1"/>
  <c r="O808" i="3"/>
  <c r="Q808" i="3" s="1"/>
  <c r="R808" i="3" s="1"/>
  <c r="O807" i="3"/>
  <c r="Q807" i="3" s="1"/>
  <c r="R807" i="3" s="1"/>
  <c r="O806" i="3"/>
  <c r="Q806" i="3" s="1"/>
  <c r="R806" i="3" s="1"/>
  <c r="O805" i="3"/>
  <c r="Q805" i="3" s="1"/>
  <c r="R805" i="3" s="1"/>
  <c r="O804" i="3"/>
  <c r="Q804" i="3" s="1"/>
  <c r="R804" i="3" s="1"/>
  <c r="O803" i="3"/>
  <c r="Q803" i="3" s="1"/>
  <c r="R803" i="3" s="1"/>
  <c r="O802" i="3"/>
  <c r="Q802" i="3" s="1"/>
  <c r="R802" i="3" s="1"/>
  <c r="O801" i="3"/>
  <c r="Q801" i="3" s="1"/>
  <c r="R801" i="3" s="1"/>
  <c r="O800" i="3"/>
  <c r="Q800" i="3" s="1"/>
  <c r="R800" i="3" s="1"/>
  <c r="O799" i="3"/>
  <c r="Q799" i="3" s="1"/>
  <c r="R799" i="3" s="1"/>
  <c r="O798" i="3"/>
  <c r="Q798" i="3" s="1"/>
  <c r="R798" i="3" s="1"/>
  <c r="O797" i="3"/>
  <c r="Q797" i="3" s="1"/>
  <c r="R797" i="3" s="1"/>
  <c r="O796" i="3"/>
  <c r="Q796" i="3" s="1"/>
  <c r="R796" i="3" s="1"/>
  <c r="O795" i="3"/>
  <c r="Q795" i="3" s="1"/>
  <c r="R795" i="3" s="1"/>
  <c r="O794" i="3"/>
  <c r="Q794" i="3" s="1"/>
  <c r="R794" i="3" s="1"/>
  <c r="O793" i="3"/>
  <c r="Q793" i="3" s="1"/>
  <c r="R793" i="3" s="1"/>
  <c r="O792" i="3"/>
  <c r="Q792" i="3" s="1"/>
  <c r="R792" i="3" s="1"/>
  <c r="O791" i="3"/>
  <c r="Q791" i="3" s="1"/>
  <c r="R791" i="3" s="1"/>
  <c r="O790" i="3"/>
  <c r="Q790" i="3" s="1"/>
  <c r="R790" i="3" s="1"/>
  <c r="O789" i="3"/>
  <c r="Q789" i="3" s="1"/>
  <c r="R789" i="3" s="1"/>
  <c r="O788" i="3"/>
  <c r="Q788" i="3" s="1"/>
  <c r="R788" i="3" s="1"/>
  <c r="O787" i="3"/>
  <c r="Q787" i="3" s="1"/>
  <c r="R787" i="3" s="1"/>
  <c r="O786" i="3"/>
  <c r="Q786" i="3" s="1"/>
  <c r="R786" i="3" s="1"/>
  <c r="O785" i="3"/>
  <c r="Q785" i="3" s="1"/>
  <c r="R785" i="3" s="1"/>
  <c r="O784" i="3"/>
  <c r="Q784" i="3" s="1"/>
  <c r="R784" i="3" s="1"/>
  <c r="O783" i="3"/>
  <c r="Q783" i="3" s="1"/>
  <c r="R783" i="3" s="1"/>
  <c r="O782" i="3"/>
  <c r="Q782" i="3" s="1"/>
  <c r="R782" i="3" s="1"/>
  <c r="O781" i="3"/>
  <c r="Q781" i="3" s="1"/>
  <c r="R781" i="3" s="1"/>
  <c r="O780" i="3"/>
  <c r="Q780" i="3" s="1"/>
  <c r="R780" i="3" s="1"/>
  <c r="O779" i="3"/>
  <c r="Q779" i="3" s="1"/>
  <c r="R779" i="3" s="1"/>
  <c r="O778" i="3"/>
  <c r="Q778" i="3" s="1"/>
  <c r="R778" i="3" s="1"/>
  <c r="O777" i="3"/>
  <c r="Q777" i="3" s="1"/>
  <c r="R777" i="3" s="1"/>
  <c r="O776" i="3"/>
  <c r="Q776" i="3" s="1"/>
  <c r="R776" i="3" s="1"/>
  <c r="O775" i="3"/>
  <c r="Q775" i="3" s="1"/>
  <c r="R775" i="3" s="1"/>
  <c r="O774" i="3"/>
  <c r="Q774" i="3" s="1"/>
  <c r="R774" i="3" s="1"/>
  <c r="O773" i="3"/>
  <c r="Q773" i="3" s="1"/>
  <c r="R773" i="3" s="1"/>
  <c r="O772" i="3"/>
  <c r="Q772" i="3" s="1"/>
  <c r="R772" i="3" s="1"/>
  <c r="O771" i="3"/>
  <c r="Q771" i="3" s="1"/>
  <c r="R771" i="3" s="1"/>
  <c r="O770" i="3"/>
  <c r="Q770" i="3" s="1"/>
  <c r="R770" i="3" s="1"/>
  <c r="O769" i="3"/>
  <c r="Q769" i="3" s="1"/>
  <c r="R769" i="3" s="1"/>
  <c r="O768" i="3"/>
  <c r="Q768" i="3" s="1"/>
  <c r="R768" i="3" s="1"/>
  <c r="O767" i="3"/>
  <c r="Q767" i="3" s="1"/>
  <c r="R767" i="3" s="1"/>
  <c r="O766" i="3"/>
  <c r="Q766" i="3" s="1"/>
  <c r="R766" i="3" s="1"/>
  <c r="O765" i="3"/>
  <c r="Q765" i="3" s="1"/>
  <c r="R765" i="3" s="1"/>
  <c r="O764" i="3"/>
  <c r="Q764" i="3" s="1"/>
  <c r="R764" i="3" s="1"/>
  <c r="O763" i="3"/>
  <c r="Q763" i="3" s="1"/>
  <c r="R763" i="3" s="1"/>
  <c r="O762" i="3"/>
  <c r="Q762" i="3" s="1"/>
  <c r="R762" i="3" s="1"/>
  <c r="O761" i="3"/>
  <c r="Q761" i="3" s="1"/>
  <c r="R761" i="3" s="1"/>
  <c r="O760" i="3"/>
  <c r="Q760" i="3" s="1"/>
  <c r="R760" i="3" s="1"/>
  <c r="O759" i="3"/>
  <c r="Q759" i="3" s="1"/>
  <c r="R759" i="3" s="1"/>
  <c r="O758" i="3"/>
  <c r="Q758" i="3" s="1"/>
  <c r="R758" i="3" s="1"/>
  <c r="O757" i="3"/>
  <c r="Q757" i="3" s="1"/>
  <c r="R757" i="3" s="1"/>
  <c r="O756" i="3"/>
  <c r="Q756" i="3" s="1"/>
  <c r="R756" i="3" s="1"/>
  <c r="O755" i="3"/>
  <c r="Q755" i="3" s="1"/>
  <c r="R755" i="3" s="1"/>
  <c r="O754" i="3"/>
  <c r="Q754" i="3" s="1"/>
  <c r="R754" i="3" s="1"/>
  <c r="O753" i="3"/>
  <c r="Q753" i="3" s="1"/>
  <c r="R753" i="3" s="1"/>
  <c r="O752" i="3"/>
  <c r="Q752" i="3" s="1"/>
  <c r="R752" i="3" s="1"/>
  <c r="O751" i="3"/>
  <c r="Q751" i="3" s="1"/>
  <c r="R751" i="3" s="1"/>
  <c r="O750" i="3"/>
  <c r="Q750" i="3" s="1"/>
  <c r="R750" i="3" s="1"/>
  <c r="O749" i="3"/>
  <c r="Q749" i="3" s="1"/>
  <c r="R749" i="3" s="1"/>
  <c r="O748" i="3"/>
  <c r="Q748" i="3" s="1"/>
  <c r="R748" i="3" s="1"/>
  <c r="O747" i="3"/>
  <c r="Q747" i="3" s="1"/>
  <c r="R747" i="3" s="1"/>
  <c r="O746" i="3"/>
  <c r="Q746" i="3" s="1"/>
  <c r="R746" i="3" s="1"/>
  <c r="O745" i="3"/>
  <c r="Q745" i="3" s="1"/>
  <c r="R745" i="3" s="1"/>
  <c r="O744" i="3"/>
  <c r="Q744" i="3" s="1"/>
  <c r="R744" i="3" s="1"/>
  <c r="O743" i="3"/>
  <c r="Q743" i="3" s="1"/>
  <c r="R743" i="3" s="1"/>
  <c r="O742" i="3"/>
  <c r="Q742" i="3" s="1"/>
  <c r="R742" i="3" s="1"/>
  <c r="O741" i="3"/>
  <c r="Q741" i="3" s="1"/>
  <c r="R741" i="3" s="1"/>
  <c r="O740" i="3"/>
  <c r="Q740" i="3" s="1"/>
  <c r="R740" i="3" s="1"/>
  <c r="O739" i="3"/>
  <c r="Q739" i="3" s="1"/>
  <c r="R739" i="3" s="1"/>
  <c r="O738" i="3"/>
  <c r="Q738" i="3" s="1"/>
  <c r="R738" i="3" s="1"/>
  <c r="O737" i="3"/>
  <c r="Q737" i="3" s="1"/>
  <c r="R737" i="3" s="1"/>
  <c r="O736" i="3"/>
  <c r="Q736" i="3" s="1"/>
  <c r="R736" i="3" s="1"/>
  <c r="O735" i="3"/>
  <c r="Q735" i="3" s="1"/>
  <c r="R735" i="3" s="1"/>
  <c r="O734" i="3"/>
  <c r="Q734" i="3" s="1"/>
  <c r="R734" i="3" s="1"/>
  <c r="O733" i="3"/>
  <c r="Q733" i="3" s="1"/>
  <c r="R733" i="3" s="1"/>
  <c r="O732" i="3"/>
  <c r="Q732" i="3" s="1"/>
  <c r="R732" i="3" s="1"/>
  <c r="O731" i="3"/>
  <c r="Q731" i="3" s="1"/>
  <c r="R731" i="3" s="1"/>
  <c r="O730" i="3"/>
  <c r="Q730" i="3" s="1"/>
  <c r="R730" i="3" s="1"/>
  <c r="O729" i="3"/>
  <c r="Q729" i="3" s="1"/>
  <c r="R729" i="3" s="1"/>
  <c r="O728" i="3"/>
  <c r="Q728" i="3" s="1"/>
  <c r="R728" i="3" s="1"/>
  <c r="O727" i="3"/>
  <c r="Q727" i="3" s="1"/>
  <c r="R727" i="3" s="1"/>
  <c r="O726" i="3"/>
  <c r="Q726" i="3" s="1"/>
  <c r="R726" i="3" s="1"/>
  <c r="O725" i="3"/>
  <c r="Q725" i="3" s="1"/>
  <c r="R725" i="3" s="1"/>
  <c r="O724" i="3"/>
  <c r="Q724" i="3" s="1"/>
  <c r="R724" i="3" s="1"/>
  <c r="O723" i="3"/>
  <c r="Q723" i="3" s="1"/>
  <c r="R723" i="3" s="1"/>
  <c r="O722" i="3"/>
  <c r="Q722" i="3" s="1"/>
  <c r="R722" i="3" s="1"/>
  <c r="O721" i="3"/>
  <c r="Q721" i="3" s="1"/>
  <c r="R721" i="3" s="1"/>
  <c r="O720" i="3"/>
  <c r="Q720" i="3" s="1"/>
  <c r="R720" i="3" s="1"/>
  <c r="O719" i="3"/>
  <c r="Q719" i="3" s="1"/>
  <c r="R719" i="3" s="1"/>
  <c r="O718" i="3"/>
  <c r="Q718" i="3" s="1"/>
  <c r="R718" i="3" s="1"/>
  <c r="O717" i="3"/>
  <c r="Q717" i="3" s="1"/>
  <c r="R717" i="3" s="1"/>
  <c r="O716" i="3"/>
  <c r="Q716" i="3" s="1"/>
  <c r="R716" i="3" s="1"/>
  <c r="O715" i="3"/>
  <c r="Q715" i="3" s="1"/>
  <c r="R715" i="3" s="1"/>
  <c r="O714" i="3"/>
  <c r="Q714" i="3" s="1"/>
  <c r="R714" i="3" s="1"/>
  <c r="O713" i="3"/>
  <c r="Q713" i="3" s="1"/>
  <c r="R713" i="3" s="1"/>
  <c r="O712" i="3"/>
  <c r="Q712" i="3" s="1"/>
  <c r="R712" i="3" s="1"/>
  <c r="O711" i="3"/>
  <c r="Q711" i="3" s="1"/>
  <c r="R711" i="3" s="1"/>
  <c r="O710" i="3"/>
  <c r="Q710" i="3" s="1"/>
  <c r="R710" i="3" s="1"/>
  <c r="O709" i="3"/>
  <c r="Q709" i="3" s="1"/>
  <c r="R709" i="3" s="1"/>
  <c r="O708" i="3"/>
  <c r="Q708" i="3" s="1"/>
  <c r="R708" i="3" s="1"/>
  <c r="O707" i="3"/>
  <c r="Q707" i="3" s="1"/>
  <c r="R707" i="3" s="1"/>
  <c r="O706" i="3"/>
  <c r="Q706" i="3" s="1"/>
  <c r="R706" i="3" s="1"/>
  <c r="O705" i="3"/>
  <c r="Q705" i="3" s="1"/>
  <c r="R705" i="3" s="1"/>
  <c r="O704" i="3"/>
  <c r="Q704" i="3" s="1"/>
  <c r="R704" i="3" s="1"/>
  <c r="O703" i="3"/>
  <c r="Q703" i="3" s="1"/>
  <c r="R703" i="3" s="1"/>
  <c r="O702" i="3"/>
  <c r="Q702" i="3" s="1"/>
  <c r="R702" i="3" s="1"/>
  <c r="O701" i="3"/>
  <c r="Q701" i="3" s="1"/>
  <c r="R701" i="3" s="1"/>
  <c r="O700" i="3"/>
  <c r="Q700" i="3" s="1"/>
  <c r="R700" i="3" s="1"/>
  <c r="O699" i="3"/>
  <c r="Q699" i="3" s="1"/>
  <c r="R699" i="3" s="1"/>
  <c r="O698" i="3"/>
  <c r="Q698" i="3" s="1"/>
  <c r="R698" i="3" s="1"/>
  <c r="O697" i="3"/>
  <c r="Q697" i="3" s="1"/>
  <c r="R697" i="3" s="1"/>
  <c r="O696" i="3"/>
  <c r="Q696" i="3" s="1"/>
  <c r="R696" i="3" s="1"/>
  <c r="O695" i="3"/>
  <c r="Q695" i="3" s="1"/>
  <c r="R695" i="3" s="1"/>
  <c r="O694" i="3"/>
  <c r="Q694" i="3" s="1"/>
  <c r="R694" i="3" s="1"/>
  <c r="O693" i="3"/>
  <c r="Q693" i="3" s="1"/>
  <c r="R693" i="3" s="1"/>
  <c r="O692" i="3"/>
  <c r="Q692" i="3" s="1"/>
  <c r="R692" i="3" s="1"/>
  <c r="O691" i="3"/>
  <c r="Q691" i="3" s="1"/>
  <c r="R691" i="3" s="1"/>
  <c r="O690" i="3"/>
  <c r="Q690" i="3" s="1"/>
  <c r="R690" i="3" s="1"/>
  <c r="O689" i="3"/>
  <c r="Q689" i="3" s="1"/>
  <c r="R689" i="3" s="1"/>
  <c r="O688" i="3"/>
  <c r="Q688" i="3" s="1"/>
  <c r="R688" i="3" s="1"/>
  <c r="O687" i="3"/>
  <c r="Q687" i="3" s="1"/>
  <c r="R687" i="3" s="1"/>
  <c r="O686" i="3"/>
  <c r="Q686" i="3" s="1"/>
  <c r="R686" i="3" s="1"/>
  <c r="O685" i="3"/>
  <c r="Q685" i="3" s="1"/>
  <c r="R685" i="3" s="1"/>
  <c r="O684" i="3"/>
  <c r="Q684" i="3" s="1"/>
  <c r="R684" i="3" s="1"/>
  <c r="O683" i="3"/>
  <c r="Q683" i="3" s="1"/>
  <c r="R683" i="3" s="1"/>
  <c r="O682" i="3"/>
  <c r="Q682" i="3" s="1"/>
  <c r="R682" i="3" s="1"/>
  <c r="O681" i="3"/>
  <c r="Q681" i="3" s="1"/>
  <c r="R681" i="3" s="1"/>
  <c r="O680" i="3"/>
  <c r="Q680" i="3" s="1"/>
  <c r="R680" i="3" s="1"/>
  <c r="O679" i="3"/>
  <c r="Q679" i="3" s="1"/>
  <c r="R679" i="3" s="1"/>
  <c r="O678" i="3"/>
  <c r="Q678" i="3" s="1"/>
  <c r="R678" i="3" s="1"/>
  <c r="O677" i="3"/>
  <c r="Q677" i="3" s="1"/>
  <c r="R677" i="3" s="1"/>
  <c r="O676" i="3"/>
  <c r="Q676" i="3" s="1"/>
  <c r="R676" i="3" s="1"/>
  <c r="O675" i="3"/>
  <c r="Q675" i="3" s="1"/>
  <c r="R675" i="3" s="1"/>
  <c r="O674" i="3"/>
  <c r="Q674" i="3" s="1"/>
  <c r="R674" i="3" s="1"/>
  <c r="O673" i="3"/>
  <c r="Q673" i="3" s="1"/>
  <c r="R673" i="3" s="1"/>
  <c r="O672" i="3"/>
  <c r="Q672" i="3" s="1"/>
  <c r="R672" i="3" s="1"/>
  <c r="O671" i="3"/>
  <c r="Q671" i="3" s="1"/>
  <c r="R671" i="3" s="1"/>
  <c r="O670" i="3"/>
  <c r="Q670" i="3" s="1"/>
  <c r="R670" i="3" s="1"/>
  <c r="O669" i="3"/>
  <c r="Q669" i="3" s="1"/>
  <c r="R669" i="3" s="1"/>
  <c r="O668" i="3"/>
  <c r="Q668" i="3" s="1"/>
  <c r="R668" i="3" s="1"/>
  <c r="O667" i="3"/>
  <c r="Q667" i="3" s="1"/>
  <c r="R667" i="3" s="1"/>
  <c r="O666" i="3"/>
  <c r="Q666" i="3" s="1"/>
  <c r="R666" i="3" s="1"/>
  <c r="O665" i="3"/>
  <c r="Q665" i="3" s="1"/>
  <c r="R665" i="3" s="1"/>
  <c r="O664" i="3"/>
  <c r="Q664" i="3" s="1"/>
  <c r="R664" i="3" s="1"/>
  <c r="O663" i="3"/>
  <c r="Q663" i="3" s="1"/>
  <c r="R663" i="3" s="1"/>
  <c r="O662" i="3"/>
  <c r="Q662" i="3" s="1"/>
  <c r="R662" i="3" s="1"/>
  <c r="O661" i="3"/>
  <c r="Q661" i="3" s="1"/>
  <c r="R661" i="3" s="1"/>
  <c r="O660" i="3"/>
  <c r="Q660" i="3" s="1"/>
  <c r="R660" i="3" s="1"/>
  <c r="O659" i="3"/>
  <c r="Q659" i="3" s="1"/>
  <c r="R659" i="3" s="1"/>
  <c r="O658" i="3"/>
  <c r="Q658" i="3" s="1"/>
  <c r="R658" i="3" s="1"/>
  <c r="O657" i="3"/>
  <c r="Q657" i="3" s="1"/>
  <c r="R657" i="3" s="1"/>
  <c r="O656" i="3"/>
  <c r="Q656" i="3" s="1"/>
  <c r="R656" i="3" s="1"/>
  <c r="O655" i="3"/>
  <c r="Q655" i="3" s="1"/>
  <c r="R655" i="3" s="1"/>
  <c r="O654" i="3"/>
  <c r="Q654" i="3" s="1"/>
  <c r="R654" i="3" s="1"/>
  <c r="O653" i="3"/>
  <c r="Q653" i="3" s="1"/>
  <c r="R653" i="3" s="1"/>
  <c r="O652" i="3"/>
  <c r="Q652" i="3" s="1"/>
  <c r="R652" i="3" s="1"/>
  <c r="O651" i="3"/>
  <c r="Q651" i="3" s="1"/>
  <c r="R651" i="3" s="1"/>
  <c r="O650" i="3"/>
  <c r="Q650" i="3" s="1"/>
  <c r="R650" i="3" s="1"/>
  <c r="O649" i="3"/>
  <c r="Q649" i="3" s="1"/>
  <c r="R649" i="3" s="1"/>
  <c r="O648" i="3"/>
  <c r="Q648" i="3" s="1"/>
  <c r="R648" i="3" s="1"/>
  <c r="O647" i="3"/>
  <c r="Q647" i="3" s="1"/>
  <c r="R647" i="3" s="1"/>
  <c r="O646" i="3"/>
  <c r="Q646" i="3" s="1"/>
  <c r="R646" i="3" s="1"/>
  <c r="O645" i="3"/>
  <c r="Q645" i="3" s="1"/>
  <c r="R645" i="3" s="1"/>
  <c r="O644" i="3"/>
  <c r="Q644" i="3" s="1"/>
  <c r="R644" i="3" s="1"/>
  <c r="O643" i="3"/>
  <c r="Q643" i="3" s="1"/>
  <c r="R643" i="3" s="1"/>
  <c r="O642" i="3"/>
  <c r="Q642" i="3" s="1"/>
  <c r="R642" i="3" s="1"/>
  <c r="O641" i="3"/>
  <c r="Q641" i="3" s="1"/>
  <c r="R641" i="3" s="1"/>
  <c r="O640" i="3"/>
  <c r="Q640" i="3" s="1"/>
  <c r="R640" i="3" s="1"/>
  <c r="O639" i="3"/>
  <c r="Q639" i="3" s="1"/>
  <c r="R639" i="3" s="1"/>
  <c r="O638" i="3"/>
  <c r="Q638" i="3" s="1"/>
  <c r="R638" i="3" s="1"/>
  <c r="O637" i="3"/>
  <c r="Q637" i="3" s="1"/>
  <c r="R637" i="3" s="1"/>
  <c r="O636" i="3"/>
  <c r="Q636" i="3" s="1"/>
  <c r="R636" i="3" s="1"/>
  <c r="O635" i="3"/>
  <c r="Q635" i="3" s="1"/>
  <c r="R635" i="3" s="1"/>
  <c r="O634" i="3"/>
  <c r="Q634" i="3" s="1"/>
  <c r="R634" i="3" s="1"/>
  <c r="O633" i="3"/>
  <c r="Q633" i="3" s="1"/>
  <c r="R633" i="3" s="1"/>
  <c r="O632" i="3"/>
  <c r="Q632" i="3" s="1"/>
  <c r="R632" i="3" s="1"/>
  <c r="O631" i="3"/>
  <c r="Q631" i="3" s="1"/>
  <c r="R631" i="3" s="1"/>
  <c r="O630" i="3"/>
  <c r="Q630" i="3" s="1"/>
  <c r="R630" i="3" s="1"/>
  <c r="O629" i="3"/>
  <c r="Q629" i="3" s="1"/>
  <c r="R629" i="3" s="1"/>
  <c r="O628" i="3"/>
  <c r="Q628" i="3" s="1"/>
  <c r="R628" i="3" s="1"/>
  <c r="O627" i="3"/>
  <c r="Q627" i="3" s="1"/>
  <c r="R627" i="3" s="1"/>
  <c r="O626" i="3"/>
  <c r="Q626" i="3" s="1"/>
  <c r="R626" i="3" s="1"/>
  <c r="O625" i="3"/>
  <c r="Q625" i="3" s="1"/>
  <c r="R625" i="3" s="1"/>
  <c r="O624" i="3"/>
  <c r="Q624" i="3" s="1"/>
  <c r="R624" i="3" s="1"/>
  <c r="O623" i="3"/>
  <c r="Q623" i="3" s="1"/>
  <c r="R623" i="3" s="1"/>
  <c r="O622" i="3"/>
  <c r="Q622" i="3" s="1"/>
  <c r="R622" i="3" s="1"/>
  <c r="O621" i="3"/>
  <c r="Q621" i="3" s="1"/>
  <c r="R621" i="3" s="1"/>
  <c r="O620" i="3"/>
  <c r="Q620" i="3" s="1"/>
  <c r="R620" i="3" s="1"/>
  <c r="O619" i="3"/>
  <c r="Q619" i="3" s="1"/>
  <c r="R619" i="3" s="1"/>
  <c r="O618" i="3"/>
  <c r="Q618" i="3" s="1"/>
  <c r="R618" i="3" s="1"/>
  <c r="O617" i="3"/>
  <c r="Q617" i="3" s="1"/>
  <c r="R617" i="3" s="1"/>
  <c r="O616" i="3"/>
  <c r="Q616" i="3" s="1"/>
  <c r="R616" i="3" s="1"/>
  <c r="O615" i="3"/>
  <c r="Q615" i="3" s="1"/>
  <c r="R615" i="3" s="1"/>
  <c r="O614" i="3"/>
  <c r="Q614" i="3" s="1"/>
  <c r="R614" i="3" s="1"/>
  <c r="O613" i="3"/>
  <c r="Q613" i="3" s="1"/>
  <c r="R613" i="3" s="1"/>
  <c r="O612" i="3"/>
  <c r="Q612" i="3" s="1"/>
  <c r="R612" i="3" s="1"/>
  <c r="O611" i="3"/>
  <c r="Q611" i="3" s="1"/>
  <c r="R611" i="3" s="1"/>
  <c r="O610" i="3"/>
  <c r="Q610" i="3" s="1"/>
  <c r="R610" i="3" s="1"/>
  <c r="O609" i="3"/>
  <c r="Q609" i="3" s="1"/>
  <c r="R609" i="3" s="1"/>
  <c r="O608" i="3"/>
  <c r="Q608" i="3" s="1"/>
  <c r="R608" i="3" s="1"/>
  <c r="O607" i="3"/>
  <c r="Q607" i="3" s="1"/>
  <c r="R607" i="3" s="1"/>
  <c r="O606" i="3"/>
  <c r="Q606" i="3" s="1"/>
  <c r="R606" i="3" s="1"/>
  <c r="O605" i="3"/>
  <c r="Q605" i="3" s="1"/>
  <c r="R605" i="3" s="1"/>
  <c r="O604" i="3"/>
  <c r="Q604" i="3" s="1"/>
  <c r="R604" i="3" s="1"/>
  <c r="O603" i="3"/>
  <c r="Q603" i="3" s="1"/>
  <c r="R603" i="3" s="1"/>
  <c r="O602" i="3"/>
  <c r="Q602" i="3" s="1"/>
  <c r="R602" i="3" s="1"/>
  <c r="O601" i="3"/>
  <c r="Q601" i="3" s="1"/>
  <c r="R601" i="3" s="1"/>
  <c r="O600" i="3"/>
  <c r="Q600" i="3" s="1"/>
  <c r="R600" i="3" s="1"/>
  <c r="O599" i="3"/>
  <c r="Q599" i="3" s="1"/>
  <c r="R599" i="3" s="1"/>
  <c r="O598" i="3"/>
  <c r="Q598" i="3" s="1"/>
  <c r="R598" i="3" s="1"/>
  <c r="O597" i="3"/>
  <c r="Q597" i="3" s="1"/>
  <c r="R597" i="3" s="1"/>
  <c r="O596" i="3"/>
  <c r="Q596" i="3" s="1"/>
  <c r="R596" i="3" s="1"/>
  <c r="O595" i="3"/>
  <c r="Q595" i="3" s="1"/>
  <c r="R595" i="3" s="1"/>
  <c r="O594" i="3"/>
  <c r="Q594" i="3" s="1"/>
  <c r="R594" i="3" s="1"/>
  <c r="O593" i="3"/>
  <c r="Q593" i="3" s="1"/>
  <c r="R593" i="3" s="1"/>
  <c r="O592" i="3"/>
  <c r="Q592" i="3" s="1"/>
  <c r="R592" i="3" s="1"/>
  <c r="O591" i="3"/>
  <c r="Q591" i="3" s="1"/>
  <c r="R591" i="3" s="1"/>
  <c r="O590" i="3"/>
  <c r="Q590" i="3" s="1"/>
  <c r="R590" i="3" s="1"/>
  <c r="O589" i="3"/>
  <c r="Q589" i="3" s="1"/>
  <c r="R589" i="3" s="1"/>
  <c r="O588" i="3"/>
  <c r="Q588" i="3" s="1"/>
  <c r="R588" i="3" s="1"/>
  <c r="O587" i="3"/>
  <c r="Q587" i="3" s="1"/>
  <c r="R587" i="3" s="1"/>
  <c r="O586" i="3"/>
  <c r="Q586" i="3" s="1"/>
  <c r="R586" i="3" s="1"/>
  <c r="O585" i="3"/>
  <c r="Q585" i="3" s="1"/>
  <c r="R585" i="3" s="1"/>
  <c r="O584" i="3"/>
  <c r="Q584" i="3" s="1"/>
  <c r="R584" i="3" s="1"/>
  <c r="O583" i="3"/>
  <c r="Q583" i="3" s="1"/>
  <c r="R583" i="3" s="1"/>
  <c r="O582" i="3"/>
  <c r="Q582" i="3" s="1"/>
  <c r="R582" i="3" s="1"/>
  <c r="O581" i="3"/>
  <c r="Q581" i="3" s="1"/>
  <c r="R581" i="3" s="1"/>
  <c r="O580" i="3"/>
  <c r="Q580" i="3" s="1"/>
  <c r="R580" i="3" s="1"/>
  <c r="O579" i="3"/>
  <c r="Q579" i="3" s="1"/>
  <c r="R579" i="3" s="1"/>
  <c r="O578" i="3"/>
  <c r="Q578" i="3" s="1"/>
  <c r="R578" i="3" s="1"/>
  <c r="O577" i="3"/>
  <c r="Q577" i="3" s="1"/>
  <c r="R577" i="3" s="1"/>
  <c r="O576" i="3"/>
  <c r="Q576" i="3" s="1"/>
  <c r="R576" i="3" s="1"/>
  <c r="O575" i="3"/>
  <c r="Q575" i="3" s="1"/>
  <c r="R575" i="3" s="1"/>
  <c r="O574" i="3"/>
  <c r="Q574" i="3" s="1"/>
  <c r="R574" i="3" s="1"/>
  <c r="O573" i="3"/>
  <c r="Q573" i="3" s="1"/>
  <c r="R573" i="3" s="1"/>
  <c r="O572" i="3"/>
  <c r="Q572" i="3" s="1"/>
  <c r="R572" i="3" s="1"/>
  <c r="O571" i="3"/>
  <c r="Q571" i="3" s="1"/>
  <c r="R571" i="3" s="1"/>
  <c r="O570" i="3"/>
  <c r="Q570" i="3" s="1"/>
  <c r="R570" i="3" s="1"/>
  <c r="O569" i="3"/>
  <c r="Q569" i="3" s="1"/>
  <c r="R569" i="3" s="1"/>
  <c r="O568" i="3"/>
  <c r="Q568" i="3" s="1"/>
  <c r="R568" i="3" s="1"/>
  <c r="O567" i="3"/>
  <c r="Q567" i="3" s="1"/>
  <c r="R567" i="3" s="1"/>
  <c r="O566" i="3"/>
  <c r="Q566" i="3" s="1"/>
  <c r="R566" i="3" s="1"/>
  <c r="O565" i="3"/>
  <c r="Q565" i="3" s="1"/>
  <c r="R565" i="3" s="1"/>
  <c r="O564" i="3"/>
  <c r="Q564" i="3" s="1"/>
  <c r="R564" i="3" s="1"/>
  <c r="O563" i="3"/>
  <c r="Q563" i="3" s="1"/>
  <c r="R563" i="3" s="1"/>
  <c r="O562" i="3"/>
  <c r="Q562" i="3" s="1"/>
  <c r="R562" i="3" s="1"/>
  <c r="O561" i="3"/>
  <c r="Q561" i="3" s="1"/>
  <c r="R561" i="3" s="1"/>
  <c r="O560" i="3"/>
  <c r="Q560" i="3" s="1"/>
  <c r="R560" i="3" s="1"/>
  <c r="O559" i="3"/>
  <c r="Q559" i="3" s="1"/>
  <c r="R559" i="3" s="1"/>
  <c r="O558" i="3"/>
  <c r="Q558" i="3" s="1"/>
  <c r="R558" i="3" s="1"/>
  <c r="O557" i="3"/>
  <c r="Q557" i="3" s="1"/>
  <c r="R557" i="3" s="1"/>
  <c r="O556" i="3"/>
  <c r="Q556" i="3" s="1"/>
  <c r="R556" i="3" s="1"/>
  <c r="O555" i="3"/>
  <c r="Q555" i="3" s="1"/>
  <c r="R555" i="3" s="1"/>
  <c r="O554" i="3"/>
  <c r="Q554" i="3" s="1"/>
  <c r="R554" i="3" s="1"/>
  <c r="O553" i="3"/>
  <c r="Q553" i="3" s="1"/>
  <c r="R553" i="3" s="1"/>
  <c r="O552" i="3"/>
  <c r="Q552" i="3" s="1"/>
  <c r="R552" i="3" s="1"/>
  <c r="O551" i="3"/>
  <c r="Q551" i="3" s="1"/>
  <c r="R551" i="3" s="1"/>
  <c r="O550" i="3"/>
  <c r="Q550" i="3" s="1"/>
  <c r="R550" i="3" s="1"/>
  <c r="O549" i="3"/>
  <c r="Q549" i="3" s="1"/>
  <c r="R549" i="3" s="1"/>
  <c r="O548" i="3"/>
  <c r="Q548" i="3" s="1"/>
  <c r="R548" i="3" s="1"/>
  <c r="O547" i="3"/>
  <c r="Q547" i="3" s="1"/>
  <c r="R547" i="3" s="1"/>
  <c r="O546" i="3"/>
  <c r="Q546" i="3" s="1"/>
  <c r="R546" i="3" s="1"/>
  <c r="O545" i="3"/>
  <c r="Q545" i="3" s="1"/>
  <c r="R545" i="3" s="1"/>
  <c r="O544" i="3"/>
  <c r="Q544" i="3" s="1"/>
  <c r="R544" i="3" s="1"/>
  <c r="O543" i="3"/>
  <c r="Q543" i="3" s="1"/>
  <c r="R543" i="3" s="1"/>
  <c r="O542" i="3"/>
  <c r="Q542" i="3" s="1"/>
  <c r="R542" i="3" s="1"/>
  <c r="O541" i="3"/>
  <c r="Q541" i="3" s="1"/>
  <c r="R541" i="3" s="1"/>
  <c r="O540" i="3"/>
  <c r="Q540" i="3" s="1"/>
  <c r="R540" i="3" s="1"/>
  <c r="O539" i="3"/>
  <c r="Q539" i="3" s="1"/>
  <c r="R539" i="3" s="1"/>
  <c r="O538" i="3"/>
  <c r="Q538" i="3" s="1"/>
  <c r="R538" i="3" s="1"/>
  <c r="O537" i="3"/>
  <c r="Q537" i="3" s="1"/>
  <c r="R537" i="3" s="1"/>
  <c r="O536" i="3"/>
  <c r="Q536" i="3" s="1"/>
  <c r="R536" i="3" s="1"/>
  <c r="O535" i="3"/>
  <c r="Q535" i="3" s="1"/>
  <c r="R535" i="3" s="1"/>
  <c r="O534" i="3"/>
  <c r="Q534" i="3" s="1"/>
  <c r="R534" i="3" s="1"/>
  <c r="O533" i="3"/>
  <c r="Q533" i="3" s="1"/>
  <c r="R533" i="3" s="1"/>
  <c r="O532" i="3"/>
  <c r="Q532" i="3" s="1"/>
  <c r="R532" i="3" s="1"/>
  <c r="O531" i="3"/>
  <c r="Q531" i="3" s="1"/>
  <c r="R531" i="3" s="1"/>
  <c r="O530" i="3"/>
  <c r="Q530" i="3" s="1"/>
  <c r="R530" i="3" s="1"/>
  <c r="O529" i="3"/>
  <c r="Q529" i="3" s="1"/>
  <c r="R529" i="3" s="1"/>
  <c r="O528" i="3"/>
  <c r="Q528" i="3" s="1"/>
  <c r="R528" i="3" s="1"/>
  <c r="O527" i="3"/>
  <c r="Q527" i="3" s="1"/>
  <c r="R527" i="3" s="1"/>
  <c r="O526" i="3"/>
  <c r="Q526" i="3" s="1"/>
  <c r="R526" i="3" s="1"/>
  <c r="O525" i="3"/>
  <c r="Q525" i="3" s="1"/>
  <c r="R525" i="3" s="1"/>
  <c r="O524" i="3"/>
  <c r="Q524" i="3" s="1"/>
  <c r="R524" i="3" s="1"/>
  <c r="O523" i="3"/>
  <c r="Q523" i="3" s="1"/>
  <c r="R523" i="3" s="1"/>
  <c r="O522" i="3"/>
  <c r="Q522" i="3" s="1"/>
  <c r="R522" i="3" s="1"/>
  <c r="O521" i="3"/>
  <c r="Q521" i="3" s="1"/>
  <c r="R521" i="3" s="1"/>
  <c r="O520" i="3"/>
  <c r="Q520" i="3" s="1"/>
  <c r="R520" i="3" s="1"/>
  <c r="O519" i="3"/>
  <c r="Q519" i="3" s="1"/>
  <c r="R519" i="3" s="1"/>
  <c r="O518" i="3"/>
  <c r="Q518" i="3" s="1"/>
  <c r="R518" i="3" s="1"/>
  <c r="O517" i="3"/>
  <c r="Q517" i="3" s="1"/>
  <c r="R517" i="3" s="1"/>
  <c r="O516" i="3"/>
  <c r="Q516" i="3" s="1"/>
  <c r="R516" i="3" s="1"/>
  <c r="O515" i="3"/>
  <c r="Q515" i="3" s="1"/>
  <c r="R515" i="3" s="1"/>
  <c r="O514" i="3"/>
  <c r="Q514" i="3" s="1"/>
  <c r="R514" i="3" s="1"/>
  <c r="O513" i="3"/>
  <c r="Q513" i="3" s="1"/>
  <c r="R513" i="3" s="1"/>
  <c r="O512" i="3"/>
  <c r="Q512" i="3" s="1"/>
  <c r="R512" i="3" s="1"/>
  <c r="O511" i="3"/>
  <c r="Q511" i="3" s="1"/>
  <c r="R511" i="3" s="1"/>
  <c r="O510" i="3"/>
  <c r="Q510" i="3" s="1"/>
  <c r="R510" i="3" s="1"/>
  <c r="O509" i="3"/>
  <c r="Q509" i="3" s="1"/>
  <c r="R509" i="3" s="1"/>
  <c r="O508" i="3"/>
  <c r="Q508" i="3" s="1"/>
  <c r="R508" i="3" s="1"/>
  <c r="O507" i="3"/>
  <c r="Q507" i="3" s="1"/>
  <c r="R507" i="3" s="1"/>
  <c r="O506" i="3"/>
  <c r="Q506" i="3" s="1"/>
  <c r="R506" i="3" s="1"/>
  <c r="O505" i="3"/>
  <c r="Q505" i="3" s="1"/>
  <c r="R505" i="3" s="1"/>
  <c r="O504" i="3"/>
  <c r="Q504" i="3" s="1"/>
  <c r="R504" i="3" s="1"/>
  <c r="O503" i="3"/>
  <c r="Q503" i="3" s="1"/>
  <c r="R503" i="3" s="1"/>
  <c r="O502" i="3"/>
  <c r="Q502" i="3" s="1"/>
  <c r="R502" i="3" s="1"/>
  <c r="O501" i="3"/>
  <c r="Q501" i="3" s="1"/>
  <c r="R501" i="3" s="1"/>
  <c r="O500" i="3"/>
  <c r="Q500" i="3" s="1"/>
  <c r="R500" i="3" s="1"/>
  <c r="O499" i="3"/>
  <c r="Q499" i="3" s="1"/>
  <c r="R499" i="3" s="1"/>
  <c r="O498" i="3"/>
  <c r="Q498" i="3" s="1"/>
  <c r="R498" i="3" s="1"/>
  <c r="O497" i="3"/>
  <c r="Q497" i="3" s="1"/>
  <c r="R497" i="3" s="1"/>
  <c r="O496" i="3"/>
  <c r="Q496" i="3" s="1"/>
  <c r="R496" i="3" s="1"/>
  <c r="O495" i="3"/>
  <c r="Q495" i="3" s="1"/>
  <c r="R495" i="3" s="1"/>
  <c r="O494" i="3"/>
  <c r="Q494" i="3" s="1"/>
  <c r="R494" i="3" s="1"/>
  <c r="O493" i="3"/>
  <c r="Q493" i="3" s="1"/>
  <c r="R493" i="3" s="1"/>
  <c r="O492" i="3"/>
  <c r="Q492" i="3" s="1"/>
  <c r="R492" i="3" s="1"/>
  <c r="O491" i="3"/>
  <c r="Q491" i="3" s="1"/>
  <c r="R491" i="3" s="1"/>
  <c r="O490" i="3"/>
  <c r="Q490" i="3" s="1"/>
  <c r="R490" i="3" s="1"/>
  <c r="O489" i="3"/>
  <c r="Q489" i="3" s="1"/>
  <c r="R489" i="3" s="1"/>
  <c r="O488" i="3"/>
  <c r="Q488" i="3" s="1"/>
  <c r="R488" i="3" s="1"/>
  <c r="O487" i="3"/>
  <c r="Q487" i="3" s="1"/>
  <c r="R487" i="3" s="1"/>
  <c r="O486" i="3"/>
  <c r="Q486" i="3" s="1"/>
  <c r="R486" i="3" s="1"/>
  <c r="O485" i="3"/>
  <c r="Q485" i="3" s="1"/>
  <c r="R485" i="3" s="1"/>
  <c r="O484" i="3"/>
  <c r="Q484" i="3" s="1"/>
  <c r="R484" i="3" s="1"/>
  <c r="O483" i="3"/>
  <c r="Q483" i="3" s="1"/>
  <c r="R483" i="3" s="1"/>
  <c r="O482" i="3"/>
  <c r="Q482" i="3" s="1"/>
  <c r="R482" i="3" s="1"/>
  <c r="O481" i="3"/>
  <c r="Q481" i="3" s="1"/>
  <c r="R481" i="3" s="1"/>
  <c r="O480" i="3"/>
  <c r="Q480" i="3" s="1"/>
  <c r="R480" i="3" s="1"/>
  <c r="O479" i="3"/>
  <c r="Q479" i="3" s="1"/>
  <c r="R479" i="3" s="1"/>
  <c r="O478" i="3"/>
  <c r="Q478" i="3" s="1"/>
  <c r="R478" i="3" s="1"/>
  <c r="O477" i="3"/>
  <c r="Q477" i="3" s="1"/>
  <c r="R477" i="3" s="1"/>
  <c r="O476" i="3"/>
  <c r="Q476" i="3" s="1"/>
  <c r="R476" i="3" s="1"/>
  <c r="O475" i="3"/>
  <c r="Q475" i="3" s="1"/>
  <c r="R475" i="3" s="1"/>
  <c r="O474" i="3"/>
  <c r="Q474" i="3" s="1"/>
  <c r="R474" i="3" s="1"/>
  <c r="O473" i="3"/>
  <c r="Q473" i="3" s="1"/>
  <c r="R473" i="3" s="1"/>
  <c r="O472" i="3"/>
  <c r="Q472" i="3" s="1"/>
  <c r="R472" i="3" s="1"/>
  <c r="O471" i="3"/>
  <c r="Q471" i="3" s="1"/>
  <c r="R471" i="3" s="1"/>
  <c r="O470" i="3"/>
  <c r="Q470" i="3" s="1"/>
  <c r="R470" i="3" s="1"/>
  <c r="O469" i="3"/>
  <c r="Q469" i="3" s="1"/>
  <c r="R469" i="3" s="1"/>
  <c r="O468" i="3"/>
  <c r="Q468" i="3" s="1"/>
  <c r="R468" i="3" s="1"/>
  <c r="O467" i="3"/>
  <c r="Q467" i="3" s="1"/>
  <c r="R467" i="3" s="1"/>
  <c r="O466" i="3"/>
  <c r="Q466" i="3" s="1"/>
  <c r="R466" i="3" s="1"/>
  <c r="O465" i="3"/>
  <c r="Q465" i="3" s="1"/>
  <c r="R465" i="3" s="1"/>
  <c r="O464" i="3"/>
  <c r="Q464" i="3" s="1"/>
  <c r="R464" i="3" s="1"/>
  <c r="O463" i="3"/>
  <c r="Q463" i="3" s="1"/>
  <c r="R463" i="3" s="1"/>
  <c r="O462" i="3"/>
  <c r="Q462" i="3" s="1"/>
  <c r="R462" i="3" s="1"/>
  <c r="O461" i="3"/>
  <c r="Q461" i="3" s="1"/>
  <c r="R461" i="3" s="1"/>
  <c r="O460" i="3"/>
  <c r="Q460" i="3" s="1"/>
  <c r="R460" i="3" s="1"/>
  <c r="O459" i="3"/>
  <c r="Q459" i="3" s="1"/>
  <c r="R459" i="3" s="1"/>
  <c r="O458" i="3"/>
  <c r="Q458" i="3" s="1"/>
  <c r="R458" i="3" s="1"/>
  <c r="O457" i="3"/>
  <c r="Q457" i="3" s="1"/>
  <c r="R457" i="3" s="1"/>
  <c r="O456" i="3"/>
  <c r="Q456" i="3" s="1"/>
  <c r="R456" i="3" s="1"/>
  <c r="O455" i="3"/>
  <c r="Q455" i="3" s="1"/>
  <c r="R455" i="3" s="1"/>
  <c r="O454" i="3"/>
  <c r="Q454" i="3" s="1"/>
  <c r="R454" i="3" s="1"/>
  <c r="O453" i="3"/>
  <c r="Q453" i="3" s="1"/>
  <c r="R453" i="3" s="1"/>
  <c r="O452" i="3"/>
  <c r="Q452" i="3" s="1"/>
  <c r="R452" i="3" s="1"/>
  <c r="O451" i="3"/>
  <c r="Q451" i="3" s="1"/>
  <c r="R451" i="3" s="1"/>
  <c r="O450" i="3"/>
  <c r="Q450" i="3" s="1"/>
  <c r="R450" i="3" s="1"/>
  <c r="O449" i="3"/>
  <c r="Q449" i="3" s="1"/>
  <c r="R449" i="3" s="1"/>
  <c r="O448" i="3"/>
  <c r="Q448" i="3" s="1"/>
  <c r="R448" i="3" s="1"/>
  <c r="O447" i="3"/>
  <c r="Q447" i="3" s="1"/>
  <c r="R447" i="3" s="1"/>
  <c r="O446" i="3"/>
  <c r="Q446" i="3" s="1"/>
  <c r="R446" i="3" s="1"/>
  <c r="O445" i="3"/>
  <c r="Q445" i="3" s="1"/>
  <c r="R445" i="3" s="1"/>
  <c r="O444" i="3"/>
  <c r="Q444" i="3" s="1"/>
  <c r="R444" i="3" s="1"/>
  <c r="O443" i="3"/>
  <c r="Q443" i="3" s="1"/>
  <c r="R443" i="3" s="1"/>
  <c r="O442" i="3"/>
  <c r="Q442" i="3" s="1"/>
  <c r="R442" i="3" s="1"/>
  <c r="O441" i="3"/>
  <c r="Q441" i="3" s="1"/>
  <c r="R441" i="3" s="1"/>
  <c r="O440" i="3"/>
  <c r="Q440" i="3" s="1"/>
  <c r="R440" i="3" s="1"/>
  <c r="O439" i="3"/>
  <c r="Q439" i="3" s="1"/>
  <c r="R439" i="3" s="1"/>
  <c r="O438" i="3"/>
  <c r="Q438" i="3" s="1"/>
  <c r="R438" i="3" s="1"/>
  <c r="O437" i="3"/>
  <c r="Q437" i="3" s="1"/>
  <c r="R437" i="3" s="1"/>
  <c r="O436" i="3"/>
  <c r="Q436" i="3" s="1"/>
  <c r="R436" i="3" s="1"/>
  <c r="O435" i="3"/>
  <c r="Q435" i="3" s="1"/>
  <c r="R435" i="3" s="1"/>
  <c r="O434" i="3"/>
  <c r="Q434" i="3" s="1"/>
  <c r="R434" i="3" s="1"/>
  <c r="O433" i="3"/>
  <c r="Q433" i="3" s="1"/>
  <c r="R433" i="3" s="1"/>
  <c r="O432" i="3"/>
  <c r="Q432" i="3" s="1"/>
  <c r="R432" i="3" s="1"/>
  <c r="O431" i="3"/>
  <c r="Q431" i="3" s="1"/>
  <c r="R431" i="3" s="1"/>
  <c r="O430" i="3"/>
  <c r="Q430" i="3" s="1"/>
  <c r="R430" i="3" s="1"/>
  <c r="O429" i="3"/>
  <c r="Q429" i="3" s="1"/>
  <c r="R429" i="3" s="1"/>
  <c r="O428" i="3"/>
  <c r="Q428" i="3" s="1"/>
  <c r="R428" i="3" s="1"/>
  <c r="O427" i="3"/>
  <c r="Q427" i="3" s="1"/>
  <c r="R427" i="3" s="1"/>
  <c r="O426" i="3"/>
  <c r="Q426" i="3" s="1"/>
  <c r="R426" i="3" s="1"/>
  <c r="O425" i="3"/>
  <c r="Q425" i="3" s="1"/>
  <c r="R425" i="3" s="1"/>
  <c r="O424" i="3"/>
  <c r="Q424" i="3" s="1"/>
  <c r="R424" i="3" s="1"/>
  <c r="O423" i="3"/>
  <c r="Q423" i="3" s="1"/>
  <c r="R423" i="3" s="1"/>
  <c r="O422" i="3"/>
  <c r="Q422" i="3" s="1"/>
  <c r="R422" i="3" s="1"/>
  <c r="O421" i="3"/>
  <c r="Q421" i="3" s="1"/>
  <c r="R421" i="3" s="1"/>
  <c r="O420" i="3"/>
  <c r="Q420" i="3" s="1"/>
  <c r="R420" i="3" s="1"/>
  <c r="O419" i="3"/>
  <c r="Q419" i="3" s="1"/>
  <c r="R419" i="3" s="1"/>
  <c r="O418" i="3"/>
  <c r="Q418" i="3" s="1"/>
  <c r="R418" i="3" s="1"/>
  <c r="O417" i="3"/>
  <c r="Q417" i="3" s="1"/>
  <c r="R417" i="3" s="1"/>
  <c r="O416" i="3"/>
  <c r="Q416" i="3" s="1"/>
  <c r="R416" i="3" s="1"/>
  <c r="O415" i="3"/>
  <c r="Q415" i="3" s="1"/>
  <c r="R415" i="3" s="1"/>
  <c r="O414" i="3"/>
  <c r="Q414" i="3" s="1"/>
  <c r="R414" i="3" s="1"/>
  <c r="O413" i="3"/>
  <c r="Q413" i="3" s="1"/>
  <c r="R413" i="3" s="1"/>
  <c r="O412" i="3"/>
  <c r="Q412" i="3" s="1"/>
  <c r="R412" i="3" s="1"/>
  <c r="O411" i="3"/>
  <c r="Q411" i="3" s="1"/>
  <c r="R411" i="3" s="1"/>
  <c r="O410" i="3"/>
  <c r="Q410" i="3" s="1"/>
  <c r="R410" i="3" s="1"/>
  <c r="O409" i="3"/>
  <c r="Q409" i="3" s="1"/>
  <c r="R409" i="3" s="1"/>
  <c r="O408" i="3"/>
  <c r="Q408" i="3" s="1"/>
  <c r="R408" i="3" s="1"/>
  <c r="O407" i="3"/>
  <c r="Q407" i="3" s="1"/>
  <c r="R407" i="3" s="1"/>
  <c r="O406" i="3"/>
  <c r="Q406" i="3" s="1"/>
  <c r="R406" i="3" s="1"/>
  <c r="O405" i="3"/>
  <c r="Q405" i="3" s="1"/>
  <c r="R405" i="3" s="1"/>
  <c r="O404" i="3"/>
  <c r="Q404" i="3" s="1"/>
  <c r="R404" i="3" s="1"/>
  <c r="O403" i="3"/>
  <c r="Q403" i="3" s="1"/>
  <c r="R403" i="3" s="1"/>
  <c r="O402" i="3"/>
  <c r="Q402" i="3" s="1"/>
  <c r="R402" i="3" s="1"/>
  <c r="O401" i="3"/>
  <c r="Q401" i="3" s="1"/>
  <c r="R401" i="3" s="1"/>
  <c r="O400" i="3"/>
  <c r="Q400" i="3" s="1"/>
  <c r="R400" i="3" s="1"/>
  <c r="O399" i="3"/>
  <c r="Q399" i="3" s="1"/>
  <c r="R399" i="3" s="1"/>
  <c r="O398" i="3"/>
  <c r="Q398" i="3" s="1"/>
  <c r="R398" i="3" s="1"/>
  <c r="O397" i="3"/>
  <c r="Q397" i="3" s="1"/>
  <c r="R397" i="3" s="1"/>
  <c r="O396" i="3"/>
  <c r="Q396" i="3" s="1"/>
  <c r="R396" i="3" s="1"/>
  <c r="O395" i="3"/>
  <c r="Q395" i="3" s="1"/>
  <c r="R395" i="3" s="1"/>
  <c r="O394" i="3"/>
  <c r="Q394" i="3" s="1"/>
  <c r="R394" i="3" s="1"/>
  <c r="O393" i="3"/>
  <c r="Q393" i="3" s="1"/>
  <c r="R393" i="3" s="1"/>
  <c r="O392" i="3"/>
  <c r="Q392" i="3" s="1"/>
  <c r="R392" i="3" s="1"/>
  <c r="O391" i="3"/>
  <c r="Q391" i="3" s="1"/>
  <c r="R391" i="3" s="1"/>
  <c r="O390" i="3"/>
  <c r="Q390" i="3" s="1"/>
  <c r="R390" i="3" s="1"/>
  <c r="O389" i="3"/>
  <c r="Q389" i="3" s="1"/>
  <c r="R389" i="3" s="1"/>
  <c r="O388" i="3"/>
  <c r="Q388" i="3" s="1"/>
  <c r="R388" i="3" s="1"/>
  <c r="O387" i="3"/>
  <c r="Q387" i="3" s="1"/>
  <c r="R387" i="3" s="1"/>
  <c r="O386" i="3"/>
  <c r="Q386" i="3" s="1"/>
  <c r="R386" i="3" s="1"/>
  <c r="O385" i="3"/>
  <c r="Q385" i="3" s="1"/>
  <c r="R385" i="3" s="1"/>
  <c r="O384" i="3"/>
  <c r="Q384" i="3" s="1"/>
  <c r="R384" i="3" s="1"/>
  <c r="O383" i="3"/>
  <c r="Q383" i="3" s="1"/>
  <c r="R383" i="3" s="1"/>
  <c r="O382" i="3"/>
  <c r="Q382" i="3" s="1"/>
  <c r="R382" i="3" s="1"/>
  <c r="O381" i="3"/>
  <c r="Q381" i="3" s="1"/>
  <c r="R381" i="3" s="1"/>
  <c r="O380" i="3"/>
  <c r="Q380" i="3" s="1"/>
  <c r="R380" i="3" s="1"/>
  <c r="O379" i="3"/>
  <c r="Q379" i="3" s="1"/>
  <c r="R379" i="3" s="1"/>
  <c r="O378" i="3"/>
  <c r="Q378" i="3" s="1"/>
  <c r="R378" i="3" s="1"/>
  <c r="O377" i="3"/>
  <c r="Q377" i="3" s="1"/>
  <c r="R377" i="3" s="1"/>
  <c r="O376" i="3"/>
  <c r="Q376" i="3" s="1"/>
  <c r="R376" i="3" s="1"/>
  <c r="O375" i="3"/>
  <c r="Q375" i="3" s="1"/>
  <c r="R375" i="3" s="1"/>
  <c r="O374" i="3"/>
  <c r="Q374" i="3" s="1"/>
  <c r="R374" i="3" s="1"/>
  <c r="O373" i="3"/>
  <c r="Q373" i="3" s="1"/>
  <c r="R373" i="3" s="1"/>
  <c r="O372" i="3"/>
  <c r="Q372" i="3" s="1"/>
  <c r="R372" i="3" s="1"/>
  <c r="O371" i="3"/>
  <c r="Q371" i="3" s="1"/>
  <c r="R371" i="3" s="1"/>
  <c r="O370" i="3"/>
  <c r="Q370" i="3" s="1"/>
  <c r="R370" i="3" s="1"/>
  <c r="O369" i="3"/>
  <c r="Q369" i="3" s="1"/>
  <c r="R369" i="3" s="1"/>
  <c r="O368" i="3"/>
  <c r="Q368" i="3" s="1"/>
  <c r="R368" i="3" s="1"/>
  <c r="O367" i="3"/>
  <c r="Q367" i="3" s="1"/>
  <c r="R367" i="3" s="1"/>
  <c r="O366" i="3"/>
  <c r="Q366" i="3" s="1"/>
  <c r="R366" i="3" s="1"/>
  <c r="O365" i="3"/>
  <c r="Q365" i="3" s="1"/>
  <c r="R365" i="3" s="1"/>
  <c r="O364" i="3"/>
  <c r="Q364" i="3" s="1"/>
  <c r="R364" i="3" s="1"/>
  <c r="O363" i="3"/>
  <c r="Q363" i="3" s="1"/>
  <c r="R363" i="3" s="1"/>
  <c r="O362" i="3"/>
  <c r="Q362" i="3" s="1"/>
  <c r="R362" i="3" s="1"/>
  <c r="O361" i="3"/>
  <c r="Q361" i="3" s="1"/>
  <c r="R361" i="3" s="1"/>
  <c r="O360" i="3"/>
  <c r="Q360" i="3" s="1"/>
  <c r="R360" i="3" s="1"/>
  <c r="O359" i="3"/>
  <c r="Q359" i="3" s="1"/>
  <c r="R359" i="3" s="1"/>
  <c r="O358" i="3"/>
  <c r="Q358" i="3" s="1"/>
  <c r="R358" i="3" s="1"/>
  <c r="O357" i="3"/>
  <c r="Q357" i="3" s="1"/>
  <c r="R357" i="3" s="1"/>
  <c r="O356" i="3"/>
  <c r="Q356" i="3" s="1"/>
  <c r="R356" i="3" s="1"/>
  <c r="O355" i="3"/>
  <c r="Q355" i="3" s="1"/>
  <c r="R355" i="3" s="1"/>
  <c r="O354" i="3"/>
  <c r="Q354" i="3" s="1"/>
  <c r="R354" i="3" s="1"/>
  <c r="O353" i="3"/>
  <c r="Q353" i="3" s="1"/>
  <c r="R353" i="3" s="1"/>
  <c r="O352" i="3"/>
  <c r="Q352" i="3" s="1"/>
  <c r="R352" i="3" s="1"/>
  <c r="O351" i="3"/>
  <c r="Q351" i="3" s="1"/>
  <c r="R351" i="3" s="1"/>
  <c r="O350" i="3"/>
  <c r="Q350" i="3" s="1"/>
  <c r="R350" i="3" s="1"/>
  <c r="O349" i="3"/>
  <c r="Q349" i="3" s="1"/>
  <c r="R349" i="3" s="1"/>
  <c r="O348" i="3"/>
  <c r="Q348" i="3" s="1"/>
  <c r="R348" i="3" s="1"/>
  <c r="O347" i="3"/>
  <c r="Q347" i="3" s="1"/>
  <c r="R347" i="3" s="1"/>
  <c r="O346" i="3"/>
  <c r="Q346" i="3" s="1"/>
  <c r="R346" i="3" s="1"/>
  <c r="O345" i="3"/>
  <c r="Q345" i="3" s="1"/>
  <c r="R345" i="3" s="1"/>
  <c r="O344" i="3"/>
  <c r="Q344" i="3" s="1"/>
  <c r="R344" i="3" s="1"/>
  <c r="O343" i="3"/>
  <c r="Q343" i="3" s="1"/>
  <c r="R343" i="3" s="1"/>
  <c r="O342" i="3"/>
  <c r="Q342" i="3" s="1"/>
  <c r="R342" i="3" s="1"/>
  <c r="O341" i="3"/>
  <c r="Q341" i="3" s="1"/>
  <c r="R341" i="3" s="1"/>
  <c r="O340" i="3"/>
  <c r="Q340" i="3" s="1"/>
  <c r="R340" i="3" s="1"/>
  <c r="O339" i="3"/>
  <c r="Q339" i="3" s="1"/>
  <c r="R339" i="3" s="1"/>
  <c r="O338" i="3"/>
  <c r="Q338" i="3" s="1"/>
  <c r="R338" i="3" s="1"/>
  <c r="O337" i="3"/>
  <c r="Q337" i="3" s="1"/>
  <c r="R337" i="3" s="1"/>
  <c r="O336" i="3"/>
  <c r="Q336" i="3" s="1"/>
  <c r="R336" i="3" s="1"/>
  <c r="O335" i="3"/>
  <c r="Q335" i="3" s="1"/>
  <c r="R335" i="3" s="1"/>
  <c r="O334" i="3"/>
  <c r="Q334" i="3" s="1"/>
  <c r="R334" i="3" s="1"/>
  <c r="O333" i="3"/>
  <c r="Q333" i="3" s="1"/>
  <c r="R333" i="3" s="1"/>
  <c r="O332" i="3"/>
  <c r="Q332" i="3" s="1"/>
  <c r="R332" i="3" s="1"/>
  <c r="O331" i="3"/>
  <c r="Q331" i="3" s="1"/>
  <c r="R331" i="3" s="1"/>
  <c r="O330" i="3"/>
  <c r="Q330" i="3" s="1"/>
  <c r="R330" i="3" s="1"/>
  <c r="O329" i="3"/>
  <c r="Q329" i="3" s="1"/>
  <c r="R329" i="3" s="1"/>
  <c r="O328" i="3"/>
  <c r="Q328" i="3" s="1"/>
  <c r="R328" i="3" s="1"/>
  <c r="O327" i="3"/>
  <c r="Q327" i="3" s="1"/>
  <c r="R327" i="3" s="1"/>
  <c r="O326" i="3"/>
  <c r="Q326" i="3" s="1"/>
  <c r="R326" i="3" s="1"/>
  <c r="O325" i="3"/>
  <c r="Q325" i="3" s="1"/>
  <c r="R325" i="3" s="1"/>
  <c r="O324" i="3"/>
  <c r="Q324" i="3" s="1"/>
  <c r="R324" i="3" s="1"/>
  <c r="O323" i="3"/>
  <c r="Q323" i="3" s="1"/>
  <c r="R323" i="3" s="1"/>
  <c r="O322" i="3"/>
  <c r="Q322" i="3" s="1"/>
  <c r="R322" i="3" s="1"/>
  <c r="O321" i="3"/>
  <c r="Q321" i="3" s="1"/>
  <c r="R321" i="3" s="1"/>
  <c r="O320" i="3"/>
  <c r="Q320" i="3" s="1"/>
  <c r="R320" i="3" s="1"/>
  <c r="O319" i="3"/>
  <c r="Q319" i="3" s="1"/>
  <c r="R319" i="3" s="1"/>
  <c r="O318" i="3"/>
  <c r="Q318" i="3" s="1"/>
  <c r="R318" i="3" s="1"/>
  <c r="O317" i="3"/>
  <c r="Q317" i="3" s="1"/>
  <c r="R317" i="3" s="1"/>
  <c r="O316" i="3"/>
  <c r="Q316" i="3" s="1"/>
  <c r="R316" i="3" s="1"/>
  <c r="O315" i="3"/>
  <c r="Q315" i="3" s="1"/>
  <c r="R315" i="3" s="1"/>
  <c r="O314" i="3"/>
  <c r="Q314" i="3" s="1"/>
  <c r="R314" i="3" s="1"/>
  <c r="O313" i="3"/>
  <c r="Q313" i="3" s="1"/>
  <c r="R313" i="3" s="1"/>
  <c r="O312" i="3"/>
  <c r="Q312" i="3" s="1"/>
  <c r="R312" i="3" s="1"/>
  <c r="O311" i="3"/>
  <c r="Q311" i="3" s="1"/>
  <c r="R311" i="3" s="1"/>
  <c r="O310" i="3"/>
  <c r="Q310" i="3" s="1"/>
  <c r="R310" i="3" s="1"/>
  <c r="O309" i="3"/>
  <c r="Q309" i="3" s="1"/>
  <c r="R309" i="3" s="1"/>
  <c r="O308" i="3"/>
  <c r="Q308" i="3" s="1"/>
  <c r="R308" i="3" s="1"/>
  <c r="O307" i="3"/>
  <c r="Q307" i="3" s="1"/>
  <c r="R307" i="3" s="1"/>
  <c r="O306" i="3"/>
  <c r="Q306" i="3" s="1"/>
  <c r="R306" i="3" s="1"/>
  <c r="O305" i="3"/>
  <c r="Q305" i="3" s="1"/>
  <c r="R305" i="3" s="1"/>
  <c r="O304" i="3"/>
  <c r="Q304" i="3" s="1"/>
  <c r="R304" i="3" s="1"/>
  <c r="O303" i="3"/>
  <c r="Q303" i="3" s="1"/>
  <c r="R303" i="3" s="1"/>
  <c r="O302" i="3"/>
  <c r="Q302" i="3" s="1"/>
  <c r="R302" i="3" s="1"/>
  <c r="O301" i="3"/>
  <c r="Q301" i="3" s="1"/>
  <c r="R301" i="3" s="1"/>
  <c r="O300" i="3"/>
  <c r="Q300" i="3" s="1"/>
  <c r="R300" i="3" s="1"/>
  <c r="O299" i="3"/>
  <c r="Q299" i="3" s="1"/>
  <c r="R299" i="3" s="1"/>
  <c r="O298" i="3"/>
  <c r="Q298" i="3" s="1"/>
  <c r="R298" i="3" s="1"/>
  <c r="O297" i="3"/>
  <c r="Q297" i="3" s="1"/>
  <c r="R297" i="3" s="1"/>
  <c r="O296" i="3"/>
  <c r="Q296" i="3" s="1"/>
  <c r="R296" i="3" s="1"/>
  <c r="O295" i="3"/>
  <c r="Q295" i="3" s="1"/>
  <c r="R295" i="3" s="1"/>
  <c r="O294" i="3"/>
  <c r="Q294" i="3" s="1"/>
  <c r="R294" i="3" s="1"/>
  <c r="O293" i="3"/>
  <c r="Q293" i="3" s="1"/>
  <c r="R293" i="3" s="1"/>
  <c r="O292" i="3"/>
  <c r="Q292" i="3" s="1"/>
  <c r="R292" i="3" s="1"/>
  <c r="O291" i="3"/>
  <c r="Q291" i="3" s="1"/>
  <c r="R291" i="3" s="1"/>
  <c r="O290" i="3"/>
  <c r="Q290" i="3" s="1"/>
  <c r="R290" i="3" s="1"/>
  <c r="O289" i="3"/>
  <c r="Q289" i="3" s="1"/>
  <c r="R289" i="3" s="1"/>
  <c r="O288" i="3"/>
  <c r="Q288" i="3" s="1"/>
  <c r="R288" i="3" s="1"/>
  <c r="O287" i="3"/>
  <c r="Q287" i="3" s="1"/>
  <c r="R287" i="3" s="1"/>
  <c r="O286" i="3"/>
  <c r="Q286" i="3" s="1"/>
  <c r="R286" i="3" s="1"/>
  <c r="O285" i="3"/>
  <c r="Q285" i="3" s="1"/>
  <c r="R285" i="3" s="1"/>
  <c r="O284" i="3"/>
  <c r="Q284" i="3" s="1"/>
  <c r="R284" i="3" s="1"/>
  <c r="O283" i="3"/>
  <c r="Q283" i="3" s="1"/>
  <c r="R283" i="3" s="1"/>
  <c r="O282" i="3"/>
  <c r="Q282" i="3" s="1"/>
  <c r="R282" i="3" s="1"/>
  <c r="O281" i="3"/>
  <c r="Q281" i="3" s="1"/>
  <c r="R281" i="3" s="1"/>
  <c r="O280" i="3"/>
  <c r="Q280" i="3" s="1"/>
  <c r="R280" i="3" s="1"/>
  <c r="O279" i="3"/>
  <c r="Q279" i="3" s="1"/>
  <c r="R279" i="3" s="1"/>
  <c r="O278" i="3"/>
  <c r="Q278" i="3" s="1"/>
  <c r="R278" i="3" s="1"/>
  <c r="O277" i="3"/>
  <c r="Q277" i="3" s="1"/>
  <c r="R277" i="3" s="1"/>
  <c r="O276" i="3"/>
  <c r="Q276" i="3" s="1"/>
  <c r="R276" i="3" s="1"/>
  <c r="O275" i="3"/>
  <c r="Q275" i="3" s="1"/>
  <c r="R275" i="3" s="1"/>
  <c r="O274" i="3"/>
  <c r="Q274" i="3" s="1"/>
  <c r="R274" i="3" s="1"/>
  <c r="O273" i="3"/>
  <c r="Q273" i="3" s="1"/>
  <c r="R273" i="3" s="1"/>
  <c r="O272" i="3"/>
  <c r="Q272" i="3" s="1"/>
  <c r="R272" i="3" s="1"/>
  <c r="O271" i="3"/>
  <c r="Q271" i="3" s="1"/>
  <c r="R271" i="3" s="1"/>
  <c r="O270" i="3"/>
  <c r="Q270" i="3" s="1"/>
  <c r="R270" i="3" s="1"/>
  <c r="O269" i="3"/>
  <c r="Q269" i="3" s="1"/>
  <c r="R269" i="3" s="1"/>
  <c r="O268" i="3"/>
  <c r="Q268" i="3" s="1"/>
  <c r="R268" i="3" s="1"/>
  <c r="O267" i="3"/>
  <c r="Q267" i="3" s="1"/>
  <c r="R267" i="3" s="1"/>
  <c r="O266" i="3"/>
  <c r="Q266" i="3" s="1"/>
  <c r="R266" i="3" s="1"/>
  <c r="O265" i="3"/>
  <c r="Q265" i="3" s="1"/>
  <c r="R265" i="3" s="1"/>
  <c r="O264" i="3"/>
  <c r="Q264" i="3" s="1"/>
  <c r="R264" i="3" s="1"/>
  <c r="O263" i="3"/>
  <c r="Q263" i="3" s="1"/>
  <c r="R263" i="3" s="1"/>
  <c r="O262" i="3"/>
  <c r="Q262" i="3" s="1"/>
  <c r="R262" i="3" s="1"/>
  <c r="O261" i="3"/>
  <c r="Q261" i="3" s="1"/>
  <c r="R261" i="3" s="1"/>
  <c r="O260" i="3"/>
  <c r="Q260" i="3" s="1"/>
  <c r="R260" i="3" s="1"/>
  <c r="O259" i="3"/>
  <c r="Q259" i="3" s="1"/>
  <c r="R259" i="3" s="1"/>
  <c r="O258" i="3"/>
  <c r="Q258" i="3" s="1"/>
  <c r="R258" i="3" s="1"/>
  <c r="O257" i="3"/>
  <c r="Q257" i="3" s="1"/>
  <c r="R257" i="3" s="1"/>
  <c r="O256" i="3"/>
  <c r="Q256" i="3" s="1"/>
  <c r="R256" i="3" s="1"/>
  <c r="O255" i="3"/>
  <c r="Q255" i="3" s="1"/>
  <c r="R255" i="3" s="1"/>
  <c r="O254" i="3"/>
  <c r="Q254" i="3" s="1"/>
  <c r="R254" i="3" s="1"/>
  <c r="O253" i="3"/>
  <c r="Q253" i="3" s="1"/>
  <c r="R253" i="3" s="1"/>
  <c r="O252" i="3"/>
  <c r="Q252" i="3" s="1"/>
  <c r="R252" i="3" s="1"/>
  <c r="O251" i="3"/>
  <c r="Q251" i="3" s="1"/>
  <c r="R251" i="3" s="1"/>
  <c r="O250" i="3"/>
  <c r="Q250" i="3" s="1"/>
  <c r="R250" i="3" s="1"/>
  <c r="O249" i="3"/>
  <c r="Q249" i="3" s="1"/>
  <c r="R249" i="3" s="1"/>
  <c r="O248" i="3"/>
  <c r="Q248" i="3" s="1"/>
  <c r="R248" i="3" s="1"/>
  <c r="O247" i="3"/>
  <c r="Q247" i="3" s="1"/>
  <c r="R247" i="3" s="1"/>
  <c r="O246" i="3"/>
  <c r="Q246" i="3" s="1"/>
  <c r="R246" i="3" s="1"/>
  <c r="O245" i="3"/>
  <c r="Q245" i="3" s="1"/>
  <c r="R245" i="3" s="1"/>
  <c r="O244" i="3"/>
  <c r="Q244" i="3" s="1"/>
  <c r="R244" i="3" s="1"/>
  <c r="O243" i="3"/>
  <c r="Q243" i="3" s="1"/>
  <c r="R243" i="3" s="1"/>
  <c r="O242" i="3"/>
  <c r="Q242" i="3" s="1"/>
  <c r="R242" i="3" s="1"/>
  <c r="O241" i="3"/>
  <c r="Q241" i="3" s="1"/>
  <c r="R241" i="3" s="1"/>
  <c r="O240" i="3"/>
  <c r="Q240" i="3" s="1"/>
  <c r="R240" i="3" s="1"/>
  <c r="O239" i="3"/>
  <c r="Q239" i="3" s="1"/>
  <c r="R239" i="3" s="1"/>
  <c r="O238" i="3"/>
  <c r="Q238" i="3" s="1"/>
  <c r="R238" i="3" s="1"/>
  <c r="O237" i="3"/>
  <c r="Q237" i="3" s="1"/>
  <c r="R237" i="3" s="1"/>
  <c r="O236" i="3"/>
  <c r="Q236" i="3" s="1"/>
  <c r="R236" i="3" s="1"/>
  <c r="O235" i="3"/>
  <c r="Q235" i="3" s="1"/>
  <c r="R235" i="3" s="1"/>
  <c r="O234" i="3"/>
  <c r="Q234" i="3" s="1"/>
  <c r="R234" i="3" s="1"/>
  <c r="O233" i="3"/>
  <c r="Q233" i="3" s="1"/>
  <c r="R233" i="3" s="1"/>
  <c r="O232" i="3"/>
  <c r="Q232" i="3" s="1"/>
  <c r="R232" i="3" s="1"/>
  <c r="O231" i="3"/>
  <c r="Q231" i="3" s="1"/>
  <c r="R231" i="3" s="1"/>
  <c r="O230" i="3"/>
  <c r="Q230" i="3" s="1"/>
  <c r="R230" i="3" s="1"/>
  <c r="O229" i="3"/>
  <c r="Q229" i="3" s="1"/>
  <c r="R229" i="3" s="1"/>
  <c r="O228" i="3"/>
  <c r="Q228" i="3" s="1"/>
  <c r="R228" i="3" s="1"/>
  <c r="O227" i="3"/>
  <c r="Q227" i="3" s="1"/>
  <c r="R227" i="3" s="1"/>
  <c r="O226" i="3"/>
  <c r="Q226" i="3" s="1"/>
  <c r="R226" i="3" s="1"/>
  <c r="O225" i="3"/>
  <c r="Q225" i="3" s="1"/>
  <c r="R225" i="3" s="1"/>
  <c r="O224" i="3"/>
  <c r="Q224" i="3" s="1"/>
  <c r="R224" i="3" s="1"/>
  <c r="O223" i="3"/>
  <c r="Q223" i="3" s="1"/>
  <c r="R223" i="3" s="1"/>
  <c r="O222" i="3"/>
  <c r="Q222" i="3" s="1"/>
  <c r="R222" i="3" s="1"/>
  <c r="O221" i="3"/>
  <c r="Q221" i="3" s="1"/>
  <c r="R221" i="3" s="1"/>
  <c r="O220" i="3"/>
  <c r="Q220" i="3" s="1"/>
  <c r="R220" i="3" s="1"/>
  <c r="O219" i="3"/>
  <c r="Q219" i="3" s="1"/>
  <c r="R219" i="3" s="1"/>
  <c r="O218" i="3"/>
  <c r="Q218" i="3" s="1"/>
  <c r="R218" i="3" s="1"/>
  <c r="O217" i="3"/>
  <c r="Q217" i="3" s="1"/>
  <c r="R217" i="3" s="1"/>
  <c r="O216" i="3"/>
  <c r="Q216" i="3" s="1"/>
  <c r="R216" i="3" s="1"/>
  <c r="O215" i="3"/>
  <c r="Q215" i="3" s="1"/>
  <c r="R215" i="3" s="1"/>
  <c r="O214" i="3"/>
  <c r="Q214" i="3" s="1"/>
  <c r="R214" i="3" s="1"/>
  <c r="O213" i="3"/>
  <c r="Q213" i="3" s="1"/>
  <c r="R213" i="3" s="1"/>
  <c r="O212" i="3"/>
  <c r="Q212" i="3" s="1"/>
  <c r="R212" i="3" s="1"/>
  <c r="O211" i="3"/>
  <c r="Q211" i="3" s="1"/>
  <c r="R211" i="3" s="1"/>
  <c r="O210" i="3"/>
  <c r="Q210" i="3" s="1"/>
  <c r="R210" i="3" s="1"/>
  <c r="O209" i="3"/>
  <c r="Q209" i="3" s="1"/>
  <c r="R209" i="3" s="1"/>
  <c r="O208" i="3"/>
  <c r="Q208" i="3" s="1"/>
  <c r="R208" i="3" s="1"/>
  <c r="O207" i="3"/>
  <c r="Q207" i="3" s="1"/>
  <c r="R207" i="3" s="1"/>
  <c r="O206" i="3"/>
  <c r="Q206" i="3" s="1"/>
  <c r="R206" i="3" s="1"/>
  <c r="O205" i="3"/>
  <c r="Q205" i="3" s="1"/>
  <c r="R205" i="3" s="1"/>
  <c r="O204" i="3"/>
  <c r="Q204" i="3" s="1"/>
  <c r="R204" i="3" s="1"/>
  <c r="O203" i="3"/>
  <c r="Q203" i="3" s="1"/>
  <c r="R203" i="3" s="1"/>
  <c r="O202" i="3"/>
  <c r="Q202" i="3" s="1"/>
  <c r="R202" i="3" s="1"/>
  <c r="O201" i="3"/>
  <c r="Q201" i="3" s="1"/>
  <c r="R201" i="3" s="1"/>
  <c r="O200" i="3"/>
  <c r="Q200" i="3" s="1"/>
  <c r="R200" i="3" s="1"/>
  <c r="O199" i="3"/>
  <c r="Q199" i="3" s="1"/>
  <c r="R199" i="3" s="1"/>
  <c r="O198" i="3"/>
  <c r="Q198" i="3" s="1"/>
  <c r="R198" i="3" s="1"/>
  <c r="O197" i="3"/>
  <c r="Q197" i="3" s="1"/>
  <c r="R197" i="3" s="1"/>
  <c r="O196" i="3"/>
  <c r="Q196" i="3" s="1"/>
  <c r="R196" i="3" s="1"/>
  <c r="O195" i="3"/>
  <c r="Q195" i="3" s="1"/>
  <c r="R195" i="3" s="1"/>
  <c r="O194" i="3"/>
  <c r="Q194" i="3" s="1"/>
  <c r="R194" i="3" s="1"/>
  <c r="O193" i="3"/>
  <c r="Q193" i="3" s="1"/>
  <c r="R193" i="3" s="1"/>
  <c r="O192" i="3"/>
  <c r="Q192" i="3" s="1"/>
  <c r="R192" i="3" s="1"/>
  <c r="O191" i="3"/>
  <c r="Q191" i="3" s="1"/>
  <c r="R191" i="3" s="1"/>
  <c r="O190" i="3"/>
  <c r="Q190" i="3" s="1"/>
  <c r="R190" i="3" s="1"/>
  <c r="O189" i="3"/>
  <c r="Q189" i="3" s="1"/>
  <c r="R189" i="3" s="1"/>
  <c r="O188" i="3"/>
  <c r="Q188" i="3" s="1"/>
  <c r="R188" i="3" s="1"/>
  <c r="O187" i="3"/>
  <c r="Q187" i="3" s="1"/>
  <c r="R187" i="3" s="1"/>
  <c r="O186" i="3"/>
  <c r="Q186" i="3" s="1"/>
  <c r="R186" i="3" s="1"/>
  <c r="O185" i="3"/>
  <c r="Q185" i="3" s="1"/>
  <c r="R185" i="3" s="1"/>
  <c r="O184" i="3"/>
  <c r="Q184" i="3" s="1"/>
  <c r="R184" i="3" s="1"/>
  <c r="O183" i="3"/>
  <c r="Q183" i="3" s="1"/>
  <c r="R183" i="3" s="1"/>
  <c r="O182" i="3"/>
  <c r="Q182" i="3" s="1"/>
  <c r="R182" i="3" s="1"/>
  <c r="O181" i="3"/>
  <c r="Q181" i="3" s="1"/>
  <c r="R181" i="3" s="1"/>
  <c r="O180" i="3"/>
  <c r="Q180" i="3" s="1"/>
  <c r="R180" i="3" s="1"/>
  <c r="O179" i="3"/>
  <c r="Q179" i="3" s="1"/>
  <c r="R179" i="3" s="1"/>
  <c r="O178" i="3"/>
  <c r="Q178" i="3" s="1"/>
  <c r="R178" i="3" s="1"/>
  <c r="O177" i="3"/>
  <c r="Q177" i="3" s="1"/>
  <c r="R177" i="3" s="1"/>
  <c r="O176" i="3"/>
  <c r="Q176" i="3" s="1"/>
  <c r="R176" i="3" s="1"/>
  <c r="O175" i="3"/>
  <c r="Q175" i="3" s="1"/>
  <c r="R175" i="3" s="1"/>
  <c r="O174" i="3"/>
  <c r="Q174" i="3" s="1"/>
  <c r="R174" i="3" s="1"/>
  <c r="O173" i="3"/>
  <c r="Q173" i="3" s="1"/>
  <c r="R173" i="3" s="1"/>
  <c r="O172" i="3"/>
  <c r="Q172" i="3" s="1"/>
  <c r="R172" i="3" s="1"/>
  <c r="O171" i="3"/>
  <c r="Q171" i="3" s="1"/>
  <c r="R171" i="3" s="1"/>
  <c r="O170" i="3"/>
  <c r="Q170" i="3" s="1"/>
  <c r="R170" i="3" s="1"/>
  <c r="O169" i="3"/>
  <c r="Q169" i="3" s="1"/>
  <c r="R169" i="3" s="1"/>
  <c r="O168" i="3"/>
  <c r="Q168" i="3" s="1"/>
  <c r="R168" i="3" s="1"/>
  <c r="O167" i="3"/>
  <c r="Q167" i="3" s="1"/>
  <c r="R167" i="3" s="1"/>
  <c r="O166" i="3"/>
  <c r="Q166" i="3" s="1"/>
  <c r="R166" i="3" s="1"/>
  <c r="O165" i="3"/>
  <c r="Q165" i="3" s="1"/>
  <c r="R165" i="3" s="1"/>
  <c r="O164" i="3"/>
  <c r="Q164" i="3" s="1"/>
  <c r="R164" i="3" s="1"/>
  <c r="O163" i="3"/>
  <c r="Q163" i="3" s="1"/>
  <c r="R163" i="3" s="1"/>
  <c r="O162" i="3"/>
  <c r="Q162" i="3" s="1"/>
  <c r="R162" i="3" s="1"/>
  <c r="O161" i="3"/>
  <c r="Q161" i="3" s="1"/>
  <c r="R161" i="3" s="1"/>
  <c r="O160" i="3"/>
  <c r="Q160" i="3" s="1"/>
  <c r="R160" i="3" s="1"/>
  <c r="O159" i="3"/>
  <c r="Q159" i="3" s="1"/>
  <c r="R159" i="3" s="1"/>
  <c r="O158" i="3"/>
  <c r="Q158" i="3" s="1"/>
  <c r="R158" i="3" s="1"/>
  <c r="O157" i="3"/>
  <c r="Q157" i="3" s="1"/>
  <c r="R157" i="3" s="1"/>
  <c r="O156" i="3"/>
  <c r="Q156" i="3" s="1"/>
  <c r="R156" i="3" s="1"/>
  <c r="O155" i="3"/>
  <c r="Q155" i="3" s="1"/>
  <c r="R155" i="3" s="1"/>
  <c r="O154" i="3"/>
  <c r="Q154" i="3" s="1"/>
  <c r="R154" i="3" s="1"/>
  <c r="O153" i="3"/>
  <c r="Q153" i="3" s="1"/>
  <c r="R153" i="3" s="1"/>
  <c r="O152" i="3"/>
  <c r="Q152" i="3" s="1"/>
  <c r="R152" i="3" s="1"/>
  <c r="O151" i="3"/>
  <c r="Q151" i="3" s="1"/>
  <c r="R151" i="3" s="1"/>
  <c r="O150" i="3"/>
  <c r="Q150" i="3" s="1"/>
  <c r="R150" i="3" s="1"/>
  <c r="O149" i="3"/>
  <c r="Q149" i="3" s="1"/>
  <c r="R149" i="3" s="1"/>
  <c r="O148" i="3"/>
  <c r="Q148" i="3" s="1"/>
  <c r="R148" i="3" s="1"/>
  <c r="O147" i="3"/>
  <c r="Q147" i="3" s="1"/>
  <c r="R147" i="3" s="1"/>
  <c r="O146" i="3"/>
  <c r="Q146" i="3" s="1"/>
  <c r="R146" i="3" s="1"/>
  <c r="O145" i="3"/>
  <c r="Q145" i="3" s="1"/>
  <c r="R145" i="3" s="1"/>
  <c r="O144" i="3"/>
  <c r="Q144" i="3" s="1"/>
  <c r="R144" i="3" s="1"/>
  <c r="O143" i="3"/>
  <c r="Q143" i="3" s="1"/>
  <c r="R143" i="3" s="1"/>
  <c r="O142" i="3"/>
  <c r="Q142" i="3" s="1"/>
  <c r="R142" i="3" s="1"/>
  <c r="O141" i="3"/>
  <c r="Q141" i="3" s="1"/>
  <c r="R141" i="3" s="1"/>
  <c r="O140" i="3"/>
  <c r="Q140" i="3" s="1"/>
  <c r="R140" i="3" s="1"/>
  <c r="O139" i="3"/>
  <c r="Q139" i="3" s="1"/>
  <c r="R139" i="3" s="1"/>
  <c r="O138" i="3"/>
  <c r="Q138" i="3" s="1"/>
  <c r="R138" i="3" s="1"/>
  <c r="O137" i="3"/>
  <c r="Q137" i="3" s="1"/>
  <c r="R137" i="3" s="1"/>
  <c r="O136" i="3"/>
  <c r="Q136" i="3" s="1"/>
  <c r="R136" i="3" s="1"/>
  <c r="O135" i="3"/>
  <c r="Q135" i="3" s="1"/>
  <c r="R135" i="3" s="1"/>
  <c r="O134" i="3"/>
  <c r="Q134" i="3" s="1"/>
  <c r="R134" i="3" s="1"/>
  <c r="O133" i="3"/>
  <c r="Q133" i="3" s="1"/>
  <c r="R133" i="3" s="1"/>
  <c r="O132" i="3"/>
  <c r="Q132" i="3" s="1"/>
  <c r="R132" i="3" s="1"/>
  <c r="O131" i="3"/>
  <c r="Q131" i="3" s="1"/>
  <c r="R131" i="3" s="1"/>
  <c r="O130" i="3"/>
  <c r="Q130" i="3" s="1"/>
  <c r="R130" i="3" s="1"/>
  <c r="O129" i="3"/>
  <c r="Q129" i="3" s="1"/>
  <c r="R129" i="3" s="1"/>
  <c r="O128" i="3"/>
  <c r="Q128" i="3" s="1"/>
  <c r="R128" i="3" s="1"/>
  <c r="O127" i="3"/>
  <c r="Q127" i="3" s="1"/>
  <c r="R127" i="3" s="1"/>
  <c r="O126" i="3"/>
  <c r="Q126" i="3" s="1"/>
  <c r="R126" i="3" s="1"/>
  <c r="O125" i="3"/>
  <c r="Q125" i="3" s="1"/>
  <c r="R125" i="3" s="1"/>
  <c r="O124" i="3"/>
  <c r="Q124" i="3" s="1"/>
  <c r="R124" i="3" s="1"/>
  <c r="O123" i="3"/>
  <c r="Q123" i="3" s="1"/>
  <c r="R123" i="3" s="1"/>
  <c r="O122" i="3"/>
  <c r="Q122" i="3" s="1"/>
  <c r="R122" i="3" s="1"/>
  <c r="O121" i="3"/>
  <c r="Q121" i="3" s="1"/>
  <c r="R121" i="3" s="1"/>
  <c r="O120" i="3"/>
  <c r="Q120" i="3" s="1"/>
  <c r="R120" i="3" s="1"/>
  <c r="O119" i="3"/>
  <c r="Q119" i="3" s="1"/>
  <c r="R119" i="3" s="1"/>
  <c r="O118" i="3"/>
  <c r="Q118" i="3" s="1"/>
  <c r="R118" i="3" s="1"/>
  <c r="O117" i="3"/>
  <c r="Q117" i="3" s="1"/>
  <c r="R117" i="3" s="1"/>
  <c r="O116" i="3"/>
  <c r="Q116" i="3" s="1"/>
  <c r="R116" i="3" s="1"/>
  <c r="O115" i="3"/>
  <c r="Q115" i="3" s="1"/>
  <c r="R115" i="3" s="1"/>
  <c r="O114" i="3"/>
  <c r="Q114" i="3" s="1"/>
  <c r="R114" i="3" s="1"/>
  <c r="O113" i="3"/>
  <c r="Q113" i="3" s="1"/>
  <c r="R113" i="3" s="1"/>
  <c r="O112" i="3"/>
  <c r="Q112" i="3" s="1"/>
  <c r="R112" i="3" s="1"/>
  <c r="O111" i="3"/>
  <c r="Q111" i="3" s="1"/>
  <c r="R111" i="3" s="1"/>
  <c r="O110" i="3"/>
  <c r="Q110" i="3" s="1"/>
  <c r="R110" i="3" s="1"/>
  <c r="O109" i="3"/>
  <c r="Q109" i="3" s="1"/>
  <c r="R109" i="3" s="1"/>
  <c r="O108" i="3"/>
  <c r="Q108" i="3" s="1"/>
  <c r="R108" i="3" s="1"/>
  <c r="O107" i="3"/>
  <c r="Q107" i="3" s="1"/>
  <c r="R107" i="3" s="1"/>
  <c r="O106" i="3"/>
  <c r="Q106" i="3" s="1"/>
  <c r="R106" i="3" s="1"/>
  <c r="O105" i="3"/>
  <c r="Q105" i="3" s="1"/>
  <c r="R105" i="3" s="1"/>
  <c r="O104" i="3"/>
  <c r="Q104" i="3" s="1"/>
  <c r="R104" i="3" s="1"/>
  <c r="O103" i="3"/>
  <c r="Q103" i="3" s="1"/>
  <c r="R103" i="3" s="1"/>
  <c r="O102" i="3"/>
  <c r="Q102" i="3" s="1"/>
  <c r="R102" i="3" s="1"/>
  <c r="O101" i="3"/>
  <c r="Q101" i="3" s="1"/>
  <c r="R101" i="3" s="1"/>
  <c r="O100" i="3"/>
  <c r="Q100" i="3" s="1"/>
  <c r="R100" i="3" s="1"/>
  <c r="O99" i="3"/>
  <c r="Q99" i="3" s="1"/>
  <c r="R99" i="3" s="1"/>
  <c r="O98" i="3"/>
  <c r="Q98" i="3" s="1"/>
  <c r="R98" i="3" s="1"/>
  <c r="O97" i="3"/>
  <c r="Q97" i="3" s="1"/>
  <c r="R97" i="3" s="1"/>
  <c r="O96" i="3"/>
  <c r="Q96" i="3" s="1"/>
  <c r="R96" i="3" s="1"/>
  <c r="O95" i="3"/>
  <c r="Q95" i="3" s="1"/>
  <c r="R95" i="3" s="1"/>
  <c r="O94" i="3"/>
  <c r="Q94" i="3" s="1"/>
  <c r="R94" i="3" s="1"/>
  <c r="O93" i="3"/>
  <c r="Q93" i="3" s="1"/>
  <c r="R93" i="3" s="1"/>
  <c r="O92" i="3"/>
  <c r="Q92" i="3" s="1"/>
  <c r="R92" i="3" s="1"/>
  <c r="O91" i="3"/>
  <c r="Q91" i="3" s="1"/>
  <c r="R91" i="3" s="1"/>
  <c r="O90" i="3"/>
  <c r="Q90" i="3" s="1"/>
  <c r="R90" i="3" s="1"/>
  <c r="O89" i="3"/>
  <c r="Q89" i="3" s="1"/>
  <c r="R89" i="3" s="1"/>
  <c r="O88" i="3"/>
  <c r="Q88" i="3" s="1"/>
  <c r="R88" i="3" s="1"/>
  <c r="O87" i="3"/>
  <c r="Q87" i="3" s="1"/>
  <c r="R87" i="3" s="1"/>
  <c r="O86" i="3"/>
  <c r="Q86" i="3" s="1"/>
  <c r="R86" i="3" s="1"/>
  <c r="O85" i="3"/>
  <c r="Q85" i="3" s="1"/>
  <c r="R85" i="3" s="1"/>
  <c r="O84" i="3"/>
  <c r="Q84" i="3" s="1"/>
  <c r="R84" i="3" s="1"/>
  <c r="O83" i="3"/>
  <c r="Q83" i="3" s="1"/>
  <c r="R83" i="3" s="1"/>
  <c r="O82" i="3"/>
  <c r="Q82" i="3" s="1"/>
  <c r="R82" i="3" s="1"/>
  <c r="O81" i="3"/>
  <c r="Q81" i="3" s="1"/>
  <c r="R81" i="3" s="1"/>
  <c r="O80" i="3"/>
  <c r="Q80" i="3" s="1"/>
  <c r="R80" i="3" s="1"/>
  <c r="O79" i="3"/>
  <c r="Q79" i="3" s="1"/>
  <c r="R79" i="3" s="1"/>
  <c r="O78" i="3"/>
  <c r="Q78" i="3" s="1"/>
  <c r="R78" i="3" s="1"/>
  <c r="O77" i="3"/>
  <c r="Q77" i="3" s="1"/>
  <c r="R77" i="3" s="1"/>
  <c r="O76" i="3"/>
  <c r="Q76" i="3" s="1"/>
  <c r="R76" i="3" s="1"/>
  <c r="O75" i="3"/>
  <c r="Q75" i="3" s="1"/>
  <c r="R75" i="3" s="1"/>
  <c r="O74" i="3"/>
  <c r="Q74" i="3" s="1"/>
  <c r="R74" i="3" s="1"/>
  <c r="O73" i="3"/>
  <c r="Q73" i="3" s="1"/>
  <c r="R73" i="3" s="1"/>
  <c r="O72" i="3"/>
  <c r="Q72" i="3" s="1"/>
  <c r="R72" i="3" s="1"/>
  <c r="O71" i="3"/>
  <c r="Q71" i="3" s="1"/>
  <c r="R71" i="3" s="1"/>
  <c r="O70" i="3"/>
  <c r="Q70" i="3" s="1"/>
  <c r="R70" i="3" s="1"/>
  <c r="O69" i="3"/>
  <c r="Q69" i="3" s="1"/>
  <c r="R69" i="3" s="1"/>
  <c r="O68" i="3"/>
  <c r="Q68" i="3" s="1"/>
  <c r="R68" i="3" s="1"/>
  <c r="O67" i="3"/>
  <c r="Q67" i="3" s="1"/>
  <c r="R67" i="3" s="1"/>
  <c r="O66" i="3"/>
  <c r="Q66" i="3" s="1"/>
  <c r="R66" i="3" s="1"/>
  <c r="O65" i="3"/>
  <c r="Q65" i="3" s="1"/>
  <c r="R65" i="3" s="1"/>
  <c r="O64" i="3"/>
  <c r="Q64" i="3" s="1"/>
  <c r="R64" i="3" s="1"/>
  <c r="O63" i="3"/>
  <c r="Q63" i="3" s="1"/>
  <c r="R63" i="3" s="1"/>
  <c r="O62" i="3"/>
  <c r="Q62" i="3" s="1"/>
  <c r="R62" i="3" s="1"/>
  <c r="O61" i="3"/>
  <c r="Q61" i="3" s="1"/>
  <c r="R61" i="3" s="1"/>
  <c r="O60" i="3"/>
  <c r="Q60" i="3" s="1"/>
  <c r="R60" i="3" s="1"/>
  <c r="O59" i="3"/>
  <c r="Q59" i="3" s="1"/>
  <c r="R59" i="3" s="1"/>
  <c r="O58" i="3"/>
  <c r="Q58" i="3" s="1"/>
  <c r="R58" i="3" s="1"/>
  <c r="O57" i="3"/>
  <c r="Q57" i="3" s="1"/>
  <c r="R57" i="3" s="1"/>
  <c r="O56" i="3"/>
  <c r="Q56" i="3" s="1"/>
  <c r="R56" i="3" s="1"/>
  <c r="O55" i="3"/>
  <c r="Q55" i="3" s="1"/>
  <c r="R55" i="3" s="1"/>
  <c r="O54" i="3"/>
  <c r="Q54" i="3" s="1"/>
  <c r="R54" i="3" s="1"/>
  <c r="O53" i="3"/>
  <c r="Q53" i="3" s="1"/>
  <c r="R53" i="3" s="1"/>
  <c r="O52" i="3"/>
  <c r="Q52" i="3" s="1"/>
  <c r="R52" i="3" s="1"/>
  <c r="O51" i="3"/>
  <c r="Q51" i="3" s="1"/>
  <c r="R51" i="3" s="1"/>
  <c r="O50" i="3"/>
  <c r="Q50" i="3" s="1"/>
  <c r="R50" i="3" s="1"/>
  <c r="O49" i="3"/>
  <c r="Q49" i="3" s="1"/>
  <c r="R49" i="3" s="1"/>
  <c r="O48" i="3"/>
  <c r="Q48" i="3" s="1"/>
  <c r="R48" i="3" s="1"/>
  <c r="O47" i="3"/>
  <c r="Q47" i="3" s="1"/>
  <c r="R47" i="3" s="1"/>
  <c r="O46" i="3"/>
  <c r="Q46" i="3" s="1"/>
  <c r="R46" i="3" s="1"/>
  <c r="O45" i="3"/>
  <c r="Q45" i="3" s="1"/>
  <c r="R45" i="3" s="1"/>
  <c r="O44" i="3"/>
  <c r="Q44" i="3" s="1"/>
  <c r="R44" i="3" s="1"/>
  <c r="O43" i="3"/>
  <c r="Q43" i="3" s="1"/>
  <c r="R43" i="3" s="1"/>
  <c r="O42" i="3"/>
  <c r="Q42" i="3" s="1"/>
  <c r="R42" i="3" s="1"/>
  <c r="O41" i="3"/>
  <c r="Q41" i="3" s="1"/>
  <c r="R41" i="3" s="1"/>
  <c r="O40" i="3"/>
  <c r="Q40" i="3" s="1"/>
  <c r="R40" i="3" s="1"/>
  <c r="O39" i="3"/>
  <c r="Q39" i="3" s="1"/>
  <c r="R39" i="3" s="1"/>
  <c r="O38" i="3"/>
  <c r="Q38" i="3" s="1"/>
  <c r="R38" i="3" s="1"/>
  <c r="O37" i="3"/>
  <c r="Q37" i="3" s="1"/>
  <c r="R37" i="3" s="1"/>
  <c r="O36" i="3"/>
  <c r="Q36" i="3" s="1"/>
  <c r="R36" i="3" s="1"/>
  <c r="O35" i="3"/>
  <c r="Q35" i="3" s="1"/>
  <c r="R35" i="3" s="1"/>
  <c r="O34" i="3"/>
  <c r="Q34" i="3" s="1"/>
  <c r="R34" i="3" s="1"/>
  <c r="O33" i="3"/>
  <c r="Q33" i="3" s="1"/>
  <c r="R33" i="3" s="1"/>
  <c r="O32" i="3"/>
  <c r="Q32" i="3" s="1"/>
  <c r="R32" i="3" s="1"/>
  <c r="O31" i="3"/>
  <c r="Q31" i="3" s="1"/>
  <c r="R31" i="3" s="1"/>
  <c r="O30" i="3"/>
  <c r="Q30" i="3" s="1"/>
  <c r="R30" i="3" s="1"/>
  <c r="O29" i="3"/>
  <c r="Q29" i="3" s="1"/>
  <c r="R29" i="3" s="1"/>
  <c r="O28" i="3"/>
  <c r="Q28" i="3" s="1"/>
  <c r="R28" i="3" s="1"/>
  <c r="O27" i="3"/>
  <c r="Q27" i="3" s="1"/>
  <c r="R27" i="3" s="1"/>
  <c r="O26" i="3"/>
  <c r="Q26" i="3" s="1"/>
  <c r="R26" i="3" s="1"/>
  <c r="O25" i="3"/>
  <c r="Q25" i="3" s="1"/>
  <c r="R25" i="3" s="1"/>
  <c r="O24" i="3"/>
  <c r="Q24" i="3" s="1"/>
  <c r="R24" i="3" s="1"/>
  <c r="O23" i="3"/>
  <c r="Q23" i="3" s="1"/>
  <c r="R23" i="3" s="1"/>
  <c r="O22" i="3"/>
  <c r="Q22" i="3" s="1"/>
  <c r="R22" i="3" s="1"/>
  <c r="O21" i="3"/>
  <c r="Q21" i="3" s="1"/>
  <c r="R21" i="3" s="1"/>
  <c r="O20" i="3"/>
  <c r="Q20" i="3" s="1"/>
  <c r="R20" i="3" s="1"/>
  <c r="O19" i="3"/>
  <c r="Q19" i="3" s="1"/>
  <c r="R19" i="3" s="1"/>
  <c r="O18" i="3"/>
  <c r="Q18" i="3" s="1"/>
  <c r="R18" i="3" s="1"/>
  <c r="O17" i="3"/>
  <c r="Q17" i="3" s="1"/>
  <c r="R17" i="3" s="1"/>
  <c r="O16" i="3"/>
  <c r="Q16" i="3" s="1"/>
  <c r="R16" i="3" s="1"/>
  <c r="O15" i="3"/>
  <c r="Q15" i="3" s="1"/>
  <c r="R15" i="3" s="1"/>
  <c r="O14" i="3"/>
  <c r="Q14" i="3" s="1"/>
  <c r="R14" i="3" s="1"/>
  <c r="O13" i="3"/>
  <c r="Q13" i="3" s="1"/>
  <c r="R13" i="3" s="1"/>
  <c r="O12" i="3"/>
  <c r="Q12" i="3" s="1"/>
  <c r="R12" i="3" s="1"/>
  <c r="O11" i="3"/>
  <c r="Q11" i="3" s="1"/>
  <c r="R11" i="3" s="1"/>
  <c r="O10" i="3"/>
  <c r="Q10" i="3" s="1"/>
  <c r="R10" i="3" s="1"/>
  <c r="O9" i="3"/>
  <c r="Q9" i="3" s="1"/>
  <c r="R9" i="3" s="1"/>
  <c r="O8" i="3"/>
  <c r="Q8" i="3" s="1"/>
  <c r="R8" i="3" s="1"/>
  <c r="O7" i="3"/>
  <c r="Q7" i="3" s="1"/>
  <c r="R7" i="3" s="1"/>
  <c r="O6" i="3"/>
  <c r="Q6" i="3" s="1"/>
  <c r="R6" i="3" s="1"/>
  <c r="O5" i="3"/>
  <c r="Q5" i="3" s="1"/>
  <c r="R5" i="3" s="1"/>
  <c r="O4" i="3"/>
  <c r="Q4" i="3" s="1"/>
  <c r="R4" i="3" s="1"/>
  <c r="O3" i="3"/>
  <c r="Q3" i="3" s="1"/>
  <c r="R3" i="3" s="1"/>
</calcChain>
</file>

<file path=xl/sharedStrings.xml><?xml version="1.0" encoding="utf-8"?>
<sst xmlns="http://schemas.openxmlformats.org/spreadsheetml/2006/main" count="12093" uniqueCount="1061">
  <si>
    <t>Region</t>
  </si>
  <si>
    <t>Sum of Net Sales</t>
  </si>
  <si>
    <t>Sum of Profit</t>
  </si>
  <si>
    <t>West</t>
  </si>
  <si>
    <t>East</t>
  </si>
  <si>
    <t>South</t>
  </si>
  <si>
    <t>North</t>
  </si>
  <si>
    <t>Grand Total</t>
  </si>
  <si>
    <t>Row Labels</t>
  </si>
  <si>
    <t>2024</t>
  </si>
  <si>
    <t>Jan</t>
  </si>
  <si>
    <t>Feb</t>
  </si>
  <si>
    <t>Mar</t>
  </si>
  <si>
    <t>Apr</t>
  </si>
  <si>
    <t>May</t>
  </si>
  <si>
    <t>Jun</t>
  </si>
  <si>
    <t>Jul</t>
  </si>
  <si>
    <t>Aug</t>
  </si>
  <si>
    <t>Sep</t>
  </si>
  <si>
    <t>Oct</t>
  </si>
  <si>
    <t>Nov</t>
  </si>
  <si>
    <t>Dec</t>
  </si>
  <si>
    <t>Desk</t>
  </si>
  <si>
    <t>Laptop</t>
  </si>
  <si>
    <t>Mouse</t>
  </si>
  <si>
    <t>Rahul</t>
  </si>
  <si>
    <t>Amit</t>
  </si>
  <si>
    <t>Karan</t>
  </si>
  <si>
    <t>Neha</t>
  </si>
  <si>
    <t>Priya</t>
  </si>
  <si>
    <t>=</t>
  </si>
  <si>
    <t>Order ID</t>
  </si>
  <si>
    <t>Order Date</t>
  </si>
  <si>
    <t>State</t>
  </si>
  <si>
    <t>Salesperson</t>
  </si>
  <si>
    <t>Product</t>
  </si>
  <si>
    <t>Category_Fetched</t>
  </si>
  <si>
    <t>Category</t>
  </si>
  <si>
    <t>Quantity</t>
  </si>
  <si>
    <t>Unit Price</t>
  </si>
  <si>
    <t>Discount</t>
  </si>
  <si>
    <t>Discount_Fixed</t>
  </si>
  <si>
    <t>Cost Price</t>
  </si>
  <si>
    <t>Total Sales</t>
  </si>
  <si>
    <t>Net Sales</t>
  </si>
  <si>
    <t>Total Cost</t>
  </si>
  <si>
    <t>Profit</t>
  </si>
  <si>
    <t>Profit Margin</t>
  </si>
  <si>
    <t>ORD0001</t>
  </si>
  <si>
    <t>MH</t>
  </si>
  <si>
    <t>Chair</t>
  </si>
  <si>
    <t>Furniture</t>
  </si>
  <si>
    <t>ORD0002</t>
  </si>
  <si>
    <t>RJ</t>
  </si>
  <si>
    <t>Electronics</t>
  </si>
  <si>
    <t>ORD0003</t>
  </si>
  <si>
    <t>GJ</t>
  </si>
  <si>
    <t>ORD0004</t>
  </si>
  <si>
    <t>Monitor</t>
  </si>
  <si>
    <t>ORD0005</t>
  </si>
  <si>
    <t>ORD0006</t>
  </si>
  <si>
    <t>Printer</t>
  </si>
  <si>
    <t>ORD0007</t>
  </si>
  <si>
    <t>ORD0008</t>
  </si>
  <si>
    <t>KA</t>
  </si>
  <si>
    <t>ORD0009</t>
  </si>
  <si>
    <t>ORD0010</t>
  </si>
  <si>
    <t>ORD0011</t>
  </si>
  <si>
    <t>ORD0012</t>
  </si>
  <si>
    <t>TN</t>
  </si>
  <si>
    <t>ORD0013</t>
  </si>
  <si>
    <t>ORD0014</t>
  </si>
  <si>
    <t>ORD0015</t>
  </si>
  <si>
    <t>ORD0016</t>
  </si>
  <si>
    <t>ORD0017</t>
  </si>
  <si>
    <t>ORD0018</t>
  </si>
  <si>
    <t>DL</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</si>
  <si>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</si>
  <si>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</si>
  <si>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</si>
  <si>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</si>
  <si>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</si>
  <si>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</si>
  <si>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</si>
  <si>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</si>
  <si>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</si>
  <si>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</si>
  <si>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</si>
  <si>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</si>
  <si>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</si>
  <si>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</si>
  <si>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</si>
  <si>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</si>
  <si>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</si>
  <si>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</si>
  <si>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</si>
  <si>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</si>
  <si>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</si>
  <si>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</si>
  <si>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</si>
  <si>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</si>
  <si>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</si>
  <si>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</si>
  <si>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</si>
  <si>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</si>
  <si>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</si>
  <si>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</si>
  <si>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</si>
  <si>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</si>
  <si>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</si>
  <si>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</si>
  <si>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</si>
  <si>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</si>
  <si>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</si>
  <si>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</si>
  <si>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</si>
  <si>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</si>
  <si>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</si>
  <si>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</si>
  <si>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</si>
  <si>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</si>
  <si>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</si>
  <si>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</si>
  <si>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</si>
  <si>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</si>
  <si>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</si>
  <si>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</si>
  <si>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</si>
  <si>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</si>
  <si>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</si>
  <si>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</si>
  <si>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</si>
  <si>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</si>
  <si>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</si>
  <si>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</si>
  <si>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</si>
  <si>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</si>
  <si>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</si>
  <si>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</si>
  <si>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</si>
  <si>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</si>
  <si>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</si>
  <si>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</si>
  <si>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</si>
  <si>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</si>
  <si>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</si>
  <si>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</si>
  <si>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</si>
  <si>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</si>
  <si>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</si>
  <si>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</si>
  <si>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</si>
  <si>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</si>
  <si>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</si>
  <si>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</si>
  <si>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</si>
  <si>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</si>
  <si>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</si>
  <si>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</si>
  <si>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</si>
  <si>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</si>
  <si>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</si>
  <si>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</si>
  <si>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</si>
  <si>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</si>
  <si>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</si>
  <si>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</si>
  <si>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</si>
  <si>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</si>
  <si>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</si>
  <si>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</si>
  <si>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</si>
  <si>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</si>
  <si>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</si>
  <si>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</si>
  <si>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</si>
  <si>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</si>
  <si>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</si>
  <si>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</si>
  <si>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</si>
  <si>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</si>
  <si>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</si>
  <si>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</si>
  <si>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</si>
  <si>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</si>
  <si>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</si>
  <si>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</si>
  <si>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</si>
  <si>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</si>
  <si>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</si>
  <si>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</si>
  <si>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</si>
  <si>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</si>
  <si>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</si>
  <si>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</si>
  <si>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</si>
  <si>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</si>
  <si>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</si>
  <si>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</si>
  <si>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</si>
  <si>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</si>
  <si>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</si>
  <si>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</si>
  <si>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</si>
  <si>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</si>
  <si>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</si>
  <si>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</si>
  <si>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</si>
  <si>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</si>
  <si>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</si>
  <si>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</si>
  <si>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</si>
  <si>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</si>
  <si>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</si>
  <si>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</si>
  <si>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</si>
  <si>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</si>
  <si>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</si>
  <si>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</si>
  <si>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</si>
  <si>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</si>
  <si>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</si>
  <si>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</si>
  <si>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</si>
  <si>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</si>
  <si>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</si>
  <si>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</si>
  <si>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</si>
  <si>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</si>
  <si>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</si>
  <si>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</si>
  <si>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</si>
  <si>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</si>
  <si>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</si>
  <si>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</si>
  <si>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</si>
  <si>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</si>
  <si>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</si>
  <si>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</si>
  <si>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</si>
  <si>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</si>
  <si>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</si>
  <si>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</si>
  <si>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</si>
  <si>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</si>
  <si>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</si>
  <si>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</si>
  <si>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</si>
  <si>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</si>
  <si>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</si>
  <si>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</si>
  <si>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</si>
  <si>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</si>
  <si>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</si>
  <si>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</si>
  <si>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</si>
  <si>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</si>
  <si>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</si>
  <si>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</si>
  <si>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</si>
  <si>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</si>
  <si>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</si>
  <si>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</si>
  <si>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</si>
  <si>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</si>
  <si>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</si>
  <si>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</si>
  <si>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</si>
  <si>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</si>
  <si>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</si>
  <si>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</si>
  <si>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</si>
  <si>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</si>
  <si>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</si>
  <si>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</si>
  <si>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</si>
  <si>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</si>
  <si>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</si>
  <si>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</si>
  <si>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</si>
  <si>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</si>
  <si>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</si>
  <si>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</si>
  <si>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</si>
  <si>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</si>
  <si>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</si>
  <si>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</si>
  <si>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</si>
  <si>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</si>
  <si>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</si>
  <si>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</si>
  <si>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</si>
  <si>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</si>
  <si>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</si>
  <si>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</si>
  <si>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</si>
  <si>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</si>
  <si>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</si>
  <si>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</si>
  <si>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</si>
  <si>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</si>
  <si>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</si>
  <si>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</si>
  <si>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</si>
  <si>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</si>
  <si>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</si>
  <si>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</si>
  <si>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</si>
  <si>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</si>
  <si>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</si>
  <si>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</si>
  <si>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</si>
  <si>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</si>
  <si>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</si>
  <si>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</si>
  <si>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</si>
  <si>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</si>
  <si>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</si>
  <si>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</si>
  <si>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</si>
  <si>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</si>
  <si>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</si>
  <si>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</si>
  <si>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</si>
  <si>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</si>
  <si>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</si>
  <si>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</si>
  <si>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</si>
  <si>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</si>
  <si>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</si>
  <si>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</si>
  <si>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</si>
  <si>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</si>
  <si>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</si>
  <si>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</si>
  <si>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</si>
  <si>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</si>
  <si>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</si>
  <si>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</si>
  <si>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</si>
  <si>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</si>
  <si>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</si>
  <si>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</si>
  <si>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</si>
  <si>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</si>
  <si>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</si>
  <si>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</si>
  <si>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</si>
  <si>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</si>
  <si>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</si>
  <si>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</si>
  <si>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</si>
  <si>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</si>
  <si>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</si>
  <si>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</si>
  <si>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</si>
  <si>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</si>
  <si>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</si>
  <si>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</si>
  <si>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</si>
  <si>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</si>
  <si>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</si>
  <si>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</si>
  <si>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</si>
  <si>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</si>
  <si>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</si>
  <si>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</si>
  <si>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</si>
  <si>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</si>
  <si>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</si>
  <si>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</si>
  <si>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</si>
  <si>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</si>
  <si>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</si>
  <si>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</si>
  <si>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</si>
  <si>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</si>
  <si>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</si>
  <si>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</si>
  <si>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</si>
  <si>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</si>
  <si>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</si>
  <si>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</si>
  <si>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</si>
  <si>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</si>
  <si>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</si>
  <si>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</si>
  <si>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</si>
  <si>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</si>
  <si>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</si>
  <si>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</si>
  <si>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</si>
  <si>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</si>
  <si>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</si>
  <si>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</si>
  <si>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</si>
  <si>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</si>
  <si>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</si>
  <si>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</si>
  <si>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</si>
  <si>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</si>
  <si>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</si>
  <si>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</si>
  <si>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</si>
  <si>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</si>
  <si>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</si>
  <si>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</si>
  <si>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</si>
  <si>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</si>
  <si>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</si>
  <si>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</si>
  <si>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</si>
  <si>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</si>
  <si>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</si>
  <si>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</si>
  <si>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</si>
  <si>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</si>
  <si>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</si>
  <si>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</si>
  <si>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</si>
  <si>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</si>
  <si>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</si>
  <si>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</si>
  <si>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</si>
  <si>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</si>
  <si>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</si>
  <si>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</si>
  <si>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</si>
  <si>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</si>
  <si>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</si>
  <si>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</si>
  <si>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</si>
  <si>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</si>
  <si>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</si>
  <si>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</si>
  <si>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</si>
  <si>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</si>
  <si>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</si>
  <si>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</si>
  <si>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</si>
  <si>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</si>
  <si>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</si>
  <si>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</si>
  <si>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</si>
  <si>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</si>
  <si>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</si>
  <si>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</si>
  <si>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</si>
  <si>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</si>
  <si>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</si>
  <si>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</si>
  <si>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</si>
  <si>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</si>
  <si>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</si>
  <si>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</si>
  <si>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</si>
  <si>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</si>
  <si>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</si>
  <si>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</si>
  <si>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</si>
  <si>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</si>
  <si>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</si>
  <si>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</si>
  <si>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</si>
  <si>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</si>
  <si>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</si>
  <si>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</si>
  <si>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</si>
  <si>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</si>
  <si>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</si>
  <si>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</si>
  <si>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</si>
  <si>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</si>
  <si>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</si>
  <si>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</si>
  <si>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</si>
  <si>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</si>
  <si>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</si>
  <si>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</si>
  <si>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</si>
  <si>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</si>
  <si>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</si>
  <si>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</si>
  <si>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</si>
  <si>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</si>
  <si>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</si>
  <si>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</si>
  <si>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</si>
  <si>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</si>
  <si>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</si>
  <si>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</si>
  <si>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</si>
  <si>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</si>
  <si>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</si>
  <si>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</si>
  <si>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</si>
  <si>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</si>
  <si>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</si>
  <si>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</si>
  <si>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</si>
  <si>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</si>
  <si>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</si>
  <si>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</si>
  <si>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</si>
  <si>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</si>
  <si>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</si>
  <si>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</si>
  <si>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</si>
  <si>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</si>
  <si>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</si>
  <si>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</si>
  <si>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</si>
  <si>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</si>
  <si>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</si>
  <si>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</si>
  <si>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</si>
  <si>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</si>
  <si>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</si>
  <si>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</si>
  <si>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</si>
  <si>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</si>
  <si>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</si>
  <si>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</si>
  <si>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</si>
  <si>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</si>
  <si>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</si>
  <si>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</si>
  <si>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</si>
  <si>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</si>
  <si>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</si>
  <si>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</si>
  <si>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</si>
  <si>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</si>
  <si>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</si>
  <si>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</si>
  <si>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</si>
  <si>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</si>
  <si>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</si>
  <si>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</si>
  <si>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</si>
  <si>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</si>
  <si>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</si>
  <si>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</si>
  <si>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</si>
  <si>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</si>
  <si>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</si>
  <si>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</si>
  <si>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</si>
  <si>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</si>
  <si>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</si>
  <si>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</si>
  <si>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</si>
  <si>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</si>
  <si>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</si>
  <si>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</si>
  <si>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</si>
  <si>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</si>
  <si>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</si>
  <si>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</si>
  <si>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</si>
  <si>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</si>
  <si>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</si>
  <si>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</si>
  <si>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</si>
  <si>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</si>
  <si>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</si>
  <si>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</si>
  <si>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</si>
  <si>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</si>
  <si>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</si>
  <si>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</si>
  <si>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</si>
  <si>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</si>
  <si>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</si>
  <si>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</si>
  <si>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</si>
  <si>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</si>
  <si>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</si>
  <si>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</si>
  <si>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</si>
  <si>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</si>
  <si>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</si>
  <si>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</si>
  <si>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</si>
  <si>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</si>
  <si>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</si>
  <si>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</si>
  <si>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</si>
  <si>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</si>
  <si>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</si>
  <si>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</si>
  <si>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</si>
  <si>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</si>
  <si>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</si>
  <si>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</si>
  <si>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</si>
  <si>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</si>
  <si>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</si>
  <si>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</si>
  <si>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</si>
  <si>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</si>
  <si>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</si>
  <si>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</si>
  <si>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</si>
  <si>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</si>
  <si>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</si>
  <si>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</si>
  <si>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</si>
  <si>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</si>
  <si>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</si>
  <si>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</si>
  <si>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</si>
  <si>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</si>
  <si>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</si>
  <si>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</si>
  <si>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</si>
  <si>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</si>
  <si>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</si>
  <si>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</si>
  <si>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</si>
  <si>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</si>
  <si>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</si>
  <si>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</si>
  <si>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</si>
  <si>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</si>
  <si>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</si>
  <si>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</si>
  <si>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</si>
  <si>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</si>
  <si>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</si>
  <si>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</si>
  <si>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</si>
  <si>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</si>
  <si>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</si>
  <si>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</si>
  <si>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</si>
  <si>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</si>
  <si>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</si>
  <si>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</si>
  <si>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</si>
  <si>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</si>
  <si>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</si>
  <si>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</si>
  <si>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</si>
  <si>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</si>
  <si>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</si>
  <si>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</si>
  <si>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</si>
  <si>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</si>
  <si>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</si>
  <si>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</si>
  <si>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</si>
  <si>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</si>
  <si>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</si>
  <si>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</si>
  <si>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</si>
  <si>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</si>
  <si>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</si>
  <si>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</si>
  <si>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</si>
  <si>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</si>
  <si>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</si>
  <si>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</si>
  <si>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</si>
  <si>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</si>
  <si>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</si>
  <si>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</si>
  <si>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</si>
  <si>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</si>
  <si>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</si>
  <si>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</si>
  <si>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</si>
  <si>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</si>
  <si>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</si>
  <si>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</si>
  <si>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</si>
  <si>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</si>
  <si>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</si>
  <si>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</si>
  <si>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</si>
  <si>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</si>
  <si>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</si>
  <si>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</si>
  <si>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</si>
  <si>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</si>
  <si>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</si>
  <si>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</si>
  <si>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</si>
  <si>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</si>
  <si>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</si>
  <si>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</si>
  <si>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</si>
  <si>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</si>
  <si>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</si>
  <si>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</si>
  <si>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</si>
  <si>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</si>
  <si>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</si>
  <si>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</si>
  <si>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</si>
  <si>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</si>
  <si>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</si>
  <si>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</si>
  <si>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</si>
  <si>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</si>
  <si>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</si>
  <si>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</si>
  <si>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</si>
  <si>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</si>
  <si>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</si>
  <si>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</si>
  <si>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</si>
  <si>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</si>
  <si>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</si>
  <si>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</si>
  <si>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</si>
  <si>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</si>
  <si>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</si>
  <si>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</si>
  <si>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</si>
  <si>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</si>
  <si>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</si>
  <si>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</si>
  <si>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</si>
  <si>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</si>
  <si>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</si>
  <si>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</si>
  <si>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</si>
  <si>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</si>
  <si>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</si>
  <si>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</si>
  <si>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</si>
  <si>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</si>
  <si>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</si>
  <si>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</si>
  <si>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</si>
  <si>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</si>
  <si>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</si>
  <si>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</si>
  <si>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</si>
  <si>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</si>
  <si>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</si>
  <si>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</si>
  <si>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</si>
  <si>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</si>
  <si>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</si>
  <si>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</si>
  <si>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</si>
  <si>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</si>
  <si>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</si>
  <si>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</si>
  <si>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</si>
  <si>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</si>
  <si>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</si>
  <si>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</si>
  <si>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</si>
  <si>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</si>
  <si>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</si>
  <si>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</si>
  <si>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</si>
  <si>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</si>
  <si>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</si>
  <si>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</si>
  <si>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</si>
  <si>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</si>
  <si>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</si>
  <si>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</si>
  <si>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</si>
  <si>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</si>
  <si>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</si>
  <si>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</si>
  <si>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</si>
  <si>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</si>
  <si>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</si>
  <si>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</si>
  <si>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</si>
  <si>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</si>
  <si>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</si>
  <si>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</si>
  <si>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</si>
  <si>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</si>
  <si>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</si>
  <si>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</si>
  <si>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</si>
  <si>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</si>
  <si>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</si>
  <si>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</si>
  <si>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</si>
  <si>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</si>
  <si>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</si>
  <si>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</si>
  <si>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</si>
  <si>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</si>
  <si>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</si>
  <si>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</si>
  <si>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</si>
  <si>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</si>
  <si>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</si>
  <si>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</si>
  <si>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</si>
  <si>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</si>
  <si>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</si>
  <si>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</si>
  <si>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</si>
  <si>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</si>
  <si>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</si>
  <si>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</si>
  <si>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</si>
  <si>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</si>
  <si>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</si>
  <si>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</si>
  <si>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</si>
  <si>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</si>
  <si>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</si>
  <si>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</si>
  <si>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</si>
  <si>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</si>
  <si>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</si>
  <si>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</si>
  <si>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</si>
  <si>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</si>
  <si>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</si>
  <si>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</si>
  <si>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</si>
  <si>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</si>
  <si>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</si>
  <si>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</si>
  <si>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</si>
  <si>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</si>
  <si>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</si>
  <si>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</si>
  <si>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</si>
  <si>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</si>
  <si>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</si>
  <si>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</si>
  <si>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</si>
  <si>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</si>
  <si>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</si>
  <si>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</si>
  <si>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</si>
  <si>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</si>
  <si>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</si>
  <si>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</si>
  <si>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</si>
  <si>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</si>
  <si>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</si>
  <si>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</si>
  <si>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</si>
  <si>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</si>
  <si>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</si>
  <si>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</si>
  <si>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</si>
  <si>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</si>
  <si>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</si>
  <si>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</si>
  <si>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</si>
  <si>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</si>
  <si>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</si>
  <si>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</si>
  <si>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</si>
  <si>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</si>
  <si>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</si>
  <si>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</si>
  <si>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</si>
  <si>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</si>
  <si>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</si>
  <si>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</si>
  <si>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</si>
  <si>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</si>
  <si>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</si>
  <si>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</si>
  <si>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</si>
  <si>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</si>
  <si>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</si>
  <si>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</si>
  <si>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</si>
  <si>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</si>
  <si>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</si>
  <si>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</si>
  <si>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</si>
  <si>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</si>
  <si>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</si>
  <si>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</si>
  <si>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</si>
  <si>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</si>
  <si>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</si>
  <si>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</si>
  <si>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</si>
  <si>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</si>
  <si>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</si>
  <si>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</si>
  <si>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</si>
  <si>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</si>
  <si>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</si>
  <si>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</si>
  <si>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</si>
  <si>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</si>
  <si>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</si>
  <si>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</si>
  <si>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</si>
  <si>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</si>
  <si>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</si>
  <si>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</si>
  <si>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</si>
  <si>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</si>
  <si>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</si>
  <si>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</si>
  <si>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</si>
  <si>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</si>
  <si>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</si>
  <si>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</si>
  <si>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</si>
  <si>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</si>
  <si>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</si>
  <si>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</si>
  <si>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</si>
  <si>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</si>
  <si>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</si>
  <si>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</si>
  <si>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</si>
  <si>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</si>
  <si>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</si>
  <si>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</si>
  <si>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</si>
  <si>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</si>
  <si>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</si>
  <si>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</si>
  <si>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</si>
  <si>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</si>
  <si>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</si>
  <si>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</si>
  <si>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</si>
  <si>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</si>
  <si>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</si>
  <si>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</si>
  <si>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</si>
  <si>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</si>
  <si>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</si>
  <si>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</si>
  <si>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</si>
  <si>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</si>
  <si>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</si>
  <si>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</si>
  <si>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</si>
  <si>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</si>
  <si>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</si>
  <si>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</si>
  <si>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</si>
  <si>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</si>
  <si>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</si>
  <si>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</si>
  <si>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</si>
  <si>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</si>
  <si>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</si>
  <si>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</si>
  <si>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</si>
  <si>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</si>
  <si>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</si>
  <si>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</si>
  <si>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</si>
  <si>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</si>
  <si>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</si>
  <si>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</si>
  <si>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</si>
  <si>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</si>
  <si>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</si>
  <si>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</si>
  <si>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</si>
  <si>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</si>
  <si>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</si>
  <si>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</si>
  <si>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</si>
  <si>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</si>
  <si>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</si>
  <si>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</si>
  <si>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</si>
  <si>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</si>
  <si>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</si>
  <si>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</si>
  <si>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</si>
  <si>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</si>
  <si>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</si>
  <si>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</si>
  <si>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</si>
  <si>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</si>
  <si>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</si>
  <si>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</si>
  <si>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</si>
  <si>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</si>
  <si>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</si>
  <si>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</si>
  <si>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</si>
  <si>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</si>
  <si>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</si>
  <si>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</si>
  <si>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</si>
  <si>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</si>
  <si>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</si>
  <si>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</si>
  <si>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</si>
  <si>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</si>
  <si>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</si>
  <si>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</si>
  <si>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</si>
  <si>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</si>
  <si>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</si>
  <si>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</si>
  <si>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</si>
  <si>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</si>
  <si>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</si>
  <si>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</si>
  <si>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</si>
  <si>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</si>
  <si>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</si>
  <si>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</si>
  <si>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</si>
  <si>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</si>
  <si>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</si>
  <si>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</si>
  <si>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</si>
  <si>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</si>
  <si>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</si>
  <si>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</si>
  <si>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</si>
  <si>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</si>
  <si>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</si>
  <si>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</si>
  <si>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</si>
  <si>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</si>
  <si>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</si>
  <si>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</si>
  <si>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</si>
  <si>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</si>
  <si>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</si>
  <si>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</si>
  <si>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</si>
  <si>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</si>
  <si>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</si>
  <si>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</si>
  <si>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</si>
  <si>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</si>
  <si>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</si>
  <si>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</si>
  <si>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</si>
  <si>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</si>
  <si>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</si>
  <si>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</si>
  <si>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</si>
  <si>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</si>
  <si>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</si>
  <si>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</si>
  <si>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</si>
  <si>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</si>
  <si>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</si>
  <si>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</si>
  <si>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</si>
  <si>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</si>
  <si>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</si>
  <si>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</si>
  <si>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Cost</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</si>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</sst>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yyyy\-mm\-dd\ h:mm:ss"/>
    <numFmt numFmtId="165" formatCode="&quot;₹&quot;\ #,##0.00"/>
    <numFmt numFmtId="166" formatCode="_ [$₹-4009]\ * #,##0.00_ ;_ [$₹-4009]\ * \-#,##0.00_ ;_ [$₹-4009]\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10" fontId="0" fillId="0" borderId="0" xfId="0" applyNumberFormat="1"/>
    <xf numFmtId="0" fontId="0" fillId="0" borderId="0" xfId="0" pivotButton="1"/>
    <xf numFmtId="165" fontId="0" fillId="0" borderId="0" xfId="0" applyNumberFormat="1"/>
    <xf numFmtId="0" fontId="0" fillId="0" borderId="0" xfId="0" applyAlignment="1">
      <alignment horizontal="left"/>
    </xf>
    <xf numFmtId="0" fontId="0" fillId="0" borderId="0" xfId="0" applyAlignment="1">
      <alignment horizontal="left" indent="1"/>
    </xf>
    <xf numFmtId="165" fontId="2" fillId="2" borderId="1" xfId="0" applyNumberFormat="1" applyFont="1" applyFill="1" applyBorder="1"/>
    <xf numFmtId="10" fontId="0" fillId="0" borderId="0" xfId="1" applyNumberFormat="1" applyFont="1"/>
    <xf numFmtId="166" fontId="0" fillId="0" borderId="0" xfId="2" applyNumberFormat="1" applyFont="1"/>
    <xf numFmtId="166" fontId="0" fillId="0" borderId="0" xfId="0" applyNumberFormat="1"/>
  </cellXfs>
  <cellStyles count="3">
    <cellStyle name="Currency" xfId="2" builtinId="4"/>
    <cellStyle name="Normal" xfId="0" builtinId="0"/>
    <cellStyle name="Percent" xfId="1" builtinId="5"/>
  </cellStyles>
  <dxfs count="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border>
        <bottom style="thin">
          <color theme="4"/>
        </bottom>
        <vertical/>
        <horizontal/>
      </border>
    </dxf>
    <dxf>
      <font>
        <color theme="1"/>
      </font>
      <fill>
        <patternFill>
          <bgColor theme="0" tint="-0.14996795556505021"/>
        </patternFill>
      </fill>
      <border diagonalUp="0" diagonalDown="0">
        <left/>
        <right/>
        <top/>
        <bottom/>
        <vertical/>
        <horizontal/>
      </border>
    </dxf>
  </dxfs>
  <tableStyles count="1" defaultTableStyle="TableStyleMedium9" defaultPivotStyle="PivotStyleLight16">
    <tableStyle name="SlicerStyleLight1 2" pivot="0" table="0" count="10" xr9:uid="{D16800F8-62F0-4934-85A1-E9B932F73D74}">
      <tableStyleElement type="wholeTable" dxfId="4"/>
      <tableStyleElement type="headerRow" dxfId="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3"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[cleaned_data.xlsx]Pivot_Region!PivotTable1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a:p>
            <a:pPr>
              <a:defRPr/>
            </a:pPr>
            <a:endParaRPr lang="en-IN"/>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Sum of Net Sales</c:v>
                </c:pt>
              </c:strCache>
            </c:strRef>
          </c:tx>
          <c:spPr>
            <a:solidFill>
              <a:schemeClr val="accent1"/>
            </a:solidFill>
            <a:ln>
              <a:noFill/>
            </a:ln>
            <a:effectLst/>
          </c:spPr>
          <c:invertIfNegative val="0"/>
          <c:cat>
            <c:strRef>
              <c:f>Pivot_Region!$A$4:$A$8</c:f>
              <c:strCache>
                <c:ptCount val="4"/>
                <c:pt idx="0">
                  <c:v>West</c:v>
                </c:pt>
                <c:pt idx="1">
                  <c:v>East</c:v>
                </c:pt>
                <c:pt idx="2">
                  <c:v>South</c:v>
                </c:pt>
                <c:pt idx="3">
                  <c:v>North</c:v>
                </c:pt>
              </c:strCache>
            </c:strRef>
          </c:cat>
          <c:val>
            <c:numRef>
              <c:f>Pivot_Region!$B$4:$B$8</c:f>
              <c:numCache>
                <c:formatCode>"₹"\ #,##0.00</c:formatCode>
                <c:ptCount val="4"/>
                <c:pt idx="0">
                  <c:v>35441354.899999991</c:v>
                </c:pt>
                <c:pt idx="1">
                  <c:v>34750453.95000001</c:v>
                </c:pt>
                <c:pt idx="2">
                  <c:v>33255424.950000003</c:v>
                </c:pt>
                <c:pt idx="3">
                  <c:v>31196597.65000001</c:v>
                </c:pt>
              </c:numCache>
            </c:numRef>
          </c:val>
          <c:extLst>
            <c:ext xmlns:c16="http://schemas.microsoft.com/office/drawing/2014/chart" uri="{C3380CC4-5D6E-409C-BE32-E72D297353CC}">
              <c16:uniqueId val="{00000000-0F24-4AB9-B940-138380A6F075}"/>
            </c:ext>
          </c:extLst>
        </c:ser>
        <c:ser>
          <c:idx val="1"/>
          <c:order val="1"/>
          <c:tx>
            <c:strRef>
              <c:f>Pivot_Region!$C$3</c:f>
              <c:strCache>
                <c:ptCount val="1"/>
                <c:pt idx="0">
                  <c:v>Sum of Profit</c:v>
                </c:pt>
              </c:strCache>
            </c:strRef>
          </c:tx>
          <c:spPr>
            <a:solidFill>
              <a:schemeClr val="tx2"/>
            </a:solidFill>
            <a:ln>
              <a:noFill/>
            </a:ln>
            <a:effectLst/>
          </c:spPr>
          <c:invertIfNegative val="0"/>
          <c:cat>
            <c:strRef>
              <c:f>Pivot_Region!$A$4:$A$8</c:f>
              <c:strCache>
                <c:ptCount val="4"/>
                <c:pt idx="0">
                  <c:v>West</c:v>
                </c:pt>
                <c:pt idx="1">
                  <c:v>East</c:v>
                </c:pt>
                <c:pt idx="2">
                  <c:v>South</c:v>
                </c:pt>
                <c:pt idx="3">
                  <c:v>North</c:v>
                </c:pt>
              </c:strCache>
            </c:strRef>
          </c:cat>
          <c:val>
            <c:numRef>
              <c:f>Pivot_Region!$C$4:$C$8</c:f>
              <c:numCache>
                <c:formatCode>"₹"\ #,##0.00</c:formatCode>
                <c:ptCount val="4"/>
                <c:pt idx="0">
                  <c:v>14659571.899999999</c:v>
                </c:pt>
                <c:pt idx="1">
                  <c:v>14298079.950000001</c:v>
                </c:pt>
                <c:pt idx="2">
                  <c:v>13234377.949999994</c:v>
                </c:pt>
                <c:pt idx="3">
                  <c:v>12740409.650000004</c:v>
                </c:pt>
              </c:numCache>
            </c:numRef>
          </c:val>
          <c:extLst>
            <c:ext xmlns:c16="http://schemas.microsoft.com/office/drawing/2014/chart" uri="{C3380CC4-5D6E-409C-BE32-E72D297353CC}">
              <c16:uniqueId val="{00000001-0F24-4AB9-B940-138380A6F075}"/>
            </c:ext>
          </c:extLst>
        </c:ser>
        <c:dLbls>
          <c:showLegendKey val="0"/>
          <c:showVal val="0"/>
          <c:showCatName val="0"/>
          <c:showSerName val="0"/>
          <c:showPercent val="0"/>
          <c:showBubbleSize val="0"/>
        </c:dLbls>
        <c:gapWidth val="60"/>
        <c:overlap val="-27"/>
        <c:axId val="1379927535"/>
        <c:axId val="1379928015"/>
      </c:barChart>
      <c:catAx>
        <c:axId val="1379927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928015"/>
        <c:crosses val="autoZero"/>
        <c:auto val="1"/>
        <c:lblAlgn val="ctr"/>
        <c:lblOffset val="100"/>
        <c:noMultiLvlLbl val="0"/>
      </c:catAx>
      <c:valAx>
        <c:axId val="1379928015"/>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92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[cleaned_data.xlsx]Pivot_Monthly!PivotTable1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Pivot_Monthly!$A$4:$A$17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Pivot_Monthly!$B$4:$B$17</c:f>
              <c:numCache>
                <c:formatCode>"₹"\ #,##0.00</c:formatCode>
                <c:ptCount val="12"/>
                <c:pt idx="0">
                  <c:v>12049850.450000001</c:v>
                </c:pt>
                <c:pt idx="1">
                  <c:v>11624510.749999998</c:v>
                </c:pt>
                <c:pt idx="2">
                  <c:v>11738509.749999998</c:v>
                </c:pt>
                <c:pt idx="3">
                  <c:v>11563071.749999998</c:v>
                </c:pt>
                <c:pt idx="4">
                  <c:v>12858819.4</c:v>
                </c:pt>
                <c:pt idx="5">
                  <c:v>10720336.099999998</c:v>
                </c:pt>
                <c:pt idx="6">
                  <c:v>9789583.1999999993</c:v>
                </c:pt>
                <c:pt idx="7">
                  <c:v>10397071.9</c:v>
                </c:pt>
                <c:pt idx="8">
                  <c:v>8724617.4999999981</c:v>
                </c:pt>
                <c:pt idx="9">
                  <c:v>11253294.65</c:v>
                </c:pt>
                <c:pt idx="10">
                  <c:v>12412819.700000001</c:v>
                </c:pt>
                <c:pt idx="11">
                  <c:v>11511346.300000003</c:v>
                </c:pt>
              </c:numCache>
            </c:numRef>
          </c:val>
          <c:smooth val="0"/>
          <c:extLst>
            <c:ext xmlns:c16="http://schemas.microsoft.com/office/drawing/2014/chart" uri="{C3380CC4-5D6E-409C-BE32-E72D297353CC}">
              <c16:uniqueId val="{00000000-594F-4D0D-AF23-15E8A84B6943}"/>
            </c:ext>
          </c:extLst>
        </c:ser>
        <c:dLbls>
          <c:showLegendKey val="0"/>
          <c:showVal val="0"/>
          <c:showCatName val="0"/>
          <c:showSerName val="0"/>
          <c:showPercent val="0"/>
          <c:showBubbleSize val="0"/>
        </c:dLbls>
        <c:marker val="1"/>
        <c:smooth val="0"/>
        <c:axId val="1832742463"/>
        <c:axId val="1832742943"/>
      </c:lineChart>
      <c:catAx>
        <c:axId val="183274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742943"/>
        <c:crosses val="autoZero"/>
        <c:auto val="1"/>
        <c:lblAlgn val="ctr"/>
        <c:lblOffset val="100"/>
        <c:noMultiLvlLbl val="0"/>
      </c:catAx>
      <c:valAx>
        <c:axId val="1832742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74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25" r="0.25"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[cleaned_data.xlsx]Pivot_Top_Products!PivotTable2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Pivot_Top_Products!$B$3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Pivot_Top_Products!$A$4:$A$9</c:f>
              <c:strCache>
                <c:ptCount val="5"/>
                <c:pt idx="0">
                  <c:v>Laptop</c:v>
                </c:pt>
                <c:pt idx="1">
                  <c:v>Desk</c:v>
                </c:pt>
                <c:pt idx="2">
                  <c:v>Mouse</c:v>
                </c:pt>
                <c:pt idx="3">
                  <c:v>Printer</c:v>
                </c:pt>
                <c:pt idx="4">
                  <c:v>Monitor</c:v>
                </c:pt>
              </c:strCache>
            </c:strRef>
          </c:cat>
          <c:val>
            <c:numRef>
              <c:f>Pivot_Top_Products!$B$4:$B$9</c:f>
              <c:numCache>
                <c:formatCode>"₹"\ #,##0.00</c:formatCode>
                <c:ptCount val="5"/>
                <c:pt idx="0">
                  <c:v>24677543.300000008</c:v>
                </c:pt>
                <c:pt idx="1">
                  <c:v>23970747.40000001</c:v>
                </c:pt>
                <c:pt idx="2">
                  <c:v>23393985.250000004</c:v>
                </c:pt>
                <c:pt idx="3">
                  <c:v>23082613.400000006</c:v>
                </c:pt>
                <c:pt idx="4">
                  <c:v>21632256.949999996</c:v>
                </c:pt>
              </c:numCache>
            </c:numRef>
          </c:val>
          <c:extLst>
            <c:ext xmlns:c16="http://schemas.microsoft.com/office/drawing/2014/chart" uri="{C3380CC4-5D6E-409C-BE32-E72D297353CC}">
              <c16:uniqueId val="{00000000-F1C6-455C-AF35-16AF3F4917EC}"/>
            </c:ext>
          </c:extLst>
        </c:ser>
        <c:dLbls>
          <c:dLblPos val="inEnd"/>
          <c:showLegendKey val="0"/>
          <c:showVal val="1"/>
          <c:showCatName val="0"/>
          <c:showSerName val="0"/>
          <c:showPercent val="0"/>
          <c:showBubbleSize val="0"/>
        </c:dLbls>
        <c:gapWidth val="150"/>
        <c:axId val="1867370063"/>
        <c:axId val="1867372943"/>
      </c:barChart>
      <c:catAx>
        <c:axId val="18673700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372943"/>
        <c:crosses val="autoZero"/>
        <c:auto val="1"/>
        <c:lblAlgn val="ctr"/>
        <c:lblOffset val="100"/>
        <c:noMultiLvlLbl val="0"/>
      </c:catAx>
      <c:valAx>
        <c:axId val="1867372943"/>
        <c:scaling>
          <c:orientation val="minMax"/>
        </c:scaling>
        <c:delete val="1"/>
        <c:axPos val="b"/>
        <c:numFmt formatCode="&quot;₹&quot;\ #,##0.00" sourceLinked="1"/>
        <c:majorTickMark val="out"/>
        <c:minorTickMark val="none"/>
        <c:tickLblPos val="nextTo"/>
        <c:crossAx val="186737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136848</xdr:colOff>
      <xdr:row>21</xdr:row>
      <xdr:rowOff>15551</xdr:rowOff>
    </xdr:from>
    <xdr:to>
      <xdr:col>6</xdr:col>
      <xdr:colOff>15551</xdr:colOff>
      <xdr:row>32</xdr:row>
      <xdr:rowOff>132184</xdr:rowOff>
    </xdr:to>
    <xdr:sp macro="" textlink="Pivot_Region!C9">
      <xdr:nvSpPr>
        <xdr:cNvPr id="12" name="Rounded Rectangle 7">
          <a:extLst>
            <a:ext uri="{FF2B5EF4-FFF2-40B4-BE49-F238E27FC236}">
              <a16:creationId xmlns:a16="http://schemas.microsoft.com/office/drawing/2014/main" id="{218DE9D7-834E-4035-87AF-A647BA1216AE}"/>
            </a:ext>
            <a:ext uri="{147F2762-F138-4A5C-976F-8EAC2B608ADB}">
              <a16:predDERef xmlns:a16="http://schemas.microsoft.com/office/drawing/2014/main" pred="{BD57FA68-424B-4207-896C-90332DE6C17C}"/>
            </a:ext>
          </a:extLst>
        </xdr:cNvPr>
        <xdr:cNvSpPr/>
      </xdr:nvSpPr>
      <xdr:spPr>
        <a:xfrm>
          <a:off x="136848" y="3934408"/>
          <a:ext cx="4380723" cy="2169368"/>
        </a:xfrm>
        <a:prstGeom prst="roundRect">
          <a:avLst>
            <a:gd name="adj" fmla="val 1407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endParaRPr lang="en-US" sz="14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xdr:from>
      <xdr:col>0</xdr:col>
      <xdr:colOff>135605</xdr:colOff>
      <xdr:row>0</xdr:row>
      <xdr:rowOff>129695</xdr:rowOff>
    </xdr:from>
    <xdr:to>
      <xdr:col>13</xdr:col>
      <xdr:colOff>450980</xdr:colOff>
      <xdr:row>3</xdr:row>
      <xdr:rowOff>7775</xdr:rowOff>
    </xdr:to>
    <xdr:sp macro="" textlink="">
      <xdr:nvSpPr>
        <xdr:cNvPr id="2" name="TextBox 1">
          <a:extLst>
            <a:ext uri="{FF2B5EF4-FFF2-40B4-BE49-F238E27FC236}">
              <a16:creationId xmlns:a16="http://schemas.microsoft.com/office/drawing/2014/main" id="{74EC04CD-0E8C-A6FD-B184-BEA4D4A46EE8}"/>
            </a:ext>
          </a:extLst>
        </xdr:cNvPr>
        <xdr:cNvSpPr txBox="1"/>
      </xdr:nvSpPr>
      <xdr:spPr>
        <a:xfrm>
          <a:off x="135605" y="129695"/>
          <a:ext cx="9062824" cy="437917"/>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accent1"/>
              </a:solidFill>
              <a:latin typeface="Segoe UI" panose="020B0502040204020203" pitchFamily="34" charset="0"/>
              <a:cs typeface="Segoe UI" panose="020B0502040204020203" pitchFamily="34" charset="0"/>
            </a:rPr>
            <a:t>Advanced Sales Performance Dashboard</a:t>
          </a:r>
        </a:p>
      </xdr:txBody>
    </xdr:sp>
    <xdr:clientData/>
  </xdr:twoCellAnchor>
  <xdr:twoCellAnchor>
    <xdr:from>
      <xdr:col>0</xdr:col>
      <xdr:colOff>286527</xdr:colOff>
      <xdr:row>3</xdr:row>
      <xdr:rowOff>62206</xdr:rowOff>
    </xdr:from>
    <xdr:to>
      <xdr:col>3</xdr:col>
      <xdr:colOff>233266</xdr:colOff>
      <xdr:row>7</xdr:row>
      <xdr:rowOff>57978</xdr:rowOff>
    </xdr:to>
    <xdr:sp macro="" textlink="Pivot_Region!B9">
      <xdr:nvSpPr>
        <xdr:cNvPr id="4" name="Rounded Rectangle 3">
          <a:extLst>
            <a:ext uri="{FF2B5EF4-FFF2-40B4-BE49-F238E27FC236}">
              <a16:creationId xmlns:a16="http://schemas.microsoft.com/office/drawing/2014/main" id="{94E425B6-2333-AAED-13C0-63CB4B33EA9E}"/>
            </a:ext>
            <a:ext uri="{147F2762-F138-4A5C-976F-8EAC2B608ADB}">
              <a16:predDERef xmlns:a16="http://schemas.microsoft.com/office/drawing/2014/main" pred="{74EC04CD-0E8C-A6FD-B184-BEA4D4A46EE8}"/>
            </a:ext>
          </a:extLst>
        </xdr:cNvPr>
        <xdr:cNvSpPr/>
      </xdr:nvSpPr>
      <xdr:spPr>
        <a:xfrm>
          <a:off x="286527" y="608858"/>
          <a:ext cx="2249304" cy="724642"/>
        </a:xfrm>
        <a:prstGeom prst="roundRect">
          <a:avLst>
            <a:gd name="adj" fmla="val 2257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fld id="{FCA31CB1-4CE5-4AD8-8DAC-9DB68B438020}" type="TxLink">
            <a:rPr lang="en-US" sz="1600" b="1" i="0" u="none" strike="noStrike">
              <a:solidFill>
                <a:srgbClr val="000000"/>
              </a:solidFill>
              <a:latin typeface="Segoe UI" panose="020B0502040204020203" pitchFamily="34" charset="0"/>
              <a:ea typeface="Calibri"/>
              <a:cs typeface="Segoe UI" panose="020B0502040204020203" pitchFamily="34" charset="0"/>
            </a:rPr>
            <a:pPr marL="0" indent="0" algn="ctr"/>
            <a:t> ₹ 13,46,43,831.45 </a:t>
          </a:fld>
          <a:endParaRPr lang="en-US" sz="1600" b="1" i="0" u="none" strike="noStrike">
            <a:solidFill>
              <a:srgbClr val="000000"/>
            </a:solidFill>
            <a:latin typeface="Segoe UI" panose="020B0502040204020203" pitchFamily="34" charset="0"/>
            <a:ea typeface="Calibri"/>
            <a:cs typeface="Segoe UI" panose="020B0502040204020203" pitchFamily="34" charset="0"/>
          </a:endParaRPr>
        </a:p>
        <a:p>
          <a:pPr marL="0" indent="0" algn="ctr"/>
          <a:r>
            <a:rPr lang="en-US" sz="1400" b="1" i="0" u="none" strike="noStrike">
              <a:solidFill>
                <a:schemeClr val="accent1"/>
              </a:solidFill>
              <a:latin typeface="Segoe UI" panose="020B0502040204020203" pitchFamily="34" charset="0"/>
              <a:ea typeface="Calibri" panose="020F0502020204030204" pitchFamily="34" charset="0"/>
              <a:cs typeface="Segoe UI" panose="020B0502040204020203" pitchFamily="34" charset="0"/>
            </a:rPr>
            <a:t>TOTAL NET SALES</a:t>
          </a:r>
        </a:p>
      </xdr:txBody>
    </xdr:sp>
    <xdr:clientData/>
  </xdr:twoCellAnchor>
  <xdr:twoCellAnchor>
    <xdr:from>
      <xdr:col>9</xdr:col>
      <xdr:colOff>412101</xdr:colOff>
      <xdr:row>3</xdr:row>
      <xdr:rowOff>62206</xdr:rowOff>
    </xdr:from>
    <xdr:to>
      <xdr:col>13</xdr:col>
      <xdr:colOff>225489</xdr:colOff>
      <xdr:row>7</xdr:row>
      <xdr:rowOff>23328</xdr:rowOff>
    </xdr:to>
    <xdr:sp macro="" textlink="Pivot_Region!B12">
      <xdr:nvSpPr>
        <xdr:cNvPr id="5" name="Rounded Rectangle 4">
          <a:extLst>
            <a:ext uri="{FF2B5EF4-FFF2-40B4-BE49-F238E27FC236}">
              <a16:creationId xmlns:a16="http://schemas.microsoft.com/office/drawing/2014/main" id="{BD57FA68-424B-4207-896C-90332DE6C17C}"/>
            </a:ext>
            <a:ext uri="{147F2762-F138-4A5C-976F-8EAC2B608ADB}">
              <a16:predDERef xmlns:a16="http://schemas.microsoft.com/office/drawing/2014/main" pred="{94E425B6-2333-AAED-13C0-63CB4B33EA9E}"/>
            </a:ext>
          </a:extLst>
        </xdr:cNvPr>
        <xdr:cNvSpPr/>
      </xdr:nvSpPr>
      <xdr:spPr>
        <a:xfrm>
          <a:off x="6733591" y="622043"/>
          <a:ext cx="2239347" cy="707571"/>
        </a:xfrm>
        <a:prstGeom prst="roundRect">
          <a:avLst>
            <a:gd name="adj" fmla="val 2054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065A8987-A09E-4058-B078-20F59A32206A}" type="TxLink">
            <a:rPr lang="en-US" sz="1600" b="1" i="0" u="none" strike="noStrike">
              <a:solidFill>
                <a:srgbClr val="000000"/>
              </a:solidFill>
              <a:latin typeface="Segoe UI" panose="020B0502040204020203" pitchFamily="34" charset="0"/>
              <a:ea typeface="Calibri"/>
              <a:cs typeface="Segoe UI" panose="020B0502040204020203" pitchFamily="34" charset="0"/>
            </a:rPr>
            <a:pPr marL="0" indent="0" algn="ctr"/>
            <a:t>40.80%</a:t>
          </a:fld>
          <a:endParaRPr lang="en-US" sz="1600" b="1" i="0" u="none" strike="noStrike">
            <a:solidFill>
              <a:srgbClr val="000000"/>
            </a:solidFill>
            <a:latin typeface="Segoe UI" panose="020B0502040204020203" pitchFamily="34" charset="0"/>
            <a:ea typeface="Calibri"/>
            <a:cs typeface="Segoe UI" panose="020B0502040204020203" pitchFamily="34" charset="0"/>
          </a:endParaRPr>
        </a:p>
        <a:p>
          <a:pPr marL="0" indent="0" algn="ctr"/>
          <a:r>
            <a:rPr lang="en-US" sz="1400" b="1" i="0" u="none" strike="noStrike">
              <a:solidFill>
                <a:schemeClr val="accent1"/>
              </a:solidFill>
              <a:latin typeface="Segoe UI" panose="020B0502040204020203" pitchFamily="34" charset="0"/>
              <a:ea typeface="Calibri"/>
              <a:cs typeface="Segoe UI" panose="020B0502040204020203" pitchFamily="34" charset="0"/>
            </a:rPr>
            <a:t>PROFIT MARGIN</a:t>
          </a:r>
        </a:p>
      </xdr:txBody>
    </xdr:sp>
    <xdr:clientData/>
  </xdr:twoCellAnchor>
  <xdr:twoCellAnchor>
    <xdr:from>
      <xdr:col>4</xdr:col>
      <xdr:colOff>229376</xdr:colOff>
      <xdr:row>3</xdr:row>
      <xdr:rowOff>62206</xdr:rowOff>
    </xdr:from>
    <xdr:to>
      <xdr:col>8</xdr:col>
      <xdr:colOff>19439</xdr:colOff>
      <xdr:row>7</xdr:row>
      <xdr:rowOff>69979</xdr:rowOff>
    </xdr:to>
    <xdr:sp macro="" textlink="Pivot_Region!C9">
      <xdr:nvSpPr>
        <xdr:cNvPr id="8" name="Rounded Rectangle 7">
          <a:extLst>
            <a:ext uri="{FF2B5EF4-FFF2-40B4-BE49-F238E27FC236}">
              <a16:creationId xmlns:a16="http://schemas.microsoft.com/office/drawing/2014/main" id="{D01AB6D2-7B0B-4129-B6C6-AFCE23C55622}"/>
            </a:ext>
            <a:ext uri="{147F2762-F138-4A5C-976F-8EAC2B608ADB}">
              <a16:predDERef xmlns:a16="http://schemas.microsoft.com/office/drawing/2014/main" pred="{BD57FA68-424B-4207-896C-90332DE6C17C}"/>
            </a:ext>
          </a:extLst>
        </xdr:cNvPr>
        <xdr:cNvSpPr/>
      </xdr:nvSpPr>
      <xdr:spPr>
        <a:xfrm>
          <a:off x="3518417" y="622043"/>
          <a:ext cx="2216022" cy="754222"/>
        </a:xfrm>
        <a:prstGeom prst="roundRect">
          <a:avLst>
            <a:gd name="adj" fmla="val 2755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36DDC86E-E663-4830-890A-1130AD9BC4D5}" type="TxLink">
            <a:rPr lang="en-US" sz="1600" b="1" i="0" u="none" strike="noStrike">
              <a:solidFill>
                <a:srgbClr val="000000"/>
              </a:solidFill>
              <a:latin typeface="Segoe UI" panose="020B0502040204020203" pitchFamily="34" charset="0"/>
              <a:ea typeface="Calibri"/>
              <a:cs typeface="Segoe UI" panose="020B0502040204020203" pitchFamily="34" charset="0"/>
            </a:rPr>
            <a:pPr marL="0" indent="0" algn="ctr"/>
            <a:t> ₹ 5,49,32,439.45 </a:t>
          </a:fld>
          <a:endParaRPr lang="en-US" sz="1600" b="1" i="0" u="none" strike="noStrike">
            <a:solidFill>
              <a:srgbClr val="000000"/>
            </a:solidFill>
            <a:latin typeface="Segoe UI" panose="020B0502040204020203" pitchFamily="34" charset="0"/>
            <a:ea typeface="Calibri"/>
            <a:cs typeface="Segoe UI" panose="020B0502040204020203" pitchFamily="34" charset="0"/>
          </a:endParaRPr>
        </a:p>
        <a:p>
          <a:pPr marL="0" indent="0" algn="ctr"/>
          <a:r>
            <a:rPr lang="en-US" sz="1400" b="1" i="0" u="none" strike="noStrike">
              <a:solidFill>
                <a:schemeClr val="accent1"/>
              </a:solidFill>
              <a:latin typeface="Segoe UI" panose="020B0502040204020203" pitchFamily="34" charset="0"/>
              <a:ea typeface="Calibri"/>
              <a:cs typeface="Segoe UI" panose="020B0502040204020203" pitchFamily="34" charset="0"/>
            </a:rPr>
            <a:t>TOTAL</a:t>
          </a:r>
          <a:r>
            <a:rPr lang="en-US" sz="1400" b="1" i="0" u="none" strike="noStrike" baseline="0">
              <a:solidFill>
                <a:schemeClr val="accent1"/>
              </a:solidFill>
              <a:latin typeface="Segoe UI" panose="020B0502040204020203" pitchFamily="34" charset="0"/>
              <a:ea typeface="Calibri"/>
              <a:cs typeface="Segoe UI" panose="020B0502040204020203" pitchFamily="34" charset="0"/>
            </a:rPr>
            <a:t> PROFIT </a:t>
          </a:r>
          <a:endParaRPr lang="en-US" sz="1400" b="1" i="0" u="none" strike="noStrike">
            <a:solidFill>
              <a:schemeClr val="accent1"/>
            </a:solidFill>
            <a:latin typeface="Segoe UI" panose="020B0502040204020203" pitchFamily="34" charset="0"/>
            <a:ea typeface="Calibri"/>
            <a:cs typeface="Segoe UI" panose="020B0502040204020203" pitchFamily="34" charset="0"/>
          </a:endParaRPr>
        </a:p>
      </xdr:txBody>
    </xdr:sp>
    <xdr:clientData/>
  </xdr:twoCellAnchor>
  <xdr:twoCellAnchor>
    <xdr:from>
      <xdr:col>0</xdr:col>
      <xdr:colOff>178836</xdr:colOff>
      <xdr:row>7</xdr:row>
      <xdr:rowOff>110411</xdr:rowOff>
    </xdr:from>
    <xdr:to>
      <xdr:col>5</xdr:col>
      <xdr:colOff>590938</xdr:colOff>
      <xdr:row>20</xdr:row>
      <xdr:rowOff>136848</xdr:rowOff>
    </xdr:to>
    <xdr:sp macro="" textlink="Pivot_Region!C9">
      <xdr:nvSpPr>
        <xdr:cNvPr id="6" name="Rounded Rectangle 7">
          <a:extLst>
            <a:ext uri="{FF2B5EF4-FFF2-40B4-BE49-F238E27FC236}">
              <a16:creationId xmlns:a16="http://schemas.microsoft.com/office/drawing/2014/main" id="{D9CCC703-06FE-4525-A7C8-A4E6798845EA}"/>
            </a:ext>
            <a:ext uri="{147F2762-F138-4A5C-976F-8EAC2B608ADB}">
              <a16:predDERef xmlns:a16="http://schemas.microsoft.com/office/drawing/2014/main" pred="{BD57FA68-424B-4207-896C-90332DE6C17C}"/>
            </a:ext>
          </a:extLst>
        </xdr:cNvPr>
        <xdr:cNvSpPr/>
      </xdr:nvSpPr>
      <xdr:spPr>
        <a:xfrm>
          <a:off x="178836" y="1416697"/>
          <a:ext cx="4307633" cy="2452396"/>
        </a:xfrm>
        <a:prstGeom prst="roundRect">
          <a:avLst>
            <a:gd name="adj" fmla="val 1407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endParaRPr lang="en-US" sz="14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xdr:from>
      <xdr:col>0</xdr:col>
      <xdr:colOff>311021</xdr:colOff>
      <xdr:row>8</xdr:row>
      <xdr:rowOff>85531</xdr:rowOff>
    </xdr:from>
    <xdr:to>
      <xdr:col>5</xdr:col>
      <xdr:colOff>450979</xdr:colOff>
      <xdr:row>20</xdr:row>
      <xdr:rowOff>85531</xdr:rowOff>
    </xdr:to>
    <xdr:graphicFrame macro="">
      <xdr:nvGraphicFramePr>
        <xdr:cNvPr id="3" name="Chart 2">
          <a:extLst>
            <a:ext uri="{FF2B5EF4-FFF2-40B4-BE49-F238E27FC236}">
              <a16:creationId xmlns:a16="http://schemas.microsoft.com/office/drawing/2014/main" id="{438A88E2-C31E-44C8-ADB4-ACD9C077C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178837</xdr:colOff>
      <xdr:row>7</xdr:row>
      <xdr:rowOff>110411</xdr:rowOff>
    </xdr:from>
    <xdr:to>
      <xdr:col>13</xdr:col>
      <xdr:colOff>471196</xdr:colOff>
      <xdr:row>20</xdr:row>
      <xdr:rowOff>171061</xdr:rowOff>
    </xdr:to>
    <xdr:sp macro="" textlink="Pivot_Region!C9">
      <xdr:nvSpPr>
        <xdr:cNvPr id="7" name="Rounded Rectangle 7">
          <a:extLst>
            <a:ext uri="{FF2B5EF4-FFF2-40B4-BE49-F238E27FC236}">
              <a16:creationId xmlns:a16="http://schemas.microsoft.com/office/drawing/2014/main" id="{D9693AF2-B520-4A37-9321-1490C34B72DE}"/>
            </a:ext>
            <a:ext uri="{147F2762-F138-4A5C-976F-8EAC2B608ADB}">
              <a16:predDERef xmlns:a16="http://schemas.microsoft.com/office/drawing/2014/main" pred="{BD57FA68-424B-4207-896C-90332DE6C17C}"/>
            </a:ext>
          </a:extLst>
        </xdr:cNvPr>
        <xdr:cNvSpPr/>
      </xdr:nvSpPr>
      <xdr:spPr>
        <a:xfrm>
          <a:off x="4680857" y="1416697"/>
          <a:ext cx="4537788" cy="2486609"/>
        </a:xfrm>
        <a:prstGeom prst="roundRect">
          <a:avLst>
            <a:gd name="adj" fmla="val 1407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endParaRPr lang="en-US" sz="14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xdr:from>
      <xdr:col>6</xdr:col>
      <xdr:colOff>396550</xdr:colOff>
      <xdr:row>8</xdr:row>
      <xdr:rowOff>17104</xdr:rowOff>
    </xdr:from>
    <xdr:to>
      <xdr:col>13</xdr:col>
      <xdr:colOff>365448</xdr:colOff>
      <xdr:row>20</xdr:row>
      <xdr:rowOff>85529</xdr:rowOff>
    </xdr:to>
    <xdr:graphicFrame macro="">
      <xdr:nvGraphicFramePr>
        <xdr:cNvPr id="9" name="Chart 8">
          <a:extLst>
            <a:ext uri="{FF2B5EF4-FFF2-40B4-BE49-F238E27FC236}">
              <a16:creationId xmlns:a16="http://schemas.microsoft.com/office/drawing/2014/main" id="{E1E83589-B698-4FDC-89EE-C7D17795E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217713</xdr:colOff>
      <xdr:row>21</xdr:row>
      <xdr:rowOff>108857</xdr:rowOff>
    </xdr:from>
    <xdr:to>
      <xdr:col>5</xdr:col>
      <xdr:colOff>559836</xdr:colOff>
      <xdr:row>32</xdr:row>
      <xdr:rowOff>62204</xdr:rowOff>
    </xdr:to>
    <xdr:graphicFrame macro="">
      <xdr:nvGraphicFramePr>
        <xdr:cNvPr id="10" name="Chart 9">
          <a:extLst>
            <a:ext uri="{FF2B5EF4-FFF2-40B4-BE49-F238E27FC236}">
              <a16:creationId xmlns:a16="http://schemas.microsoft.com/office/drawing/2014/main" id="{D6BA3939-F75F-4AB6-82F1-7B3801D46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124409</xdr:colOff>
      <xdr:row>22</xdr:row>
      <xdr:rowOff>23326</xdr:rowOff>
    </xdr:from>
    <xdr:to>
      <xdr:col>8</xdr:col>
      <xdr:colOff>46652</xdr:colOff>
      <xdr:row>30</xdr:row>
      <xdr:rowOff>145868</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95C5AC2B-EB70-4A1D-BF9E-D9E97A088B5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654996" y="4032109"/>
              <a:ext cx="1148069" cy="1580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130163</xdr:colOff>
      <xdr:row>21</xdr:row>
      <xdr:rowOff>176814</xdr:rowOff>
    </xdr:from>
    <xdr:to>
      <xdr:col>10</xdr:col>
      <xdr:colOff>233264</xdr:colOff>
      <xdr:row>31</xdr:row>
      <xdr:rowOff>69979</xdr:rowOff>
    </xdr:to>
    <mc:AlternateContent xmlns:mc="http://schemas.openxmlformats.org/markup-compatibility/2006" xmlns:a14="http://schemas.microsoft.com/office/drawing/2010/main">
      <mc:Choice Requires="a14">
        <xdr:graphicFrame macro="">
          <xdr:nvGraphicFramePr>
            <xdr:cNvPr id="14" name="Salesperson 1">
              <a:extLst>
                <a:ext uri="{FF2B5EF4-FFF2-40B4-BE49-F238E27FC236}">
                  <a16:creationId xmlns:a16="http://schemas.microsoft.com/office/drawing/2014/main" id="{8E0F1DEE-5BAE-476F-9CAF-CF58BC5719E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5886576" y="4003379"/>
              <a:ext cx="1328927" cy="1715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306977</xdr:colOff>
      <xdr:row>22</xdr:row>
      <xdr:rowOff>11509</xdr:rowOff>
    </xdr:from>
    <xdr:to>
      <xdr:col>13</xdr:col>
      <xdr:colOff>377268</xdr:colOff>
      <xdr:row>27</xdr:row>
      <xdr:rowOff>124240</xdr:rowOff>
    </xdr:to>
    <mc:AlternateContent xmlns:mc="http://schemas.openxmlformats.org/markup-compatibility/2006" xmlns:a14="http://schemas.microsoft.com/office/drawing/2010/main">
      <mc:Choice Requires="a14">
        <xdr:graphicFrame macro="">
          <xdr:nvGraphicFramePr>
            <xdr:cNvPr id="15" name="Category_Fetched 1">
              <a:extLst>
                <a:ext uri="{FF2B5EF4-FFF2-40B4-BE49-F238E27FC236}">
                  <a16:creationId xmlns:a16="http://schemas.microsoft.com/office/drawing/2014/main" id="{66EBF796-4EBF-451F-BC67-F49F20534172}"/>
                </a:ext>
              </a:extLst>
            </xdr:cNvPr>
            <xdr:cNvGraphicFramePr/>
          </xdr:nvGraphicFramePr>
          <xdr:xfrm>
            <a:off x="0" y="0"/>
            <a:ext cx="0" cy="0"/>
          </xdr:xfrm>
          <a:graphic>
            <a:graphicData uri="http://schemas.microsoft.com/office/drawing/2010/slicer">
              <sle:slicer xmlns:sle="http://schemas.microsoft.com/office/drawing/2010/slicer" name="Category_Fetched 1"/>
            </a:graphicData>
          </a:graphic>
        </xdr:graphicFrame>
      </mc:Choice>
      <mc:Fallback xmlns="">
        <xdr:sp macro="" textlink="">
          <xdr:nvSpPr>
            <xdr:cNvPr id="0" name=""/>
            <xdr:cNvSpPr>
              <a:spLocks noTextEdit="1"/>
            </xdr:cNvSpPr>
          </xdr:nvSpPr>
          <xdr:spPr>
            <a:xfrm>
              <a:off x="7289216" y="4020292"/>
              <a:ext cx="1909030" cy="1023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9.816316087963" createdVersion="8" refreshedVersion="8" minRefreshableVersion="3" recordCount="1000" xr:uid="{B262DA17-0D50-4362-84D4-85704FC831E7}">
  <cacheSource type="worksheet">
    <worksheetSource ref="A1:R1001" sheet="Cleaned_Data"/>
  </cacheSource>
  <cacheFields count="20">
    <cacheField name="Order ID" numFmtId="0">
      <sharedItems/>
    </cacheField>
    <cacheField name="Order Date" numFmtId="164">
      <sharedItems containsSemiMixedTypes="0" containsNonDate="0" containsDate="1" containsString="0" minDate="2024-01-01T00:00:00" maxDate="2025-01-01T00:00:00" count="333">
        <d v="2024-07-30T00:00:00"/>
        <d v="2024-08-23T00:00:00"/>
        <d v="2024-11-28T00:00:00"/>
        <d v="2024-01-20T00:00:00"/>
        <d v="2024-12-06T00:00:00"/>
        <d v="2024-02-17T00:00:00"/>
        <d v="2024-11-22T00:00:00"/>
        <d v="2024-07-03T00:00:00"/>
        <d v="2024-08-26T00:00:00"/>
        <d v="2024-05-01T00:00:00"/>
        <d v="2024-12-23T00:00:00"/>
        <d v="2024-05-31T00:00:00"/>
        <d v="2024-05-11T00:00:00"/>
        <d v="2024-04-18T00:00:00"/>
        <d v="2024-09-14T00:00:00"/>
        <d v="2024-04-19T00:00:00"/>
        <d v="2024-02-20T00:00:00"/>
        <d v="2024-04-06T00:00:00"/>
        <d v="2024-10-05T00:00:00"/>
        <d v="2024-04-30T00:00:00"/>
        <d v="2024-11-30T00:00:00"/>
        <d v="2024-07-18T00:00:00"/>
        <d v="2024-07-06T00:00:00"/>
        <d v="2024-05-03T00:00:00"/>
        <d v="2024-02-27T00:00:00"/>
        <d v="2024-12-29T00:00:00"/>
        <d v="2024-12-12T00:00:00"/>
        <d v="2024-01-24T00:00:00"/>
        <d v="2024-09-09T00:00:00"/>
        <d v="2024-08-25T00:00:00"/>
        <d v="2024-09-26T00:00:00"/>
        <d v="2024-02-14T00:00:00"/>
        <d v="2024-12-16T00:00:00"/>
        <d v="2024-02-24T00:00:00"/>
        <d v="2024-09-25T00:00:00"/>
        <d v="2024-04-15T00:00:00"/>
        <d v="2024-02-07T00:00:00"/>
        <d v="2024-10-26T00:00:00"/>
        <d v="2024-11-24T00:00:00"/>
        <d v="2024-06-12T00:00:00"/>
        <d v="2024-09-04T00:00:00"/>
        <d v="2024-05-16T00:00:00"/>
        <d v="2024-05-20T00:00:00"/>
        <d v="2024-08-14T00:00:00"/>
        <d v="2024-06-11T00:00:00"/>
        <d v="2024-12-13T00:00:00"/>
        <d v="2024-04-17T00:00:00"/>
        <d v="2024-10-03T00:00:00"/>
        <d v="2024-03-28T00:00:00"/>
        <d v="2024-11-23T00:00:00"/>
        <d v="2024-03-16T00:00:00"/>
        <d v="2024-06-10T00:00:00"/>
        <d v="2024-11-16T00:00:00"/>
        <d v="2024-10-24T00:00:00"/>
        <d v="2024-02-04T00:00:00"/>
        <d v="2024-11-10T00:00:00"/>
        <d v="2024-10-31T00:00:00"/>
        <d v="2024-07-02T00:00:00"/>
        <d v="2024-09-23T00:00:00"/>
        <d v="2024-09-27T00:00:00"/>
        <d v="2024-12-10T00:00:00"/>
        <d v="2024-08-03T00:00:00"/>
        <d v="2024-02-06T00:00:00"/>
        <d v="2024-10-29T00:00:00"/>
        <d v="2024-01-09T00:00:00"/>
        <d v="2024-10-17T00:00:00"/>
        <d v="2024-01-19T00:00:00"/>
        <d v="2024-02-01T00:00:00"/>
        <d v="2024-05-12T00:00:00"/>
        <d v="2024-10-14T00:00:00"/>
        <d v="2024-02-29T00:00:00"/>
        <d v="2024-01-12T00:00:00"/>
        <d v="2024-07-22T00:00:00"/>
        <d v="2024-05-09T00:00:00"/>
        <d v="2024-11-18T00:00:00"/>
        <d v="2024-06-09T00:00:00"/>
        <d v="2024-04-20T00:00:00"/>
        <d v="2024-02-10T00:00:00"/>
        <d v="2024-12-25T00:00:00"/>
        <d v="2024-09-07T00:00:00"/>
        <d v="2024-10-27T00:00:00"/>
        <d v="2024-06-28T00:00:00"/>
        <d v="2024-04-01T00:00:00"/>
        <d v="2024-08-12T00:00:00"/>
        <d v="2024-04-08T00:00:00"/>
        <d v="2024-02-23T00:00:00"/>
        <d v="2024-03-15T00:00:00"/>
        <d v="2024-12-26T00:00:00"/>
        <d v="2024-03-03T00:00:00"/>
        <d v="2024-06-07T00:00:00"/>
        <d v="2024-10-25T00:00:00"/>
        <d v="2024-05-29T00:00:00"/>
        <d v="2024-04-11T00:00:00"/>
        <d v="2024-01-22T00:00:00"/>
        <d v="2024-01-18T00:00:00"/>
        <d v="2024-09-29T00:00:00"/>
        <d v="2024-06-01T00:00:00"/>
        <d v="2024-07-13T00:00:00"/>
        <d v="2024-11-15T00:00:00"/>
        <d v="2024-06-22T00:00:00"/>
        <d v="2024-03-21T00:00:00"/>
        <d v="2024-06-23T00:00:00"/>
        <d v="2024-03-09T00:00:00"/>
        <d v="2024-07-17T00:00:00"/>
        <d v="2024-03-25T00:00:00"/>
        <d v="2024-01-21T00:00:00"/>
        <d v="2024-08-06T00:00:00"/>
        <d v="2024-04-07T00:00:00"/>
        <d v="2024-05-24T00:00:00"/>
        <d v="2024-02-21T00:00:00"/>
        <d v="2024-12-01T00:00:00"/>
        <d v="2024-12-31T00:00:00"/>
        <d v="2024-07-28T00:00:00"/>
        <d v="2024-03-27T00:00:00"/>
        <d v="2024-03-01T00:00:00"/>
        <d v="2024-03-29T00:00:00"/>
        <d v="2024-04-14T00:00:00"/>
        <d v="2024-06-20T00:00:00"/>
        <d v="2024-07-14T00:00:00"/>
        <d v="2024-04-13T00:00:00"/>
        <d v="2024-08-24T00:00:00"/>
        <d v="2024-03-02T00:00:00"/>
        <d v="2024-05-22T00:00:00"/>
        <d v="2024-03-24T00:00:00"/>
        <d v="2024-12-15T00:00:00"/>
        <d v="2024-03-14T00:00:00"/>
        <d v="2024-09-22T00:00:00"/>
        <d v="2024-04-22T00:00:00"/>
        <d v="2024-11-25T00:00:00"/>
        <d v="2024-11-17T00:00:00"/>
        <d v="2024-10-04T00:00:00"/>
        <d v="2024-11-13T00:00:00"/>
        <d v="2024-03-18T00:00:00"/>
        <d v="2024-02-11T00:00:00"/>
        <d v="2024-11-26T00:00:00"/>
        <d v="2024-09-06T00:00:00"/>
        <d v="2024-08-27T00:00:00"/>
        <d v="2024-06-13T00:00:00"/>
        <d v="2024-05-27T00:00:00"/>
        <d v="2024-06-08T00:00:00"/>
        <d v="2024-01-06T00:00:00"/>
        <d v="2024-01-29T00:00:00"/>
        <d v="2024-11-27T00:00:00"/>
        <d v="2024-02-26T00:00:00"/>
        <d v="2024-12-22T00:00:00"/>
        <d v="2024-07-15T00:00:00"/>
        <d v="2024-07-27T00:00:00"/>
        <d v="2024-05-21T00:00:00"/>
        <d v="2024-10-02T00:00:00"/>
        <d v="2024-08-09T00:00:00"/>
        <d v="2024-02-28T00:00:00"/>
        <d v="2024-03-17T00:00:00"/>
        <d v="2024-06-06T00:00:00"/>
        <d v="2024-08-31T00:00:00"/>
        <d v="2024-03-13T00:00:00"/>
        <d v="2024-01-25T00:00:00"/>
        <d v="2024-02-16T00:00:00"/>
        <d v="2024-06-15T00:00:00"/>
        <d v="2024-01-15T00:00:00"/>
        <d v="2024-07-12T00:00:00"/>
        <d v="2024-07-09T00:00:00"/>
        <d v="2024-11-09T00:00:00"/>
        <d v="2024-01-23T00:00:00"/>
        <d v="2024-04-24T00:00:00"/>
        <d v="2024-05-07T00:00:00"/>
        <d v="2024-12-14T00:00:00"/>
        <d v="2024-07-21T00:00:00"/>
        <d v="2024-02-15T00:00:00"/>
        <d v="2024-05-06T00:00:00"/>
        <d v="2024-08-16T00:00:00"/>
        <d v="2024-05-26T00:00:00"/>
        <d v="2024-04-25T00:00:00"/>
        <d v="2024-09-01T00:00:00"/>
        <d v="2024-02-22T00:00:00"/>
        <d v="2024-01-30T00:00:00"/>
        <d v="2024-12-30T00:00:00"/>
        <d v="2024-08-21T00:00:00"/>
        <d v="2024-01-07T00:00:00"/>
        <d v="2024-07-04T00:00:00"/>
        <d v="2024-07-08T00:00:00"/>
        <d v="2024-08-19T00:00:00"/>
        <d v="2024-05-08T00:00:00"/>
        <d v="2024-01-11T00:00:00"/>
        <d v="2024-02-09T00:00:00"/>
        <d v="2024-01-02T00:00:00"/>
        <d v="2024-06-04T00:00:00"/>
        <d v="2024-04-04T00:00:00"/>
        <d v="2024-03-22T00:00:00"/>
        <d v="2024-01-16T00:00:00"/>
        <d v="2024-09-15T00:00:00"/>
        <d v="2024-11-02T00:00:00"/>
        <d v="2024-05-30T00:00:00"/>
        <d v="2024-10-20T00:00:00"/>
        <d v="2024-08-18T00:00:00"/>
        <d v="2024-02-03T00:00:00"/>
        <d v="2024-10-28T00:00:00"/>
        <d v="2024-10-01T00:00:00"/>
        <d v="2024-06-18T00:00:00"/>
        <d v="2024-04-05T00:00:00"/>
        <d v="2024-09-03T00:00:00"/>
        <d v="2024-10-11T00:00:00"/>
        <d v="2024-01-13T00:00:00"/>
        <d v="2024-12-02T00:00:00"/>
        <d v="2024-09-18T00:00:00"/>
        <d v="2024-07-24T00:00:00"/>
        <d v="2024-04-21T00:00:00"/>
        <d v="2024-08-07T00:00:00"/>
        <d v="2024-07-11T00:00:00"/>
        <d v="2024-10-21T00:00:00"/>
        <d v="2024-04-27T00:00:00"/>
        <d v="2024-04-28T00:00:00"/>
        <d v="2024-09-30T00:00:00"/>
        <d v="2024-01-28T00:00:00"/>
        <d v="2024-08-04T00:00:00"/>
        <d v="2024-07-19T00:00:00"/>
        <d v="2024-02-05T00:00:00"/>
        <d v="2024-12-28T00:00:00"/>
        <d v="2024-12-21T00:00:00"/>
        <d v="2024-10-16T00:00:00"/>
        <d v="2024-05-13T00:00:00"/>
        <d v="2024-03-20T00:00:00"/>
        <d v="2024-10-23T00:00:00"/>
        <d v="2024-12-09T00:00:00"/>
        <d v="2024-07-16T00:00:00"/>
        <d v="2024-03-04T00:00:00"/>
        <d v="2024-11-08T00:00:00"/>
        <d v="2024-08-11T00:00:00"/>
        <d v="2024-02-08T00:00:00"/>
        <d v="2024-01-04T00:00:00"/>
        <d v="2024-03-11T00:00:00"/>
        <d v="2024-11-20T00:00:00"/>
        <d v="2024-12-24T00:00:00"/>
        <d v="2024-09-08T00:00:00"/>
        <d v="2024-10-09T00:00:00"/>
        <d v="2024-01-17T00:00:00"/>
        <d v="2024-09-16T00:00:00"/>
        <d v="2024-09-13T00:00:00"/>
        <d v="2024-06-21T00:00:00"/>
        <d v="2024-05-05T00:00:00"/>
        <d v="2024-01-08T00:00:00"/>
        <d v="2024-10-13T00:00:00"/>
        <d v="2024-11-03T00:00:00"/>
        <d v="2024-11-07T00:00:00"/>
        <d v="2024-08-22T00:00:00"/>
        <d v="2024-12-11T00:00:00"/>
        <d v="2024-02-13T00:00:00"/>
        <d v="2024-06-16T00:00:00"/>
        <d v="2024-10-30T00:00:00"/>
        <d v="2024-07-23T00:00:00"/>
        <d v="2024-03-23T00:00:00"/>
        <d v="2024-11-06T00:00:00"/>
        <d v="2024-11-04T00:00:00"/>
        <d v="2024-12-03T00:00:00"/>
        <d v="2024-05-25T00:00:00"/>
        <d v="2024-01-27T00:00:00"/>
        <d v="2024-10-08T00:00:00"/>
        <d v="2024-08-17T00:00:00"/>
        <d v="2024-03-26T00:00:00"/>
        <d v="2024-08-28T00:00:00"/>
        <d v="2024-01-03T00:00:00"/>
        <d v="2024-05-18T00:00:00"/>
        <d v="2024-07-25T00:00:00"/>
        <d v="2024-12-27T00:00:00"/>
        <d v="2024-12-17T00:00:00"/>
        <d v="2024-02-12T00:00:00"/>
        <d v="2024-03-19T00:00:00"/>
        <d v="2024-05-23T00:00:00"/>
        <d v="2024-04-10T00:00:00"/>
        <d v="2024-06-25T00:00:00"/>
        <d v="2024-07-31T00:00:00"/>
        <d v="2024-07-20T00:00:00"/>
        <d v="2024-03-12T00:00:00"/>
        <d v="2024-02-18T00:00:00"/>
        <d v="2024-12-04T00:00:00"/>
        <d v="2024-05-28T00:00:00"/>
        <d v="2024-10-18T00:00:00"/>
        <d v="2024-05-04T00:00:00"/>
        <d v="2024-10-22T00:00:00"/>
        <d v="2024-12-07T00:00:00"/>
        <d v="2024-06-30T00:00:00"/>
        <d v="2024-05-15T00:00:00"/>
        <d v="2024-07-05T00:00:00"/>
        <d v="2024-09-02T00:00:00"/>
        <d v="2024-06-17T00:00:00"/>
        <d v="2024-01-01T00:00:00"/>
        <d v="2024-05-17T00:00:00"/>
        <d v="2024-06-02T00:00:00"/>
        <d v="2024-12-18T00:00:00"/>
        <d v="2024-03-31T00:00:00"/>
        <d v="2024-05-14T00:00:00"/>
        <d v="2024-11-05T00:00:00"/>
        <d v="2024-05-10T00:00:00"/>
        <d v="2024-08-10T00:00:00"/>
        <d v="2024-06-19T00:00:00"/>
        <d v="2024-04-09T00:00:00"/>
        <d v="2024-04-16T00:00:00"/>
        <d v="2024-06-27T00:00:00"/>
        <d v="2024-09-21T00:00:00"/>
        <d v="2024-07-01T00:00:00"/>
        <d v="2024-03-05T00:00:00"/>
        <d v="2024-08-01T00:00:00"/>
        <d v="2024-08-13T00:00:00"/>
        <d v="2024-06-29T00:00:00"/>
        <d v="2024-09-20T00:00:00"/>
        <d v="2024-01-26T00:00:00"/>
        <d v="2024-10-10T00:00:00"/>
        <d v="2024-05-19T00:00:00"/>
        <d v="2024-07-10T00:00:00"/>
        <d v="2024-08-29T00:00:00"/>
        <d v="2024-02-19T00:00:00"/>
        <d v="2024-11-01T00:00:00"/>
        <d v="2024-12-19T00:00:00"/>
        <d v="2024-10-12T00:00:00"/>
        <d v="2024-11-19T00:00:00"/>
        <d v="2024-06-26T00:00:00"/>
        <d v="2024-12-05T00:00:00"/>
        <d v="2024-06-05T00:00:00"/>
        <d v="2024-10-15T00:00:00"/>
        <d v="2024-08-08T00:00:00"/>
        <d v="2024-03-08T00:00:00"/>
        <d v="2024-09-17T00:00:00"/>
        <d v="2024-11-21T00:00:00"/>
        <d v="2024-08-20T00:00:00"/>
        <d v="2024-12-08T00:00:00"/>
        <d v="2024-05-02T00:00:00"/>
        <d v="2024-09-05T00:00:00"/>
        <d v="2024-02-02T00:00:00"/>
        <d v="2024-09-12T00:00:00"/>
        <d v="2024-01-05T00:00:00"/>
        <d v="2024-08-15T00:00:00"/>
        <d v="2024-09-11T00:00:00"/>
        <d v="2024-09-24T00:00:00"/>
        <d v="2024-11-12T00:00:00"/>
      </sharedItems>
      <fieldGroup par="19"/>
    </cacheField>
    <cacheField name="Region" numFmtId="0">
      <sharedItems count="4">
        <s v="East"/>
        <s v="West"/>
        <s v="North"/>
        <s v="South"/>
      </sharedItems>
    </cacheField>
    <cacheField name="State" numFmtId="0">
      <sharedItems/>
    </cacheField>
    <cacheField name="Salesperson" numFmtId="0">
      <sharedItems count="5">
        <s v="Rahul"/>
        <s v="Neha"/>
        <s v="Karan"/>
        <s v="Amit"/>
        <s v="Priya"/>
      </sharedItems>
    </cacheField>
    <cacheField name="Product" numFmtId="0">
      <sharedItems count="6">
        <s v="Chair"/>
        <s v="Laptop"/>
        <s v="Monitor"/>
        <s v="Printer"/>
        <s v="Mouse"/>
        <s v="Desk"/>
      </sharedItems>
    </cacheField>
    <cacheField name="Category_Fetched" numFmtId="0">
      <sharedItems count="2">
        <s v="Furniture"/>
        <s v="Electronics"/>
      </sharedItems>
    </cacheField>
    <cacheField name="Category"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534" maxValue="49900"/>
    </cacheField>
    <cacheField name="Discount" numFmtId="0">
      <sharedItems containsString="0" containsBlank="1" containsNumber="1" minValue="0" maxValue="0.1"/>
    </cacheField>
    <cacheField name="Discount_Fixed" numFmtId="0">
      <sharedItems containsSemiMixedTypes="0" containsString="0" containsNumber="1" minValue="0" maxValue="0.1"/>
    </cacheField>
    <cacheField name="Cost Price" numFmtId="0">
      <sharedItems containsString="0" containsBlank="1" containsNumber="1" containsInteger="1" minValue="220" maxValue="29955"/>
    </cacheField>
    <cacheField name="Total Sales" numFmtId="0">
      <sharedItems containsSemiMixedTypes="0" containsString="0" containsNumber="1" containsInteger="1" minValue="534" maxValue="484540"/>
    </cacheField>
    <cacheField name="Net Sales" numFmtId="0">
      <sharedItems containsSemiMixedTypes="0" containsString="0" containsNumber="1" minValue="534" maxValue="456370.5"/>
    </cacheField>
    <cacheField name="Total Cost" numFmtId="0">
      <sharedItems containsSemiMixedTypes="0" containsString="0" containsNumber="1" containsInteger="1" minValue="2888" maxValue="280460"/>
    </cacheField>
    <cacheField name="Profit" numFmtId="0">
      <sharedItems containsSemiMixedTypes="0" containsString="0" containsNumber="1" minValue="-238223" maxValue="427490.5"/>
    </cacheField>
    <cacheField name="Profit Margin" numFmtId="10">
      <sharedItems containsSemiMixedTypes="0" containsString="0" containsNumber="1" minValue="-29.887665198237887" maxValue="0.94212424849699394"/>
    </cacheField>
    <cacheField name="Months (Order Date)" numFmtId="0" databaseField="0">
      <fieldGroup base="1">
        <rangePr autoStart="0" autoEnd="0" groupBy="months" startDate="2024-01-01T00:00:00" endDate="2025-01-01T00:00:00"/>
        <groupItems count="14">
          <s v="&lt;01-01-2024"/>
          <s v="Jan"/>
          <s v="Feb"/>
          <s v="Mar"/>
          <s v="Apr"/>
          <s v="May"/>
          <s v="Jun"/>
          <s v="Jul"/>
          <s v="Aug"/>
          <s v="Sep"/>
          <s v="Oct"/>
          <s v="Nov"/>
          <s v="Dec"/>
          <s v="&gt;01-01-2025"/>
        </groupItems>
      </fieldGroup>
    </cacheField>
    <cacheField name="Years (Order Date)" numFmtId="0" databaseField="0">
      <fieldGroup base="1">
        <rangePr autoStart="0" autoEnd="0" groupBy="years" startDate="2024-01-01T00:00:00" endDate="2025-01-01T00:00:00"/>
        <groupItems count="4">
          <s v="&lt;01-01-2024"/>
          <s v="2024"/>
          <s v="2025"/>
          <s v="&gt;01-01-2025"/>
        </groupItems>
      </fieldGroup>
    </cacheField>
  </cacheFields>
  <extLst>
    <ext xmlns:x14="http://schemas.microsoft.com/office/spreadsheetml/2009/9/main" uri="{725AE2AE-9491-48be-B2B4-4EB974FC3084}">
      <x14:pivotCacheDefinition pivotCacheId="786433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x v="0"/>
    <x v="0"/>
    <s v="MH"/>
    <x v="0"/>
    <x v="0"/>
    <x v="0"/>
    <s v="Furniture"/>
    <n v="8"/>
    <n v="25761"/>
    <n v="0.05"/>
    <n v="0.05"/>
    <n v="29955"/>
    <n v="206088"/>
    <n v="195783.6"/>
    <n v="106168"/>
    <n v="89615.6"/>
    <n v="0.45772781785604105"/>
  </r>
  <r>
    <s v="ORD0002"/>
    <x v="1"/>
    <x v="1"/>
    <s v="RJ"/>
    <x v="1"/>
    <x v="1"/>
    <x v="1"/>
    <s v="Electronics"/>
    <n v="3"/>
    <n v="21400"/>
    <m/>
    <n v="0"/>
    <n v="6742"/>
    <n v="64200"/>
    <n v="64200"/>
    <n v="57795"/>
    <n v="6405"/>
    <n v="9.9766355140186919E-2"/>
  </r>
  <r>
    <s v="ORD0003"/>
    <x v="2"/>
    <x v="0"/>
    <s v="GJ"/>
    <x v="2"/>
    <x v="1"/>
    <x v="1"/>
    <s v="Electronics"/>
    <n v="6"/>
    <n v="40298"/>
    <m/>
    <n v="0"/>
    <m/>
    <n v="241788"/>
    <n v="241788"/>
    <n v="115590"/>
    <n v="126198"/>
    <n v="0.52193657253461712"/>
  </r>
  <r>
    <s v="ORD0004"/>
    <x v="3"/>
    <x v="2"/>
    <s v="MH"/>
    <x v="0"/>
    <x v="2"/>
    <x v="1"/>
    <s v="Electronics"/>
    <n v="9"/>
    <n v="1098"/>
    <m/>
    <n v="0"/>
    <n v="7334"/>
    <n v="9882"/>
    <n v="9882"/>
    <n v="25992"/>
    <n v="-16110"/>
    <n v="-1.6302367941712204"/>
  </r>
  <r>
    <s v="ORD0005"/>
    <x v="4"/>
    <x v="1"/>
    <s v="RJ"/>
    <x v="2"/>
    <x v="0"/>
    <x v="0"/>
    <s v="Furniture"/>
    <n v="4"/>
    <n v="15968"/>
    <m/>
    <n v="0"/>
    <m/>
    <n v="63872"/>
    <n v="63872"/>
    <n v="53084"/>
    <n v="10788"/>
    <n v="0.1689003006012024"/>
  </r>
  <r>
    <s v="ORD0006"/>
    <x v="5"/>
    <x v="1"/>
    <s v="RJ"/>
    <x v="3"/>
    <x v="3"/>
    <x v="1"/>
    <s v="Electronics"/>
    <n v="10"/>
    <n v="36961"/>
    <n v="0.05"/>
    <n v="0.05"/>
    <n v="16608"/>
    <n v="369610"/>
    <n v="351129.5"/>
    <n v="73840"/>
    <n v="277289.5"/>
    <n v="0.78970721628345097"/>
  </r>
  <r>
    <s v="ORD0007"/>
    <x v="6"/>
    <x v="2"/>
    <s v="MH"/>
    <x v="3"/>
    <x v="2"/>
    <x v="1"/>
    <s v="Electronics"/>
    <n v="3"/>
    <n v="1683"/>
    <m/>
    <n v="0"/>
    <n v="25507"/>
    <n v="5049"/>
    <n v="5049"/>
    <n v="8664"/>
    <n v="-3615"/>
    <n v="-0.71598336304218657"/>
  </r>
  <r>
    <s v="ORD0008"/>
    <x v="7"/>
    <x v="3"/>
    <s v="KA"/>
    <x v="3"/>
    <x v="3"/>
    <x v="1"/>
    <s v="Electronics"/>
    <n v="2"/>
    <n v="6047"/>
    <n v="0.05"/>
    <n v="0.05"/>
    <m/>
    <n v="12094"/>
    <n v="11489.3"/>
    <n v="14768"/>
    <n v="-3278.7000000000007"/>
    <n v="-0.28536986587520569"/>
  </r>
  <r>
    <s v="ORD0009"/>
    <x v="8"/>
    <x v="2"/>
    <s v="MH"/>
    <x v="3"/>
    <x v="4"/>
    <x v="1"/>
    <s v="Electronics"/>
    <n v="2"/>
    <n v="3101"/>
    <n v="0.1"/>
    <n v="0.1"/>
    <n v="23538"/>
    <n v="6202"/>
    <n v="5581.8"/>
    <n v="56092"/>
    <n v="-50510.2"/>
    <n v="-9.0490881077788519"/>
  </r>
  <r>
    <s v="ORD0010"/>
    <x v="9"/>
    <x v="1"/>
    <s v="MH"/>
    <x v="1"/>
    <x v="3"/>
    <x v="1"/>
    <s v="Electronics"/>
    <n v="8"/>
    <n v="41602"/>
    <n v="0"/>
    <n v="0"/>
    <n v="29885"/>
    <n v="332816"/>
    <n v="332816"/>
    <n v="59072"/>
    <n v="273744"/>
    <n v="0.82250853324359408"/>
  </r>
  <r>
    <s v="ORD0011"/>
    <x v="10"/>
    <x v="1"/>
    <s v="GJ"/>
    <x v="2"/>
    <x v="1"/>
    <x v="1"/>
    <s v="Electronics"/>
    <n v="2"/>
    <n v="17931"/>
    <n v="0.1"/>
    <n v="0.1"/>
    <m/>
    <n v="35862"/>
    <n v="32275.8"/>
    <n v="38530"/>
    <n v="-6254.2000000000007"/>
    <n v="-0.19377366323995071"/>
  </r>
  <r>
    <s v="ORD0012"/>
    <x v="11"/>
    <x v="1"/>
    <s v="TN"/>
    <x v="0"/>
    <x v="3"/>
    <x v="1"/>
    <s v="Electronics"/>
    <n v="3"/>
    <n v="571"/>
    <n v="0.1"/>
    <n v="0.1"/>
    <m/>
    <n v="1713"/>
    <n v="1541.7"/>
    <n v="22152"/>
    <n v="-20610.3"/>
    <n v="-13.368554193422844"/>
  </r>
  <r>
    <s v="ORD0013"/>
    <x v="12"/>
    <x v="1"/>
    <s v="MH"/>
    <x v="2"/>
    <x v="0"/>
    <x v="0"/>
    <s v="Furniture"/>
    <n v="9"/>
    <n v="28406"/>
    <n v="0.1"/>
    <n v="0.1"/>
    <m/>
    <n v="255654"/>
    <n v="230088.6"/>
    <n v="119439"/>
    <n v="110649.60000000001"/>
    <n v="0.48089996636078453"/>
  </r>
  <r>
    <s v="ORD0014"/>
    <x v="13"/>
    <x v="2"/>
    <s v="GJ"/>
    <x v="1"/>
    <x v="1"/>
    <x v="1"/>
    <s v="Electronics"/>
    <n v="6"/>
    <n v="39809"/>
    <m/>
    <n v="0"/>
    <n v="7704"/>
    <n v="238854"/>
    <n v="238854"/>
    <n v="115590"/>
    <n v="123264"/>
    <n v="0.51606420658645025"/>
  </r>
  <r>
    <s v="ORD0015"/>
    <x v="14"/>
    <x v="0"/>
    <s v="GJ"/>
    <x v="2"/>
    <x v="0"/>
    <x v="0"/>
    <s v="Furniture"/>
    <n v="3"/>
    <n v="17089"/>
    <n v="0.05"/>
    <n v="0.05"/>
    <m/>
    <n v="51267"/>
    <n v="48703.65"/>
    <n v="39813"/>
    <n v="8890.6500000000015"/>
    <n v="0.18254586668555645"/>
  </r>
  <r>
    <s v="ORD0016"/>
    <x v="15"/>
    <x v="0"/>
    <s v="RJ"/>
    <x v="4"/>
    <x v="2"/>
    <x v="1"/>
    <s v="Electronics"/>
    <n v="9"/>
    <n v="24048"/>
    <n v="0"/>
    <n v="0"/>
    <m/>
    <n v="216432"/>
    <n v="216432"/>
    <n v="25992"/>
    <n v="190440"/>
    <n v="0.87990685296074522"/>
  </r>
  <r>
    <s v="ORD0017"/>
    <x v="16"/>
    <x v="2"/>
    <s v="MH"/>
    <x v="1"/>
    <x v="5"/>
    <x v="0"/>
    <s v="Furniture"/>
    <n v="6"/>
    <n v="6121"/>
    <n v="0"/>
    <n v="0"/>
    <n v="8273"/>
    <n v="36726"/>
    <n v="36726"/>
    <n v="78240"/>
    <n v="-41514"/>
    <n v="-1.1303708544355497"/>
  </r>
  <r>
    <s v="ORD0018"/>
    <x v="17"/>
    <x v="2"/>
    <s v="DL"/>
    <x v="1"/>
    <x v="1"/>
    <x v="1"/>
    <s v="Electronics"/>
    <n v="8"/>
    <n v="29203"/>
    <n v="0.05"/>
    <n v="0.05"/>
    <m/>
    <n v="233624"/>
    <n v="221942.8"/>
    <n v="154120"/>
    <n v="67822.799999999988"/>
    <n v="0.30558684489877569"/>
  </r>
  <r>
    <s v="ORD0019"/>
    <x v="18"/>
    <x v="0"/>
    <s v="GJ"/>
    <x v="1"/>
    <x v="3"/>
    <x v="1"/>
    <s v="Electronics"/>
    <n v="6"/>
    <n v="25953"/>
    <m/>
    <n v="0"/>
    <m/>
    <n v="155718"/>
    <n v="155718"/>
    <n v="44304"/>
    <n v="111414"/>
    <n v="0.71548568566254378"/>
  </r>
  <r>
    <s v="ORD0020"/>
    <x v="19"/>
    <x v="2"/>
    <s v="GJ"/>
    <x v="2"/>
    <x v="0"/>
    <x v="0"/>
    <s v="Furniture"/>
    <n v="9"/>
    <n v="38450"/>
    <n v="0"/>
    <n v="0"/>
    <m/>
    <n v="346050"/>
    <n v="346050"/>
    <n v="119439"/>
    <n v="226611"/>
    <n v="0.65485045513654094"/>
  </r>
  <r>
    <s v="ORD0021"/>
    <x v="20"/>
    <x v="1"/>
    <s v="GJ"/>
    <x v="1"/>
    <x v="3"/>
    <x v="1"/>
    <s v="Electronics"/>
    <n v="10"/>
    <n v="14948"/>
    <n v="0.05"/>
    <n v="0.05"/>
    <n v="29773"/>
    <n v="149480"/>
    <n v="142006"/>
    <n v="73840"/>
    <n v="68166"/>
    <n v="0.48002197090263793"/>
  </r>
  <r>
    <s v="ORD0022"/>
    <x v="21"/>
    <x v="1"/>
    <s v="DL"/>
    <x v="0"/>
    <x v="5"/>
    <x v="0"/>
    <s v="Furniture"/>
    <n v="10"/>
    <n v="11429"/>
    <n v="0.05"/>
    <n v="0.05"/>
    <m/>
    <n v="114290"/>
    <n v="108575.5"/>
    <n v="130400"/>
    <n v="-21824.5"/>
    <n v="-0.20100759379418009"/>
  </r>
  <r>
    <s v="ORD0023"/>
    <x v="22"/>
    <x v="0"/>
    <s v="DL"/>
    <x v="4"/>
    <x v="4"/>
    <x v="1"/>
    <s v="Electronics"/>
    <n v="5"/>
    <n v="11682"/>
    <n v="0.1"/>
    <n v="0.1"/>
    <m/>
    <n v="58410"/>
    <n v="52569"/>
    <n v="140230"/>
    <n v="-87661"/>
    <n v="-1.6675417070897296"/>
  </r>
  <r>
    <s v="ORD0024"/>
    <x v="23"/>
    <x v="1"/>
    <s v="MH"/>
    <x v="2"/>
    <x v="3"/>
    <x v="1"/>
    <s v="Electronics"/>
    <n v="1"/>
    <n v="43628"/>
    <n v="0.05"/>
    <n v="0.05"/>
    <m/>
    <n v="43628"/>
    <n v="41446.6"/>
    <n v="7384"/>
    <n v="34062.6"/>
    <n v="0.8218430462329841"/>
  </r>
  <r>
    <s v="ORD0025"/>
    <x v="24"/>
    <x v="1"/>
    <s v="TN"/>
    <x v="1"/>
    <x v="2"/>
    <x v="1"/>
    <s v="Electronics"/>
    <n v="2"/>
    <n v="49900"/>
    <n v="0"/>
    <n v="0"/>
    <m/>
    <n v="99800"/>
    <n v="99800"/>
    <n v="5776"/>
    <n v="94024"/>
    <n v="0.94212424849699394"/>
  </r>
  <r>
    <s v="ORD0026"/>
    <x v="6"/>
    <x v="0"/>
    <s v="GJ"/>
    <x v="3"/>
    <x v="5"/>
    <x v="0"/>
    <s v="Furniture"/>
    <n v="9"/>
    <n v="25307"/>
    <m/>
    <n v="0"/>
    <n v="7356"/>
    <n v="227763"/>
    <n v="227763"/>
    <n v="117360"/>
    <n v="110403"/>
    <n v="0.48472754573833327"/>
  </r>
  <r>
    <s v="ORD0027"/>
    <x v="25"/>
    <x v="0"/>
    <s v="RJ"/>
    <x v="0"/>
    <x v="2"/>
    <x v="1"/>
    <s v="Electronics"/>
    <n v="9"/>
    <n v="47015"/>
    <n v="0"/>
    <n v="0"/>
    <n v="27705"/>
    <n v="423135"/>
    <n v="423135"/>
    <n v="25992"/>
    <n v="397143"/>
    <n v="0.93857279591619691"/>
  </r>
  <r>
    <s v="ORD0028"/>
    <x v="26"/>
    <x v="0"/>
    <s v="RJ"/>
    <x v="1"/>
    <x v="2"/>
    <x v="1"/>
    <s v="Electronics"/>
    <n v="4"/>
    <n v="34893"/>
    <n v="0.1"/>
    <n v="0.1"/>
    <m/>
    <n v="139572"/>
    <n v="125614.8"/>
    <n v="11552"/>
    <n v="114062.8"/>
    <n v="0.90803631419227671"/>
  </r>
  <r>
    <s v="ORD0029"/>
    <x v="27"/>
    <x v="3"/>
    <s v="DL"/>
    <x v="3"/>
    <x v="0"/>
    <x v="0"/>
    <s v="Furniture"/>
    <n v="9"/>
    <n v="26283"/>
    <m/>
    <n v="0"/>
    <m/>
    <n v="236547"/>
    <n v="236547"/>
    <n v="119439"/>
    <n v="117108"/>
    <n v="0.49507286078453755"/>
  </r>
  <r>
    <s v="ORD0030"/>
    <x v="28"/>
    <x v="3"/>
    <s v="TN"/>
    <x v="3"/>
    <x v="1"/>
    <x v="1"/>
    <s v="Electronics"/>
    <n v="2"/>
    <n v="26513"/>
    <n v="0.1"/>
    <n v="0.1"/>
    <m/>
    <n v="53026"/>
    <n v="47723.4"/>
    <n v="38530"/>
    <n v="9193.4000000000015"/>
    <n v="0.19263925034679008"/>
  </r>
  <r>
    <s v="ORD0031"/>
    <x v="29"/>
    <x v="2"/>
    <s v="GJ"/>
    <x v="3"/>
    <x v="1"/>
    <x v="1"/>
    <s v="Electronics"/>
    <n v="9"/>
    <n v="49552"/>
    <n v="0.1"/>
    <n v="0.1"/>
    <n v="22087"/>
    <n v="445968"/>
    <n v="401371.2"/>
    <n v="173385"/>
    <n v="227986.2"/>
    <n v="0.56801833315394823"/>
  </r>
  <r>
    <s v="ORD0032"/>
    <x v="22"/>
    <x v="2"/>
    <s v="DL"/>
    <x v="2"/>
    <x v="2"/>
    <x v="1"/>
    <s v="Electronics"/>
    <n v="6"/>
    <n v="26441"/>
    <m/>
    <n v="0"/>
    <n v="21986"/>
    <n v="158646"/>
    <n v="158646"/>
    <n v="17328"/>
    <n v="141318"/>
    <n v="0.89077568927045114"/>
  </r>
  <r>
    <s v="ORD0033"/>
    <x v="30"/>
    <x v="3"/>
    <s v="RJ"/>
    <x v="0"/>
    <x v="3"/>
    <x v="1"/>
    <s v="Electronics"/>
    <n v="9"/>
    <n v="30588"/>
    <n v="0.1"/>
    <n v="0.1"/>
    <n v="22011"/>
    <n v="275292"/>
    <n v="247762.8"/>
    <n v="66456"/>
    <n v="181306.8"/>
    <n v="0.73177571451404322"/>
  </r>
  <r>
    <s v="ORD0034"/>
    <x v="31"/>
    <x v="1"/>
    <s v="TN"/>
    <x v="0"/>
    <x v="2"/>
    <x v="1"/>
    <s v="Electronics"/>
    <n v="9"/>
    <n v="27695"/>
    <m/>
    <n v="0"/>
    <m/>
    <n v="249255"/>
    <n v="249255"/>
    <n v="25992"/>
    <n v="223263"/>
    <n v="0.89572124932298247"/>
  </r>
  <r>
    <s v="ORD0035"/>
    <x v="32"/>
    <x v="1"/>
    <s v="MH"/>
    <x v="2"/>
    <x v="3"/>
    <x v="1"/>
    <s v="Electronics"/>
    <n v="2"/>
    <n v="10738"/>
    <n v="0"/>
    <n v="0"/>
    <n v="5576"/>
    <n v="21476"/>
    <n v="21476"/>
    <n v="14768"/>
    <n v="6708"/>
    <n v="0.31234866828087166"/>
  </r>
  <r>
    <s v="ORD0036"/>
    <x v="31"/>
    <x v="1"/>
    <s v="MH"/>
    <x v="0"/>
    <x v="2"/>
    <x v="1"/>
    <s v="Electronics"/>
    <n v="6"/>
    <n v="7619"/>
    <m/>
    <n v="0"/>
    <n v="13277"/>
    <n v="45714"/>
    <n v="45714"/>
    <n v="17328"/>
    <n v="28386"/>
    <n v="0.62094763092269323"/>
  </r>
  <r>
    <s v="ORD0037"/>
    <x v="33"/>
    <x v="1"/>
    <s v="GJ"/>
    <x v="1"/>
    <x v="1"/>
    <x v="1"/>
    <s v="Electronics"/>
    <n v="8"/>
    <n v="37570"/>
    <m/>
    <n v="0"/>
    <m/>
    <n v="300560"/>
    <n v="300560"/>
    <n v="154120"/>
    <n v="146440"/>
    <n v="0.48722384881554431"/>
  </r>
  <r>
    <s v="ORD0038"/>
    <x v="34"/>
    <x v="0"/>
    <s v="GJ"/>
    <x v="1"/>
    <x v="3"/>
    <x v="1"/>
    <s v="Electronics"/>
    <n v="1"/>
    <n v="12074"/>
    <n v="0.1"/>
    <n v="0.1"/>
    <m/>
    <n v="12074"/>
    <n v="10866.6"/>
    <n v="7384"/>
    <n v="3482.6000000000004"/>
    <n v="0.32048662875232364"/>
  </r>
  <r>
    <s v="ORD0039"/>
    <x v="35"/>
    <x v="3"/>
    <s v="TN"/>
    <x v="4"/>
    <x v="3"/>
    <x v="1"/>
    <s v="Electronics"/>
    <n v="1"/>
    <n v="44737"/>
    <n v="0.1"/>
    <n v="0.1"/>
    <n v="24975"/>
    <n v="44737"/>
    <n v="40263.300000000003"/>
    <n v="7384"/>
    <n v="32879.300000000003"/>
    <n v="0.81660718321647752"/>
  </r>
  <r>
    <s v="ORD0040"/>
    <x v="36"/>
    <x v="2"/>
    <s v="DL"/>
    <x v="2"/>
    <x v="4"/>
    <x v="1"/>
    <s v="Electronics"/>
    <n v="8"/>
    <n v="19251"/>
    <n v="0.05"/>
    <n v="0.05"/>
    <n v="26894"/>
    <n v="154008"/>
    <n v="146307.6"/>
    <n v="224368"/>
    <n v="-78060.399999999994"/>
    <n v="-0.53353619360853433"/>
  </r>
  <r>
    <s v="ORD0041"/>
    <x v="37"/>
    <x v="3"/>
    <s v="RJ"/>
    <x v="3"/>
    <x v="5"/>
    <x v="0"/>
    <s v="Furniture"/>
    <n v="3"/>
    <n v="48694"/>
    <n v="0"/>
    <n v="0"/>
    <n v="6974"/>
    <n v="146082"/>
    <n v="146082"/>
    <n v="39120"/>
    <n v="106962"/>
    <n v="0.73220519981927956"/>
  </r>
  <r>
    <s v="ORD0042"/>
    <x v="38"/>
    <x v="2"/>
    <s v="MH"/>
    <x v="2"/>
    <x v="0"/>
    <x v="0"/>
    <s v="Furniture"/>
    <n v="1"/>
    <n v="35665"/>
    <n v="0.1"/>
    <n v="0.1"/>
    <m/>
    <n v="35665"/>
    <n v="32098.5"/>
    <n v="13271"/>
    <n v="18827.5"/>
    <n v="0.58655388881100368"/>
  </r>
  <r>
    <s v="ORD0043"/>
    <x v="39"/>
    <x v="3"/>
    <s v="MH"/>
    <x v="0"/>
    <x v="0"/>
    <x v="0"/>
    <s v="Furniture"/>
    <n v="1"/>
    <n v="18940"/>
    <n v="0"/>
    <n v="0"/>
    <m/>
    <n v="18940"/>
    <n v="18940"/>
    <n v="13271"/>
    <n v="5669"/>
    <n v="0.29931362196409717"/>
  </r>
  <r>
    <s v="ORD0044"/>
    <x v="24"/>
    <x v="1"/>
    <s v="DL"/>
    <x v="3"/>
    <x v="3"/>
    <x v="1"/>
    <s v="Electronics"/>
    <n v="3"/>
    <n v="672"/>
    <n v="0.05"/>
    <n v="0.05"/>
    <n v="16590"/>
    <n v="2016"/>
    <n v="1915.2"/>
    <n v="22152"/>
    <n v="-20236.8"/>
    <n v="-10.56641604010025"/>
  </r>
  <r>
    <s v="ORD0045"/>
    <x v="40"/>
    <x v="2"/>
    <s v="TN"/>
    <x v="3"/>
    <x v="0"/>
    <x v="0"/>
    <s v="Furniture"/>
    <n v="1"/>
    <n v="18649"/>
    <n v="0.1"/>
    <n v="0.1"/>
    <n v="9880"/>
    <n v="18649"/>
    <n v="16784.099999999999"/>
    <n v="13271"/>
    <n v="3513.0999999999985"/>
    <n v="0.20931119333178419"/>
  </r>
  <r>
    <s v="ORD0046"/>
    <x v="41"/>
    <x v="1"/>
    <s v="KA"/>
    <x v="0"/>
    <x v="0"/>
    <x v="0"/>
    <s v="Furniture"/>
    <n v="4"/>
    <n v="12994"/>
    <m/>
    <n v="0"/>
    <n v="969"/>
    <n v="51976"/>
    <n v="51976"/>
    <n v="53084"/>
    <n v="-1108"/>
    <n v="-2.1317531168231492E-2"/>
  </r>
  <r>
    <s v="ORD0047"/>
    <x v="42"/>
    <x v="3"/>
    <s v="KA"/>
    <x v="4"/>
    <x v="0"/>
    <x v="0"/>
    <s v="Furniture"/>
    <n v="8"/>
    <n v="9668"/>
    <n v="0.1"/>
    <n v="0.1"/>
    <m/>
    <n v="77344"/>
    <n v="69609.600000000006"/>
    <n v="106168"/>
    <n v="-36558.399999999994"/>
    <n v="-0.52519192755022281"/>
  </r>
  <r>
    <s v="ORD0048"/>
    <x v="43"/>
    <x v="2"/>
    <s v="RJ"/>
    <x v="4"/>
    <x v="2"/>
    <x v="1"/>
    <s v="Electronics"/>
    <n v="6"/>
    <n v="38361"/>
    <n v="0"/>
    <n v="0"/>
    <m/>
    <n v="230166"/>
    <n v="230166"/>
    <n v="17328"/>
    <n v="212838"/>
    <n v="0.92471520554730069"/>
  </r>
  <r>
    <s v="ORD0049"/>
    <x v="44"/>
    <x v="0"/>
    <s v="DL"/>
    <x v="0"/>
    <x v="5"/>
    <x v="0"/>
    <s v="Furniture"/>
    <n v="4"/>
    <n v="2202"/>
    <n v="0.05"/>
    <n v="0.05"/>
    <n v="25372"/>
    <n v="8808"/>
    <n v="8367.6"/>
    <n v="52160"/>
    <n v="-43792.4"/>
    <n v="-5.2335675701515365"/>
  </r>
  <r>
    <s v="ORD0050"/>
    <x v="45"/>
    <x v="1"/>
    <s v="TN"/>
    <x v="1"/>
    <x v="4"/>
    <x v="1"/>
    <s v="Electronics"/>
    <n v="7"/>
    <n v="43713"/>
    <n v="0.1"/>
    <n v="0.1"/>
    <m/>
    <n v="305991"/>
    <n v="275391.90000000002"/>
    <n v="196322"/>
    <n v="79069.900000000023"/>
    <n v="0.28711774020949787"/>
  </r>
  <r>
    <s v="ORD0051"/>
    <x v="46"/>
    <x v="1"/>
    <s v="DL"/>
    <x v="4"/>
    <x v="1"/>
    <x v="1"/>
    <s v="Electronics"/>
    <n v="8"/>
    <n v="1172"/>
    <m/>
    <n v="0"/>
    <m/>
    <n v="9376"/>
    <n v="9376"/>
    <n v="154120"/>
    <n v="-144744"/>
    <n v="-15.437713310580206"/>
  </r>
  <r>
    <s v="ORD0052"/>
    <x v="47"/>
    <x v="0"/>
    <s v="DL"/>
    <x v="0"/>
    <x v="2"/>
    <x v="1"/>
    <s v="Electronics"/>
    <n v="2"/>
    <n v="28932"/>
    <m/>
    <n v="0"/>
    <n v="19839"/>
    <n v="57864"/>
    <n v="57864"/>
    <n v="5776"/>
    <n v="52088"/>
    <n v="0.90017973178487487"/>
  </r>
  <r>
    <s v="ORD0053"/>
    <x v="48"/>
    <x v="3"/>
    <s v="GJ"/>
    <x v="4"/>
    <x v="3"/>
    <x v="1"/>
    <s v="Electronics"/>
    <n v="9"/>
    <n v="12134"/>
    <n v="0"/>
    <n v="0"/>
    <m/>
    <n v="109206"/>
    <n v="109206"/>
    <n v="66456"/>
    <n v="42750"/>
    <n v="0.391462007582001"/>
  </r>
  <r>
    <s v="ORD0054"/>
    <x v="49"/>
    <x v="3"/>
    <s v="RJ"/>
    <x v="2"/>
    <x v="0"/>
    <x v="0"/>
    <s v="Furniture"/>
    <n v="6"/>
    <n v="28535"/>
    <n v="0.05"/>
    <n v="0.05"/>
    <m/>
    <n v="171210"/>
    <n v="162649.5"/>
    <n v="79626"/>
    <n v="83023.5"/>
    <n v="0.51044423745538725"/>
  </r>
  <r>
    <s v="ORD0055"/>
    <x v="50"/>
    <x v="0"/>
    <s v="KA"/>
    <x v="1"/>
    <x v="3"/>
    <x v="1"/>
    <s v="Electronics"/>
    <n v="10"/>
    <n v="18292"/>
    <m/>
    <n v="0"/>
    <m/>
    <n v="182920"/>
    <n v="182920"/>
    <n v="73840"/>
    <n v="109080"/>
    <n v="0.59632626284714629"/>
  </r>
  <r>
    <s v="ORD0056"/>
    <x v="51"/>
    <x v="0"/>
    <s v="GJ"/>
    <x v="3"/>
    <x v="2"/>
    <x v="1"/>
    <s v="Electronics"/>
    <n v="1"/>
    <n v="21732"/>
    <n v="0.1"/>
    <n v="0.1"/>
    <n v="3127"/>
    <n v="21732"/>
    <n v="19558.8"/>
    <n v="2888"/>
    <n v="16670.8"/>
    <n v="0.85234267950999043"/>
  </r>
  <r>
    <s v="ORD0057"/>
    <x v="52"/>
    <x v="2"/>
    <s v="TN"/>
    <x v="4"/>
    <x v="3"/>
    <x v="1"/>
    <s v="Electronics"/>
    <n v="9"/>
    <n v="33284"/>
    <n v="0.05"/>
    <n v="0.05"/>
    <m/>
    <n v="299556"/>
    <n v="284578.2"/>
    <n v="66456"/>
    <n v="218122.2"/>
    <n v="0.76647543627726933"/>
  </r>
  <r>
    <s v="ORD0058"/>
    <x v="53"/>
    <x v="2"/>
    <s v="DL"/>
    <x v="1"/>
    <x v="1"/>
    <x v="1"/>
    <s v="Electronics"/>
    <n v="7"/>
    <n v="10389"/>
    <m/>
    <n v="0"/>
    <n v="22159"/>
    <n v="72723"/>
    <n v="72723"/>
    <n v="134855"/>
    <n v="-62132"/>
    <n v="-0.85436519395514487"/>
  </r>
  <r>
    <s v="ORD0059"/>
    <x v="54"/>
    <x v="0"/>
    <s v="RJ"/>
    <x v="3"/>
    <x v="0"/>
    <x v="0"/>
    <s v="Furniture"/>
    <n v="9"/>
    <n v="5625"/>
    <m/>
    <n v="0"/>
    <n v="9293"/>
    <n v="50625"/>
    <n v="50625"/>
    <n v="119439"/>
    <n v="-68814"/>
    <n v="-1.359288888888889"/>
  </r>
  <r>
    <s v="ORD0060"/>
    <x v="55"/>
    <x v="3"/>
    <s v="DL"/>
    <x v="0"/>
    <x v="4"/>
    <x v="1"/>
    <s v="Electronics"/>
    <n v="7"/>
    <n v="40540"/>
    <n v="0"/>
    <n v="0"/>
    <m/>
    <n v="283780"/>
    <n v="283780"/>
    <n v="196322"/>
    <n v="87458"/>
    <n v="0.30818944252590036"/>
  </r>
  <r>
    <s v="ORD0061"/>
    <x v="56"/>
    <x v="1"/>
    <s v="RJ"/>
    <x v="3"/>
    <x v="5"/>
    <x v="0"/>
    <s v="Furniture"/>
    <n v="2"/>
    <n v="1279"/>
    <n v="0.05"/>
    <n v="0.05"/>
    <n v="7957"/>
    <n v="2558"/>
    <n v="2430.1"/>
    <n v="26080"/>
    <n v="-23649.9"/>
    <n v="-9.7320686391506523"/>
  </r>
  <r>
    <s v="ORD0062"/>
    <x v="57"/>
    <x v="2"/>
    <s v="RJ"/>
    <x v="3"/>
    <x v="4"/>
    <x v="1"/>
    <s v="Electronics"/>
    <n v="7"/>
    <n v="16631"/>
    <n v="0.1"/>
    <n v="0.1"/>
    <n v="4214"/>
    <n v="116417"/>
    <n v="104775.3"/>
    <n v="196322"/>
    <n v="-91546.7"/>
    <n v="-0.87374314366076733"/>
  </r>
  <r>
    <s v="ORD0063"/>
    <x v="58"/>
    <x v="2"/>
    <s v="RJ"/>
    <x v="0"/>
    <x v="0"/>
    <x v="0"/>
    <s v="Furniture"/>
    <n v="7"/>
    <n v="32756"/>
    <n v="0"/>
    <n v="0"/>
    <n v="16465"/>
    <n v="229292"/>
    <n v="229292"/>
    <n v="92897"/>
    <n v="136395"/>
    <n v="0.59485285138600563"/>
  </r>
  <r>
    <s v="ORD0064"/>
    <x v="59"/>
    <x v="2"/>
    <s v="MH"/>
    <x v="2"/>
    <x v="3"/>
    <x v="1"/>
    <s v="Electronics"/>
    <n v="7"/>
    <n v="22550"/>
    <n v="0.1"/>
    <n v="0.1"/>
    <m/>
    <n v="157850"/>
    <n v="142065"/>
    <n v="51688"/>
    <n v="90377"/>
    <n v="0.63616654348361668"/>
  </r>
  <r>
    <s v="ORD0065"/>
    <x v="60"/>
    <x v="2"/>
    <s v="RJ"/>
    <x v="3"/>
    <x v="5"/>
    <x v="0"/>
    <s v="Furniture"/>
    <n v="8"/>
    <n v="22339"/>
    <n v="0"/>
    <n v="0"/>
    <n v="2121"/>
    <n v="178712"/>
    <n v="178712"/>
    <n v="104320"/>
    <n v="74392"/>
    <n v="0.41626751421281166"/>
  </r>
  <r>
    <s v="ORD0066"/>
    <x v="61"/>
    <x v="1"/>
    <s v="KA"/>
    <x v="3"/>
    <x v="1"/>
    <x v="1"/>
    <s v="Electronics"/>
    <n v="2"/>
    <n v="46159"/>
    <n v="0.05"/>
    <n v="0.05"/>
    <m/>
    <n v="92318"/>
    <n v="87702.1"/>
    <n v="38530"/>
    <n v="49172.100000000006"/>
    <n v="0.56067186532591584"/>
  </r>
  <r>
    <s v="ORD0067"/>
    <x v="62"/>
    <x v="2"/>
    <s v="DL"/>
    <x v="2"/>
    <x v="5"/>
    <x v="0"/>
    <s v="Furniture"/>
    <n v="6"/>
    <n v="22125"/>
    <n v="0"/>
    <n v="0"/>
    <n v="29712"/>
    <n v="132750"/>
    <n v="132750"/>
    <n v="78240"/>
    <n v="54510"/>
    <n v="0.41062146892655366"/>
  </r>
  <r>
    <s v="ORD0068"/>
    <x v="63"/>
    <x v="3"/>
    <s v="GJ"/>
    <x v="2"/>
    <x v="4"/>
    <x v="1"/>
    <s v="Electronics"/>
    <n v="6"/>
    <n v="41323"/>
    <m/>
    <n v="0"/>
    <n v="17325"/>
    <n v="247938"/>
    <n v="247938"/>
    <n v="168276"/>
    <n v="79662"/>
    <n v="0.32129806645209691"/>
  </r>
  <r>
    <s v="ORD0069"/>
    <x v="64"/>
    <x v="1"/>
    <s v="RJ"/>
    <x v="1"/>
    <x v="5"/>
    <x v="0"/>
    <s v="Furniture"/>
    <n v="3"/>
    <n v="28541"/>
    <n v="0.1"/>
    <n v="0.1"/>
    <n v="6771"/>
    <n v="85623"/>
    <n v="77060.7"/>
    <n v="39120"/>
    <n v="37940.699999999997"/>
    <n v="0.49234823976423781"/>
  </r>
  <r>
    <s v="ORD0070"/>
    <x v="65"/>
    <x v="3"/>
    <s v="DL"/>
    <x v="3"/>
    <x v="0"/>
    <x v="0"/>
    <s v="Furniture"/>
    <n v="7"/>
    <n v="16466"/>
    <m/>
    <n v="0"/>
    <n v="22928"/>
    <n v="115262"/>
    <n v="115262"/>
    <n v="92897"/>
    <n v="22365"/>
    <n v="0.1940361957974007"/>
  </r>
  <r>
    <s v="ORD0071"/>
    <x v="66"/>
    <x v="0"/>
    <s v="DL"/>
    <x v="0"/>
    <x v="5"/>
    <x v="0"/>
    <s v="Furniture"/>
    <n v="2"/>
    <n v="12316"/>
    <m/>
    <n v="0"/>
    <m/>
    <n v="24632"/>
    <n v="24632"/>
    <n v="26080"/>
    <n v="-1448"/>
    <n v="-5.8785319909061384E-2"/>
  </r>
  <r>
    <s v="ORD0072"/>
    <x v="21"/>
    <x v="1"/>
    <s v="MH"/>
    <x v="3"/>
    <x v="5"/>
    <x v="0"/>
    <s v="Furniture"/>
    <n v="10"/>
    <n v="34687"/>
    <m/>
    <n v="0"/>
    <n v="10859"/>
    <n v="346870"/>
    <n v="346870"/>
    <n v="130400"/>
    <n v="216470"/>
    <n v="0.62406665321301924"/>
  </r>
  <r>
    <s v="ORD0073"/>
    <x v="20"/>
    <x v="0"/>
    <s v="KA"/>
    <x v="3"/>
    <x v="5"/>
    <x v="0"/>
    <s v="Furniture"/>
    <n v="4"/>
    <n v="32319"/>
    <n v="0.05"/>
    <n v="0.05"/>
    <n v="20290"/>
    <n v="129276"/>
    <n v="122812.2"/>
    <n v="52160"/>
    <n v="70652.2"/>
    <n v="0.57528649433851031"/>
  </r>
  <r>
    <s v="ORD0074"/>
    <x v="67"/>
    <x v="2"/>
    <s v="KA"/>
    <x v="4"/>
    <x v="2"/>
    <x v="1"/>
    <s v="Electronics"/>
    <n v="1"/>
    <n v="1976"/>
    <n v="0.05"/>
    <n v="0.05"/>
    <n v="5597"/>
    <n v="1976"/>
    <n v="1877.2"/>
    <n v="2888"/>
    <n v="-1010.8"/>
    <n v="-0.53846153846153844"/>
  </r>
  <r>
    <s v="ORD0075"/>
    <x v="31"/>
    <x v="3"/>
    <s v="RJ"/>
    <x v="3"/>
    <x v="3"/>
    <x v="1"/>
    <s v="Electronics"/>
    <n v="4"/>
    <n v="27237"/>
    <n v="0"/>
    <n v="0"/>
    <n v="17550"/>
    <n v="108948"/>
    <n v="108948"/>
    <n v="29536"/>
    <n v="79412"/>
    <n v="0.72889818996218381"/>
  </r>
  <r>
    <s v="ORD0076"/>
    <x v="68"/>
    <x v="3"/>
    <s v="DL"/>
    <x v="3"/>
    <x v="4"/>
    <x v="1"/>
    <s v="Electronics"/>
    <n v="8"/>
    <n v="36429"/>
    <n v="0.05"/>
    <n v="0.05"/>
    <n v="15686"/>
    <n v="291432"/>
    <n v="276860.40000000002"/>
    <n v="224368"/>
    <n v="52492.400000000023"/>
    <n v="0.18959880141760982"/>
  </r>
  <r>
    <s v="ORD0077"/>
    <x v="69"/>
    <x v="0"/>
    <s v="DL"/>
    <x v="0"/>
    <x v="0"/>
    <x v="0"/>
    <s v="Furniture"/>
    <n v="7"/>
    <n v="30010"/>
    <n v="0"/>
    <n v="0"/>
    <n v="6503"/>
    <n v="210070"/>
    <n v="210070"/>
    <n v="92897"/>
    <n v="117173"/>
    <n v="0.55778073975341558"/>
  </r>
  <r>
    <s v="ORD0078"/>
    <x v="70"/>
    <x v="0"/>
    <s v="GJ"/>
    <x v="1"/>
    <x v="1"/>
    <x v="1"/>
    <s v="Electronics"/>
    <n v="2"/>
    <n v="15440"/>
    <n v="0.1"/>
    <n v="0.1"/>
    <n v="18884"/>
    <n v="30880"/>
    <n v="27792"/>
    <n v="38530"/>
    <n v="-10738"/>
    <n v="-0.38637017846862404"/>
  </r>
  <r>
    <s v="ORD0079"/>
    <x v="5"/>
    <x v="3"/>
    <s v="KA"/>
    <x v="1"/>
    <x v="4"/>
    <x v="1"/>
    <s v="Electronics"/>
    <n v="1"/>
    <n v="26526"/>
    <n v="0.05"/>
    <n v="0.05"/>
    <m/>
    <n v="26526"/>
    <n v="25199.7"/>
    <n v="28046"/>
    <n v="-2846.2999999999993"/>
    <n v="-0.11294975733838097"/>
  </r>
  <r>
    <s v="ORD0080"/>
    <x v="71"/>
    <x v="3"/>
    <s v="DL"/>
    <x v="4"/>
    <x v="4"/>
    <x v="1"/>
    <s v="Electronics"/>
    <n v="10"/>
    <n v="41127"/>
    <n v="0.05"/>
    <n v="0.05"/>
    <n v="2039"/>
    <n v="411270"/>
    <n v="390706.5"/>
    <n v="280460"/>
    <n v="110246.5"/>
    <n v="0.28217216759895214"/>
  </r>
  <r>
    <s v="ORD0081"/>
    <x v="56"/>
    <x v="2"/>
    <s v="MH"/>
    <x v="1"/>
    <x v="4"/>
    <x v="1"/>
    <s v="Electronics"/>
    <n v="7"/>
    <n v="5533"/>
    <n v="0.05"/>
    <n v="0.05"/>
    <m/>
    <n v="38731"/>
    <n v="36794.449999999997"/>
    <n v="196322"/>
    <n v="-159527.54999999999"/>
    <n v="-4.3356416524774799"/>
  </r>
  <r>
    <s v="ORD0082"/>
    <x v="66"/>
    <x v="2"/>
    <s v="MH"/>
    <x v="3"/>
    <x v="0"/>
    <x v="0"/>
    <s v="Furniture"/>
    <n v="1"/>
    <n v="4265"/>
    <n v="0.1"/>
    <n v="0.1"/>
    <m/>
    <n v="4265"/>
    <n v="3838.5"/>
    <n v="13271"/>
    <n v="-9432.5"/>
    <n v="-2.4573401068125569"/>
  </r>
  <r>
    <s v="ORD0083"/>
    <x v="72"/>
    <x v="0"/>
    <s v="KA"/>
    <x v="2"/>
    <x v="2"/>
    <x v="1"/>
    <s v="Electronics"/>
    <n v="1"/>
    <n v="40542"/>
    <m/>
    <n v="0"/>
    <m/>
    <n v="40542"/>
    <n v="40542"/>
    <n v="2888"/>
    <n v="37654"/>
    <n v="0.92876523111834641"/>
  </r>
  <r>
    <s v="ORD0084"/>
    <x v="73"/>
    <x v="3"/>
    <s v="KA"/>
    <x v="1"/>
    <x v="3"/>
    <x v="1"/>
    <s v="Electronics"/>
    <n v="1"/>
    <n v="10295"/>
    <m/>
    <n v="0"/>
    <n v="9606"/>
    <n v="10295"/>
    <n v="10295"/>
    <n v="7384"/>
    <n v="2911"/>
    <n v="0.28275862068965518"/>
  </r>
  <r>
    <s v="ORD0085"/>
    <x v="74"/>
    <x v="0"/>
    <s v="GJ"/>
    <x v="2"/>
    <x v="4"/>
    <x v="1"/>
    <s v="Electronics"/>
    <n v="10"/>
    <n v="43135"/>
    <m/>
    <n v="0"/>
    <m/>
    <n v="431350"/>
    <n v="431350"/>
    <n v="280460"/>
    <n v="150890"/>
    <n v="0.34980874000231832"/>
  </r>
  <r>
    <s v="ORD0086"/>
    <x v="41"/>
    <x v="0"/>
    <s v="RJ"/>
    <x v="4"/>
    <x v="3"/>
    <x v="1"/>
    <s v="Electronics"/>
    <n v="3"/>
    <n v="22790"/>
    <n v="0.05"/>
    <n v="0.05"/>
    <m/>
    <n v="68370"/>
    <n v="64951.5"/>
    <n v="22152"/>
    <n v="42799.5"/>
    <n v="0.65894552088866309"/>
  </r>
  <r>
    <s v="ORD0087"/>
    <x v="3"/>
    <x v="1"/>
    <s v="MH"/>
    <x v="1"/>
    <x v="1"/>
    <x v="1"/>
    <s v="Electronics"/>
    <n v="10"/>
    <n v="36203"/>
    <n v="0.05"/>
    <n v="0.05"/>
    <n v="4593"/>
    <n v="362030"/>
    <n v="343928.5"/>
    <n v="192650"/>
    <n v="151278.5"/>
    <n v="0.43985450464268011"/>
  </r>
  <r>
    <s v="ORD0088"/>
    <x v="75"/>
    <x v="1"/>
    <s v="KA"/>
    <x v="1"/>
    <x v="0"/>
    <x v="0"/>
    <s v="Furniture"/>
    <n v="2"/>
    <n v="29990"/>
    <n v="0"/>
    <n v="0"/>
    <m/>
    <n v="59980"/>
    <n v="59980"/>
    <n v="26542"/>
    <n v="33438"/>
    <n v="0.55748582860953655"/>
  </r>
  <r>
    <s v="ORD0089"/>
    <x v="76"/>
    <x v="3"/>
    <s v="KA"/>
    <x v="0"/>
    <x v="5"/>
    <x v="0"/>
    <s v="Furniture"/>
    <n v="2"/>
    <n v="34584"/>
    <m/>
    <n v="0"/>
    <m/>
    <n v="69168"/>
    <n v="69168"/>
    <n v="26080"/>
    <n v="43088"/>
    <n v="0.62294702752718023"/>
  </r>
  <r>
    <s v="ORD0090"/>
    <x v="77"/>
    <x v="2"/>
    <s v="DL"/>
    <x v="3"/>
    <x v="5"/>
    <x v="0"/>
    <s v="Furniture"/>
    <n v="8"/>
    <n v="6065"/>
    <n v="0.05"/>
    <n v="0.05"/>
    <n v="11003"/>
    <n v="48520"/>
    <n v="46094"/>
    <n v="104320"/>
    <n v="-58226"/>
    <n v="-1.2632012843320173"/>
  </r>
  <r>
    <s v="ORD0091"/>
    <x v="78"/>
    <x v="2"/>
    <s v="MH"/>
    <x v="0"/>
    <x v="3"/>
    <x v="1"/>
    <s v="Electronics"/>
    <n v="9"/>
    <n v="35616"/>
    <m/>
    <n v="0"/>
    <n v="14753"/>
    <n v="320544"/>
    <n v="320544"/>
    <n v="66456"/>
    <n v="254088"/>
    <n v="0.79267744833782572"/>
  </r>
  <r>
    <s v="ORD0092"/>
    <x v="79"/>
    <x v="2"/>
    <s v="GJ"/>
    <x v="1"/>
    <x v="2"/>
    <x v="1"/>
    <s v="Electronics"/>
    <n v="7"/>
    <n v="14701"/>
    <n v="0.05"/>
    <n v="0.05"/>
    <m/>
    <n v="102907"/>
    <n v="97761.65"/>
    <n v="20216"/>
    <n v="77545.649999999994"/>
    <n v="0.79321134616692746"/>
  </r>
  <r>
    <s v="ORD0093"/>
    <x v="80"/>
    <x v="0"/>
    <s v="TN"/>
    <x v="1"/>
    <x v="3"/>
    <x v="1"/>
    <s v="Electronics"/>
    <n v="8"/>
    <n v="11159"/>
    <m/>
    <n v="0"/>
    <n v="959"/>
    <n v="89272"/>
    <n v="89272"/>
    <n v="59072"/>
    <n v="30200"/>
    <n v="0.33829196164530873"/>
  </r>
  <r>
    <s v="ORD0094"/>
    <x v="81"/>
    <x v="2"/>
    <s v="KA"/>
    <x v="0"/>
    <x v="2"/>
    <x v="1"/>
    <s v="Electronics"/>
    <n v="6"/>
    <n v="39961"/>
    <n v="0.1"/>
    <n v="0.1"/>
    <n v="24009"/>
    <n v="239766"/>
    <n v="215789.4"/>
    <n v="17328"/>
    <n v="198461.4"/>
    <n v="0.91969948477543384"/>
  </r>
  <r>
    <s v="ORD0095"/>
    <x v="82"/>
    <x v="1"/>
    <s v="KA"/>
    <x v="0"/>
    <x v="3"/>
    <x v="1"/>
    <s v="Electronics"/>
    <n v="9"/>
    <n v="12105"/>
    <n v="0.05"/>
    <n v="0.05"/>
    <m/>
    <n v="108945"/>
    <n v="103497.75"/>
    <n v="66456"/>
    <n v="37041.75"/>
    <n v="0.35789908476271221"/>
  </r>
  <r>
    <s v="ORD0096"/>
    <x v="83"/>
    <x v="1"/>
    <s v="MH"/>
    <x v="1"/>
    <x v="0"/>
    <x v="0"/>
    <s v="Furniture"/>
    <n v="4"/>
    <n v="18667"/>
    <n v="0.1"/>
    <n v="0.1"/>
    <n v="13662"/>
    <n v="74668"/>
    <n v="67201.2"/>
    <n v="53084"/>
    <n v="14117.199999999997"/>
    <n v="0.21007362963756596"/>
  </r>
  <r>
    <s v="ORD0097"/>
    <x v="84"/>
    <x v="2"/>
    <s v="GJ"/>
    <x v="3"/>
    <x v="3"/>
    <x v="1"/>
    <s v="Electronics"/>
    <n v="9"/>
    <n v="30848"/>
    <n v="0.1"/>
    <n v="0.1"/>
    <n v="24623"/>
    <n v="277632"/>
    <n v="249868.79999999999"/>
    <n v="66456"/>
    <n v="183412.8"/>
    <n v="0.73403642231443056"/>
  </r>
  <r>
    <s v="ORD0098"/>
    <x v="85"/>
    <x v="3"/>
    <s v="KA"/>
    <x v="3"/>
    <x v="1"/>
    <x v="1"/>
    <s v="Electronics"/>
    <n v="9"/>
    <n v="2772"/>
    <n v="0.05"/>
    <n v="0.05"/>
    <n v="969"/>
    <n v="24948"/>
    <n v="23700.6"/>
    <n v="173385"/>
    <n v="-149684.4"/>
    <n v="-6.3156375787954735"/>
  </r>
  <r>
    <s v="ORD0099"/>
    <x v="86"/>
    <x v="2"/>
    <s v="MH"/>
    <x v="2"/>
    <x v="0"/>
    <x v="0"/>
    <s v="Furniture"/>
    <n v="9"/>
    <n v="30646"/>
    <n v="0"/>
    <n v="0"/>
    <m/>
    <n v="275814"/>
    <n v="275814"/>
    <n v="119439"/>
    <n v="156375"/>
    <n v="0.56695816746068006"/>
  </r>
  <r>
    <s v="ORD0100"/>
    <x v="87"/>
    <x v="1"/>
    <s v="KA"/>
    <x v="1"/>
    <x v="1"/>
    <x v="1"/>
    <s v="Electronics"/>
    <n v="9"/>
    <n v="42832"/>
    <n v="0"/>
    <n v="0"/>
    <n v="5782"/>
    <n v="385488"/>
    <n v="385488"/>
    <n v="173385"/>
    <n v="212103"/>
    <n v="0.55021946208442285"/>
  </r>
  <r>
    <s v="ORD0101"/>
    <x v="88"/>
    <x v="1"/>
    <s v="TN"/>
    <x v="3"/>
    <x v="2"/>
    <x v="1"/>
    <s v="Electronics"/>
    <n v="2"/>
    <n v="14634"/>
    <n v="0.1"/>
    <n v="0.1"/>
    <m/>
    <n v="29268"/>
    <n v="26341.200000000001"/>
    <n v="5776"/>
    <n v="20565.2"/>
    <n v="0.7807237331632576"/>
  </r>
  <r>
    <s v="ORD0102"/>
    <x v="89"/>
    <x v="2"/>
    <s v="TN"/>
    <x v="3"/>
    <x v="4"/>
    <x v="1"/>
    <s v="Electronics"/>
    <n v="5"/>
    <n v="40273"/>
    <n v="0.05"/>
    <n v="0.05"/>
    <m/>
    <n v="201365"/>
    <n v="191296.75"/>
    <n v="140230"/>
    <n v="51066.75"/>
    <n v="0.2669504317245327"/>
  </r>
  <r>
    <s v="ORD0103"/>
    <x v="90"/>
    <x v="0"/>
    <s v="TN"/>
    <x v="1"/>
    <x v="2"/>
    <x v="1"/>
    <s v="Electronics"/>
    <n v="2"/>
    <n v="5905"/>
    <n v="0.05"/>
    <n v="0.05"/>
    <m/>
    <n v="11810"/>
    <n v="11219.5"/>
    <n v="5776"/>
    <n v="5443.5"/>
    <n v="0.48518204911092294"/>
  </r>
  <r>
    <s v="ORD0104"/>
    <x v="43"/>
    <x v="2"/>
    <s v="GJ"/>
    <x v="4"/>
    <x v="5"/>
    <x v="0"/>
    <s v="Furniture"/>
    <n v="4"/>
    <n v="11473"/>
    <m/>
    <n v="0"/>
    <m/>
    <n v="45892"/>
    <n v="45892"/>
    <n v="52160"/>
    <n v="-6268"/>
    <n v="-0.13658153926610303"/>
  </r>
  <r>
    <s v="ORD0105"/>
    <x v="91"/>
    <x v="1"/>
    <s v="TN"/>
    <x v="4"/>
    <x v="5"/>
    <x v="0"/>
    <s v="Furniture"/>
    <n v="3"/>
    <n v="6379"/>
    <n v="0.1"/>
    <n v="0.1"/>
    <n v="8916"/>
    <n v="19137"/>
    <n v="17223.3"/>
    <n v="39120"/>
    <n v="-21896.7"/>
    <n v="-1.2713417289369633"/>
  </r>
  <r>
    <s v="ORD0106"/>
    <x v="82"/>
    <x v="0"/>
    <s v="TN"/>
    <x v="0"/>
    <x v="4"/>
    <x v="1"/>
    <s v="Electronics"/>
    <n v="7"/>
    <n v="5824"/>
    <m/>
    <n v="0"/>
    <n v="4007"/>
    <n v="40768"/>
    <n v="40768"/>
    <n v="196322"/>
    <n v="-155554"/>
    <n v="-3.8155906593406592"/>
  </r>
  <r>
    <s v="ORD0107"/>
    <x v="33"/>
    <x v="3"/>
    <s v="GJ"/>
    <x v="0"/>
    <x v="3"/>
    <x v="1"/>
    <s v="Electronics"/>
    <n v="4"/>
    <n v="35086"/>
    <n v="0"/>
    <n v="0"/>
    <n v="18816"/>
    <n v="140344"/>
    <n v="140344"/>
    <n v="29536"/>
    <n v="110808"/>
    <n v="0.78954568773869915"/>
  </r>
  <r>
    <s v="ORD0108"/>
    <x v="92"/>
    <x v="2"/>
    <s v="DL"/>
    <x v="0"/>
    <x v="5"/>
    <x v="0"/>
    <s v="Furniture"/>
    <n v="1"/>
    <n v="4208"/>
    <n v="0.1"/>
    <n v="0.1"/>
    <m/>
    <n v="4208"/>
    <n v="3787.2"/>
    <n v="13040"/>
    <n v="-9252.7999999999993"/>
    <n v="-2.4431770173215037"/>
  </r>
  <r>
    <s v="ORD0109"/>
    <x v="19"/>
    <x v="2"/>
    <s v="GJ"/>
    <x v="4"/>
    <x v="2"/>
    <x v="1"/>
    <s v="Electronics"/>
    <n v="10"/>
    <n v="31197"/>
    <n v="0.05"/>
    <n v="0.05"/>
    <m/>
    <n v="311970"/>
    <n v="296371.5"/>
    <n v="28880"/>
    <n v="267491.5"/>
    <n v="0.90255473282687437"/>
  </r>
  <r>
    <s v="ORD0110"/>
    <x v="85"/>
    <x v="1"/>
    <s v="RJ"/>
    <x v="3"/>
    <x v="1"/>
    <x v="1"/>
    <s v="Electronics"/>
    <n v="5"/>
    <n v="6205"/>
    <m/>
    <n v="0"/>
    <n v="10875"/>
    <n v="31025"/>
    <n v="31025"/>
    <n v="96325"/>
    <n v="-65300"/>
    <n v="-2.104754230459307"/>
  </r>
  <r>
    <s v="ORD0111"/>
    <x v="93"/>
    <x v="1"/>
    <s v="KA"/>
    <x v="3"/>
    <x v="3"/>
    <x v="1"/>
    <s v="Electronics"/>
    <n v="6"/>
    <n v="20006"/>
    <n v="0.05"/>
    <n v="0.05"/>
    <m/>
    <n v="120036"/>
    <n v="114034.2"/>
    <n v="44304"/>
    <n v="69730.2"/>
    <n v="0.61148497555996362"/>
  </r>
  <r>
    <s v="ORD0112"/>
    <x v="94"/>
    <x v="1"/>
    <s v="RJ"/>
    <x v="2"/>
    <x v="4"/>
    <x v="1"/>
    <s v="Electronics"/>
    <n v="8"/>
    <n v="5405"/>
    <m/>
    <n v="0"/>
    <m/>
    <n v="43240"/>
    <n v="43240"/>
    <n v="224368"/>
    <n v="-181128"/>
    <n v="-4.1888991674375582"/>
  </r>
  <r>
    <s v="ORD0113"/>
    <x v="95"/>
    <x v="0"/>
    <s v="MH"/>
    <x v="1"/>
    <x v="1"/>
    <x v="1"/>
    <s v="Electronics"/>
    <n v="2"/>
    <n v="9694"/>
    <n v="0.1"/>
    <n v="0.1"/>
    <m/>
    <n v="19388"/>
    <n v="17449.2"/>
    <n v="38530"/>
    <n v="-21080.799999999999"/>
    <n v="-1.20812415468904"/>
  </r>
  <r>
    <s v="ORD0114"/>
    <x v="96"/>
    <x v="2"/>
    <s v="RJ"/>
    <x v="2"/>
    <x v="1"/>
    <x v="1"/>
    <s v="Electronics"/>
    <n v="6"/>
    <n v="22417"/>
    <m/>
    <n v="0"/>
    <m/>
    <n v="134502"/>
    <n v="134502"/>
    <n v="115590"/>
    <n v="18912"/>
    <n v="0.140607574608556"/>
  </r>
  <r>
    <s v="ORD0115"/>
    <x v="97"/>
    <x v="1"/>
    <s v="DL"/>
    <x v="4"/>
    <x v="0"/>
    <x v="0"/>
    <s v="Furniture"/>
    <n v="1"/>
    <n v="11146"/>
    <m/>
    <n v="0"/>
    <m/>
    <n v="11146"/>
    <n v="11146"/>
    <n v="13271"/>
    <n v="-2125"/>
    <n v="-0.19065135474609726"/>
  </r>
  <r>
    <s v="ORD0116"/>
    <x v="98"/>
    <x v="0"/>
    <s v="DL"/>
    <x v="4"/>
    <x v="1"/>
    <x v="1"/>
    <s v="Electronics"/>
    <n v="3"/>
    <n v="45216"/>
    <n v="0.1"/>
    <n v="0.1"/>
    <n v="3805"/>
    <n v="135648"/>
    <n v="122083.2"/>
    <n v="57795"/>
    <n v="64288.2"/>
    <n v="0.52659333962412513"/>
  </r>
  <r>
    <s v="ORD0117"/>
    <x v="99"/>
    <x v="3"/>
    <s v="RJ"/>
    <x v="1"/>
    <x v="2"/>
    <x v="1"/>
    <s v="Electronics"/>
    <n v="1"/>
    <n v="36735"/>
    <m/>
    <n v="0"/>
    <m/>
    <n v="36735"/>
    <n v="36735"/>
    <n v="2888"/>
    <n v="33847"/>
    <n v="0.92138287736491087"/>
  </r>
  <r>
    <s v="ORD0118"/>
    <x v="100"/>
    <x v="0"/>
    <s v="GJ"/>
    <x v="4"/>
    <x v="5"/>
    <x v="0"/>
    <s v="Furniture"/>
    <n v="2"/>
    <n v="13627"/>
    <n v="0.1"/>
    <n v="0.1"/>
    <m/>
    <n v="27254"/>
    <n v="24528.6"/>
    <n v="26080"/>
    <n v="-1551.4000000000015"/>
    <n v="-6.3248615901437572E-2"/>
  </r>
  <r>
    <s v="ORD0119"/>
    <x v="101"/>
    <x v="1"/>
    <s v="MH"/>
    <x v="4"/>
    <x v="5"/>
    <x v="0"/>
    <s v="Furniture"/>
    <n v="6"/>
    <n v="19988"/>
    <n v="0.1"/>
    <n v="0.1"/>
    <m/>
    <n v="119928"/>
    <n v="107935.2"/>
    <n v="78240"/>
    <n v="29695.199999999997"/>
    <n v="0.2751206279323149"/>
  </r>
  <r>
    <s v="ORD0120"/>
    <x v="56"/>
    <x v="0"/>
    <s v="TN"/>
    <x v="2"/>
    <x v="1"/>
    <x v="1"/>
    <s v="Electronics"/>
    <n v="10"/>
    <n v="38361"/>
    <m/>
    <n v="0"/>
    <m/>
    <n v="383610"/>
    <n v="383610"/>
    <n v="192650"/>
    <n v="190960"/>
    <n v="0.49779724199056335"/>
  </r>
  <r>
    <s v="ORD0121"/>
    <x v="102"/>
    <x v="0"/>
    <s v="DL"/>
    <x v="3"/>
    <x v="2"/>
    <x v="1"/>
    <s v="Electronics"/>
    <n v="6"/>
    <n v="13980"/>
    <n v="0.05"/>
    <n v="0.05"/>
    <m/>
    <n v="83880"/>
    <n v="79686"/>
    <n v="17328"/>
    <n v="62358"/>
    <n v="0.7825464949928469"/>
  </r>
  <r>
    <s v="ORD0122"/>
    <x v="103"/>
    <x v="3"/>
    <s v="DL"/>
    <x v="2"/>
    <x v="4"/>
    <x v="1"/>
    <s v="Electronics"/>
    <n v="2"/>
    <n v="13646"/>
    <m/>
    <n v="0"/>
    <m/>
    <n v="27292"/>
    <n v="27292"/>
    <n v="56092"/>
    <n v="-28800"/>
    <n v="-1.0552542869705408"/>
  </r>
  <r>
    <s v="ORD0123"/>
    <x v="104"/>
    <x v="1"/>
    <s v="MH"/>
    <x v="0"/>
    <x v="4"/>
    <x v="1"/>
    <s v="Electronics"/>
    <n v="5"/>
    <n v="13629"/>
    <n v="0"/>
    <n v="0"/>
    <n v="17099"/>
    <n v="68145"/>
    <n v="68145"/>
    <n v="140230"/>
    <n v="-72085"/>
    <n v="-1.0578178883263629"/>
  </r>
  <r>
    <s v="ORD0124"/>
    <x v="63"/>
    <x v="1"/>
    <s v="KA"/>
    <x v="3"/>
    <x v="2"/>
    <x v="1"/>
    <s v="Electronics"/>
    <n v="9"/>
    <n v="17186"/>
    <n v="0.1"/>
    <n v="0.1"/>
    <m/>
    <n v="154674"/>
    <n v="139206.6"/>
    <n v="25992"/>
    <n v="113214.6"/>
    <n v="0.81328471494886023"/>
  </r>
  <r>
    <s v="ORD0125"/>
    <x v="105"/>
    <x v="1"/>
    <s v="MH"/>
    <x v="4"/>
    <x v="1"/>
    <x v="1"/>
    <s v="Electronics"/>
    <n v="8"/>
    <n v="13851"/>
    <n v="0.05"/>
    <n v="0.05"/>
    <m/>
    <n v="110808"/>
    <n v="105267.6"/>
    <n v="154120"/>
    <n v="-48852.399999999994"/>
    <n v="-0.46407821589928899"/>
  </r>
  <r>
    <s v="ORD0126"/>
    <x v="106"/>
    <x v="3"/>
    <s v="KA"/>
    <x v="3"/>
    <x v="1"/>
    <x v="1"/>
    <s v="Electronics"/>
    <n v="2"/>
    <n v="44793"/>
    <n v="0.1"/>
    <n v="0.1"/>
    <m/>
    <n v="89586"/>
    <n v="80627.399999999994"/>
    <n v="38530"/>
    <n v="42097.399999999994"/>
    <n v="0.52212275231496985"/>
  </r>
  <r>
    <s v="ORD0127"/>
    <x v="107"/>
    <x v="2"/>
    <s v="MH"/>
    <x v="3"/>
    <x v="0"/>
    <x v="0"/>
    <s v="Furniture"/>
    <n v="6"/>
    <n v="44120"/>
    <n v="0.1"/>
    <n v="0.1"/>
    <n v="2850"/>
    <n v="264720"/>
    <n v="238248"/>
    <n v="79626"/>
    <n v="158622"/>
    <n v="0.66578523219502372"/>
  </r>
  <r>
    <s v="ORD0128"/>
    <x v="108"/>
    <x v="0"/>
    <s v="RJ"/>
    <x v="3"/>
    <x v="0"/>
    <x v="0"/>
    <s v="Furniture"/>
    <n v="6"/>
    <n v="32644"/>
    <n v="0"/>
    <n v="0"/>
    <m/>
    <n v="195864"/>
    <n v="195864"/>
    <n v="79626"/>
    <n v="116238"/>
    <n v="0.59346281093003306"/>
  </r>
  <r>
    <s v="ORD0129"/>
    <x v="109"/>
    <x v="0"/>
    <s v="MH"/>
    <x v="2"/>
    <x v="2"/>
    <x v="1"/>
    <s v="Electronics"/>
    <n v="1"/>
    <n v="46296"/>
    <m/>
    <n v="0"/>
    <m/>
    <n v="46296"/>
    <n v="46296"/>
    <n v="2888"/>
    <n v="43408"/>
    <n v="0.93761880076032489"/>
  </r>
  <r>
    <s v="ORD0130"/>
    <x v="94"/>
    <x v="1"/>
    <s v="RJ"/>
    <x v="0"/>
    <x v="0"/>
    <x v="0"/>
    <s v="Furniture"/>
    <n v="5"/>
    <n v="29473"/>
    <n v="0.1"/>
    <n v="0.1"/>
    <m/>
    <n v="147365"/>
    <n v="132628.5"/>
    <n v="66355"/>
    <n v="66273.5"/>
    <n v="0.49969275080393732"/>
  </r>
  <r>
    <s v="ORD0131"/>
    <x v="47"/>
    <x v="2"/>
    <s v="DL"/>
    <x v="2"/>
    <x v="5"/>
    <x v="0"/>
    <s v="Furniture"/>
    <n v="3"/>
    <n v="823"/>
    <n v="0.1"/>
    <n v="0.1"/>
    <n v="9760"/>
    <n v="2469"/>
    <n v="2222.1"/>
    <n v="39120"/>
    <n v="-36897.9"/>
    <n v="-16.604968273255029"/>
  </r>
  <r>
    <s v="ORD0132"/>
    <x v="110"/>
    <x v="1"/>
    <s v="GJ"/>
    <x v="0"/>
    <x v="2"/>
    <x v="1"/>
    <s v="Electronics"/>
    <n v="6"/>
    <n v="29572"/>
    <m/>
    <n v="0"/>
    <m/>
    <n v="177432"/>
    <n v="177432"/>
    <n v="17328"/>
    <n v="160104"/>
    <n v="0.90234005139997298"/>
  </r>
  <r>
    <s v="ORD0133"/>
    <x v="111"/>
    <x v="3"/>
    <s v="MH"/>
    <x v="1"/>
    <x v="3"/>
    <x v="1"/>
    <s v="Electronics"/>
    <n v="5"/>
    <n v="28174"/>
    <m/>
    <n v="0"/>
    <m/>
    <n v="140870"/>
    <n v="140870"/>
    <n v="36920"/>
    <n v="103950"/>
    <n v="0.73791438915311991"/>
  </r>
  <r>
    <s v="ORD0134"/>
    <x v="112"/>
    <x v="0"/>
    <s v="TN"/>
    <x v="0"/>
    <x v="0"/>
    <x v="0"/>
    <s v="Furniture"/>
    <n v="3"/>
    <n v="6494"/>
    <n v="0.1"/>
    <n v="0.1"/>
    <m/>
    <n v="19482"/>
    <n v="17533.8"/>
    <n v="39813"/>
    <n v="-22279.200000000001"/>
    <n v="-1.2706429866885673"/>
  </r>
  <r>
    <s v="ORD0135"/>
    <x v="98"/>
    <x v="3"/>
    <s v="RJ"/>
    <x v="2"/>
    <x v="4"/>
    <x v="1"/>
    <s v="Electronics"/>
    <n v="3"/>
    <n v="22202"/>
    <n v="0.05"/>
    <n v="0.05"/>
    <n v="22956"/>
    <n v="66606"/>
    <n v="63275.7"/>
    <n v="84138"/>
    <n v="-20862.300000000003"/>
    <n v="-0.32970476818115019"/>
  </r>
  <r>
    <s v="ORD0136"/>
    <x v="91"/>
    <x v="1"/>
    <s v="RJ"/>
    <x v="1"/>
    <x v="4"/>
    <x v="1"/>
    <s v="Electronics"/>
    <n v="3"/>
    <n v="3979"/>
    <n v="0.1"/>
    <n v="0.1"/>
    <n v="5074"/>
    <n v="11937"/>
    <n v="10743.3"/>
    <n v="84138"/>
    <n v="-73394.7"/>
    <n v="-6.8316718326771104"/>
  </r>
  <r>
    <s v="ORD0137"/>
    <x v="55"/>
    <x v="0"/>
    <s v="TN"/>
    <x v="1"/>
    <x v="4"/>
    <x v="1"/>
    <s v="Electronics"/>
    <n v="2"/>
    <n v="15791"/>
    <n v="0"/>
    <n v="0"/>
    <m/>
    <n v="31582"/>
    <n v="31582"/>
    <n v="56092"/>
    <n v="-24510"/>
    <n v="-0.77607497941865622"/>
  </r>
  <r>
    <s v="ORD0138"/>
    <x v="113"/>
    <x v="0"/>
    <s v="GJ"/>
    <x v="1"/>
    <x v="4"/>
    <x v="1"/>
    <s v="Electronics"/>
    <n v="7"/>
    <n v="24754"/>
    <n v="0"/>
    <n v="0"/>
    <m/>
    <n v="173278"/>
    <n v="173278"/>
    <n v="196322"/>
    <n v="-23044"/>
    <n v="-0.13298860790175326"/>
  </r>
  <r>
    <s v="ORD0139"/>
    <x v="114"/>
    <x v="2"/>
    <s v="TN"/>
    <x v="4"/>
    <x v="5"/>
    <x v="0"/>
    <s v="Furniture"/>
    <n v="2"/>
    <n v="47711"/>
    <n v="0"/>
    <n v="0"/>
    <m/>
    <n v="95422"/>
    <n v="95422"/>
    <n v="26080"/>
    <n v="69342"/>
    <n v="0.72668776592400075"/>
  </r>
  <r>
    <s v="ORD0140"/>
    <x v="115"/>
    <x v="1"/>
    <s v="RJ"/>
    <x v="2"/>
    <x v="0"/>
    <x v="0"/>
    <s v="Furniture"/>
    <n v="6"/>
    <n v="16480"/>
    <m/>
    <n v="0"/>
    <m/>
    <n v="98880"/>
    <n v="98880"/>
    <n v="79626"/>
    <n v="19254"/>
    <n v="0.19472087378640776"/>
  </r>
  <r>
    <s v="ORD0141"/>
    <x v="9"/>
    <x v="3"/>
    <s v="GJ"/>
    <x v="3"/>
    <x v="5"/>
    <x v="0"/>
    <s v="Furniture"/>
    <n v="1"/>
    <n v="28229"/>
    <n v="0.05"/>
    <n v="0.05"/>
    <m/>
    <n v="28229"/>
    <n v="26817.55"/>
    <n v="13040"/>
    <n v="13777.55"/>
    <n v="0.51375125617366235"/>
  </r>
  <r>
    <s v="ORD0142"/>
    <x v="103"/>
    <x v="1"/>
    <s v="TN"/>
    <x v="3"/>
    <x v="1"/>
    <x v="1"/>
    <s v="Electronics"/>
    <n v="2"/>
    <n v="13677"/>
    <n v="0.05"/>
    <n v="0.05"/>
    <n v="5541"/>
    <n v="27354"/>
    <n v="25986.3"/>
    <n v="38530"/>
    <n v="-12543.7"/>
    <n v="-0.48270434806032414"/>
  </r>
  <r>
    <s v="ORD0143"/>
    <x v="116"/>
    <x v="0"/>
    <s v="GJ"/>
    <x v="0"/>
    <x v="4"/>
    <x v="1"/>
    <s v="Electronics"/>
    <n v="7"/>
    <n v="44177"/>
    <m/>
    <n v="0"/>
    <m/>
    <n v="309239"/>
    <n v="309239"/>
    <n v="196322"/>
    <n v="112917"/>
    <n v="0.36514475858478396"/>
  </r>
  <r>
    <s v="ORD0144"/>
    <x v="117"/>
    <x v="3"/>
    <s v="DL"/>
    <x v="3"/>
    <x v="1"/>
    <x v="1"/>
    <s v="Electronics"/>
    <n v="5"/>
    <n v="4664"/>
    <n v="0.1"/>
    <n v="0.1"/>
    <n v="27139"/>
    <n v="23320"/>
    <n v="20988"/>
    <n v="96325"/>
    <n v="-75337"/>
    <n v="-3.5895273489613113"/>
  </r>
  <r>
    <s v="ORD0145"/>
    <x v="118"/>
    <x v="3"/>
    <s v="GJ"/>
    <x v="2"/>
    <x v="0"/>
    <x v="0"/>
    <s v="Furniture"/>
    <n v="9"/>
    <n v="17961"/>
    <n v="0"/>
    <n v="0"/>
    <m/>
    <n v="161649"/>
    <n v="161649"/>
    <n v="119439"/>
    <n v="42210"/>
    <n v="0.26112131841211511"/>
  </r>
  <r>
    <s v="ORD0146"/>
    <x v="119"/>
    <x v="1"/>
    <s v="DL"/>
    <x v="2"/>
    <x v="4"/>
    <x v="1"/>
    <s v="Electronics"/>
    <n v="4"/>
    <n v="8698"/>
    <n v="0.05"/>
    <n v="0.05"/>
    <m/>
    <n v="34792"/>
    <n v="33052.400000000001"/>
    <n v="112184"/>
    <n v="-79131.600000000006"/>
    <n v="-2.3941256913264999"/>
  </r>
  <r>
    <s v="ORD0147"/>
    <x v="120"/>
    <x v="2"/>
    <s v="KA"/>
    <x v="2"/>
    <x v="1"/>
    <x v="1"/>
    <s v="Electronics"/>
    <n v="1"/>
    <n v="39693"/>
    <n v="0"/>
    <n v="0"/>
    <m/>
    <n v="39693"/>
    <n v="39693"/>
    <n v="19265"/>
    <n v="20428"/>
    <n v="0.51464993827627037"/>
  </r>
  <r>
    <s v="ORD0148"/>
    <x v="121"/>
    <x v="1"/>
    <s v="MH"/>
    <x v="1"/>
    <x v="4"/>
    <x v="1"/>
    <s v="Electronics"/>
    <n v="4"/>
    <n v="49254"/>
    <n v="0"/>
    <n v="0"/>
    <m/>
    <n v="197016"/>
    <n v="197016"/>
    <n v="112184"/>
    <n v="84832"/>
    <n v="0.43058431802493197"/>
  </r>
  <r>
    <s v="ORD0149"/>
    <x v="54"/>
    <x v="0"/>
    <s v="RJ"/>
    <x v="1"/>
    <x v="2"/>
    <x v="1"/>
    <s v="Electronics"/>
    <n v="2"/>
    <n v="24064"/>
    <n v="0.05"/>
    <n v="0.05"/>
    <m/>
    <n v="48128"/>
    <n v="45721.599999999999"/>
    <n v="5776"/>
    <n v="39945.599999999999"/>
    <n v="0.87367021276595747"/>
  </r>
  <r>
    <s v="ORD0150"/>
    <x v="122"/>
    <x v="3"/>
    <s v="TN"/>
    <x v="2"/>
    <x v="0"/>
    <x v="0"/>
    <s v="Furniture"/>
    <n v="4"/>
    <n v="2985"/>
    <n v="0"/>
    <n v="0"/>
    <m/>
    <n v="11940"/>
    <n v="11940"/>
    <n v="53084"/>
    <n v="-41144"/>
    <n v="-3.4458961474036851"/>
  </r>
  <r>
    <s v="ORD0151"/>
    <x v="123"/>
    <x v="2"/>
    <s v="RJ"/>
    <x v="2"/>
    <x v="2"/>
    <x v="1"/>
    <s v="Electronics"/>
    <n v="2"/>
    <n v="16188"/>
    <n v="0.1"/>
    <n v="0.1"/>
    <m/>
    <n v="32376"/>
    <n v="29138.400000000001"/>
    <n v="5776"/>
    <n v="23362.400000000001"/>
    <n v="0.80177360459050606"/>
  </r>
  <r>
    <s v="ORD0152"/>
    <x v="124"/>
    <x v="2"/>
    <s v="GJ"/>
    <x v="4"/>
    <x v="3"/>
    <x v="1"/>
    <s v="Electronics"/>
    <n v="4"/>
    <n v="1457"/>
    <n v="0.05"/>
    <n v="0.05"/>
    <n v="5756"/>
    <n v="5828"/>
    <n v="5536.6"/>
    <n v="29536"/>
    <n v="-23999.4"/>
    <n v="-4.3346819347614058"/>
  </r>
  <r>
    <s v="ORD0153"/>
    <x v="125"/>
    <x v="3"/>
    <s v="RJ"/>
    <x v="0"/>
    <x v="1"/>
    <x v="1"/>
    <s v="Electronics"/>
    <n v="10"/>
    <n v="5787"/>
    <n v="0.05"/>
    <n v="0.05"/>
    <m/>
    <n v="57870"/>
    <n v="54976.5"/>
    <n v="192650"/>
    <n v="-137673.5"/>
    <n v="-2.5042245323001646"/>
  </r>
  <r>
    <s v="ORD0154"/>
    <x v="84"/>
    <x v="3"/>
    <s v="DL"/>
    <x v="4"/>
    <x v="4"/>
    <x v="1"/>
    <s v="Electronics"/>
    <n v="9"/>
    <n v="4045"/>
    <n v="0.05"/>
    <n v="0.05"/>
    <n v="18739"/>
    <n v="36405"/>
    <n v="34584.75"/>
    <n v="252414"/>
    <n v="-217829.25"/>
    <n v="-6.2984191009043"/>
  </r>
  <r>
    <s v="ORD0155"/>
    <x v="126"/>
    <x v="3"/>
    <s v="RJ"/>
    <x v="4"/>
    <x v="0"/>
    <x v="0"/>
    <s v="Furniture"/>
    <n v="10"/>
    <n v="8412"/>
    <n v="0"/>
    <n v="0"/>
    <n v="26516"/>
    <n v="84120"/>
    <n v="84120"/>
    <n v="132710"/>
    <n v="-48590"/>
    <n v="-0.57762719923918215"/>
  </r>
  <r>
    <s v="ORD0156"/>
    <x v="127"/>
    <x v="3"/>
    <s v="TN"/>
    <x v="3"/>
    <x v="2"/>
    <x v="1"/>
    <s v="Electronics"/>
    <n v="3"/>
    <n v="33397"/>
    <m/>
    <n v="0"/>
    <m/>
    <n v="100191"/>
    <n v="100191"/>
    <n v="8664"/>
    <n v="91527"/>
    <n v="0.91352516693116148"/>
  </r>
  <r>
    <s v="ORD0157"/>
    <x v="10"/>
    <x v="1"/>
    <s v="TN"/>
    <x v="3"/>
    <x v="5"/>
    <x v="0"/>
    <s v="Furniture"/>
    <n v="7"/>
    <n v="42814"/>
    <n v="0.1"/>
    <n v="0.1"/>
    <m/>
    <n v="299698"/>
    <n v="269728.2"/>
    <n v="91280"/>
    <n v="178448.2"/>
    <n v="0.66158525508270916"/>
  </r>
  <r>
    <s v="ORD0158"/>
    <x v="128"/>
    <x v="0"/>
    <s v="GJ"/>
    <x v="1"/>
    <x v="3"/>
    <x v="1"/>
    <s v="Electronics"/>
    <n v="1"/>
    <n v="6449"/>
    <m/>
    <n v="0"/>
    <m/>
    <n v="6449"/>
    <n v="6449"/>
    <n v="7384"/>
    <n v="-935"/>
    <n v="-0.14498371840595442"/>
  </r>
  <r>
    <s v="ORD0159"/>
    <x v="29"/>
    <x v="2"/>
    <s v="GJ"/>
    <x v="4"/>
    <x v="1"/>
    <x v="1"/>
    <s v="Electronics"/>
    <n v="9"/>
    <n v="3404"/>
    <n v="0.1"/>
    <n v="0.1"/>
    <m/>
    <n v="30636"/>
    <n v="27572.400000000001"/>
    <n v="173385"/>
    <n v="-145812.6"/>
    <n v="-5.2883535709622667"/>
  </r>
  <r>
    <s v="ORD0160"/>
    <x v="129"/>
    <x v="0"/>
    <s v="KA"/>
    <x v="0"/>
    <x v="3"/>
    <x v="1"/>
    <s v="Electronics"/>
    <n v="6"/>
    <n v="1841"/>
    <n v="0"/>
    <n v="0"/>
    <m/>
    <n v="11046"/>
    <n v="11046"/>
    <n v="44304"/>
    <n v="-33258"/>
    <n v="-3.0108636610537753"/>
  </r>
  <r>
    <s v="ORD0161"/>
    <x v="130"/>
    <x v="1"/>
    <s v="KA"/>
    <x v="1"/>
    <x v="1"/>
    <x v="1"/>
    <s v="Electronics"/>
    <n v="8"/>
    <n v="9401"/>
    <n v="0.1"/>
    <n v="0.1"/>
    <m/>
    <n v="75208"/>
    <n v="67687.199999999997"/>
    <n v="154120"/>
    <n v="-86432.8"/>
    <n v="-1.2769445330874967"/>
  </r>
  <r>
    <s v="ORD0162"/>
    <x v="131"/>
    <x v="1"/>
    <s v="MH"/>
    <x v="1"/>
    <x v="4"/>
    <x v="1"/>
    <s v="Electronics"/>
    <n v="10"/>
    <n v="27902"/>
    <n v="0.05"/>
    <n v="0.05"/>
    <m/>
    <n v="279020"/>
    <n v="265069"/>
    <n v="280460"/>
    <n v="-15391"/>
    <n v="-5.8064126699085901E-2"/>
  </r>
  <r>
    <s v="ORD0163"/>
    <x v="62"/>
    <x v="3"/>
    <s v="DL"/>
    <x v="1"/>
    <x v="3"/>
    <x v="1"/>
    <s v="Electronics"/>
    <n v="1"/>
    <n v="3934"/>
    <n v="0.05"/>
    <n v="0.05"/>
    <m/>
    <n v="3934"/>
    <n v="3737.3"/>
    <n v="7384"/>
    <n v="-3646.7"/>
    <n v="-0.97575790008829899"/>
  </r>
  <r>
    <s v="ORD0164"/>
    <x v="132"/>
    <x v="1"/>
    <s v="DL"/>
    <x v="1"/>
    <x v="0"/>
    <x v="0"/>
    <s v="Furniture"/>
    <n v="8"/>
    <n v="14762"/>
    <n v="0.05"/>
    <n v="0.05"/>
    <n v="10704"/>
    <n v="118096"/>
    <n v="112191.2"/>
    <n v="106168"/>
    <n v="6023.1999999999971"/>
    <n v="5.3686920186253442E-2"/>
  </r>
  <r>
    <s v="ORD0165"/>
    <x v="133"/>
    <x v="1"/>
    <s v="KA"/>
    <x v="3"/>
    <x v="0"/>
    <x v="0"/>
    <s v="Furniture"/>
    <n v="7"/>
    <n v="30697"/>
    <n v="0.1"/>
    <n v="0.1"/>
    <m/>
    <n v="214879"/>
    <n v="193391.1"/>
    <n v="92897"/>
    <n v="100494.1"/>
    <n v="0.51964180357834466"/>
  </r>
  <r>
    <s v="ORD0166"/>
    <x v="134"/>
    <x v="1"/>
    <s v="MH"/>
    <x v="3"/>
    <x v="1"/>
    <x v="1"/>
    <s v="Electronics"/>
    <n v="7"/>
    <n v="34510"/>
    <m/>
    <n v="0"/>
    <m/>
    <n v="241570"/>
    <n v="241570"/>
    <n v="134855"/>
    <n v="106715"/>
    <n v="0.44175601274992754"/>
  </r>
  <r>
    <s v="ORD0167"/>
    <x v="135"/>
    <x v="0"/>
    <s v="TN"/>
    <x v="3"/>
    <x v="5"/>
    <x v="0"/>
    <s v="Furniture"/>
    <n v="1"/>
    <n v="24534"/>
    <m/>
    <n v="0"/>
    <m/>
    <n v="24534"/>
    <n v="24534"/>
    <n v="13040"/>
    <n v="11494"/>
    <n v="0.46849270400260862"/>
  </r>
  <r>
    <s v="ORD0168"/>
    <x v="48"/>
    <x v="2"/>
    <s v="DL"/>
    <x v="1"/>
    <x v="0"/>
    <x v="0"/>
    <s v="Furniture"/>
    <n v="7"/>
    <n v="20210"/>
    <m/>
    <n v="0"/>
    <m/>
    <n v="141470"/>
    <n v="141470"/>
    <n v="92897"/>
    <n v="48573"/>
    <n v="0.34334487877288472"/>
  </r>
  <r>
    <s v="ORD0169"/>
    <x v="136"/>
    <x v="1"/>
    <s v="GJ"/>
    <x v="4"/>
    <x v="2"/>
    <x v="1"/>
    <s v="Electronics"/>
    <n v="6"/>
    <n v="36968"/>
    <n v="0.05"/>
    <n v="0.05"/>
    <n v="3706"/>
    <n v="221808"/>
    <n v="210717.6"/>
    <n v="17328"/>
    <n v="193389.6"/>
    <n v="0.91776671716078773"/>
  </r>
  <r>
    <s v="ORD0170"/>
    <x v="90"/>
    <x v="0"/>
    <s v="RJ"/>
    <x v="2"/>
    <x v="1"/>
    <x v="1"/>
    <s v="Electronics"/>
    <n v="3"/>
    <n v="48072"/>
    <n v="0.1"/>
    <n v="0.1"/>
    <m/>
    <n v="144216"/>
    <n v="129794.4"/>
    <n v="57795"/>
    <n v="71999.399999999994"/>
    <n v="0.55471884765444424"/>
  </r>
  <r>
    <s v="ORD0171"/>
    <x v="99"/>
    <x v="1"/>
    <s v="KA"/>
    <x v="0"/>
    <x v="4"/>
    <x v="1"/>
    <s v="Electronics"/>
    <n v="9"/>
    <n v="24173"/>
    <n v="0"/>
    <n v="0"/>
    <n v="16615"/>
    <n v="217557"/>
    <n v="217557"/>
    <n v="252414"/>
    <n v="-34857"/>
    <n v="-0.16022008025482976"/>
  </r>
  <r>
    <s v="ORD0172"/>
    <x v="137"/>
    <x v="1"/>
    <s v="MH"/>
    <x v="3"/>
    <x v="2"/>
    <x v="1"/>
    <s v="Electronics"/>
    <n v="5"/>
    <n v="32908"/>
    <n v="0.1"/>
    <n v="0.1"/>
    <n v="20246"/>
    <n v="164540"/>
    <n v="148086"/>
    <n v="14440"/>
    <n v="133646"/>
    <n v="0.90248909417500645"/>
  </r>
  <r>
    <s v="ORD0173"/>
    <x v="138"/>
    <x v="1"/>
    <s v="DL"/>
    <x v="4"/>
    <x v="3"/>
    <x v="1"/>
    <s v="Electronics"/>
    <n v="1"/>
    <n v="23106"/>
    <n v="0.05"/>
    <n v="0.05"/>
    <m/>
    <n v="23106"/>
    <n v="21950.7"/>
    <n v="7384"/>
    <n v="14566.7"/>
    <n v="0.66360981654343598"/>
  </r>
  <r>
    <s v="ORD0174"/>
    <x v="133"/>
    <x v="2"/>
    <s v="GJ"/>
    <x v="0"/>
    <x v="2"/>
    <x v="1"/>
    <s v="Electronics"/>
    <n v="10"/>
    <n v="2016"/>
    <n v="0"/>
    <n v="0"/>
    <m/>
    <n v="20160"/>
    <n v="20160"/>
    <n v="28880"/>
    <n v="-8720"/>
    <n v="-0.43253968253968256"/>
  </r>
  <r>
    <s v="ORD0175"/>
    <x v="102"/>
    <x v="1"/>
    <s v="KA"/>
    <x v="3"/>
    <x v="1"/>
    <x v="1"/>
    <s v="Electronics"/>
    <n v="1"/>
    <n v="33858"/>
    <m/>
    <n v="0"/>
    <m/>
    <n v="33858"/>
    <n v="33858"/>
    <n v="19265"/>
    <n v="14593"/>
    <n v="0.43100596609368541"/>
  </r>
  <r>
    <s v="ORD0176"/>
    <x v="139"/>
    <x v="0"/>
    <s v="TN"/>
    <x v="3"/>
    <x v="4"/>
    <x v="1"/>
    <s v="Electronics"/>
    <n v="8"/>
    <n v="35730"/>
    <n v="0.1"/>
    <n v="0.1"/>
    <m/>
    <n v="285840"/>
    <n v="257256"/>
    <n v="224368"/>
    <n v="32888"/>
    <n v="0.12784152750567529"/>
  </r>
  <r>
    <s v="ORD0177"/>
    <x v="140"/>
    <x v="3"/>
    <s v="RJ"/>
    <x v="0"/>
    <x v="4"/>
    <x v="1"/>
    <s v="Electronics"/>
    <n v="6"/>
    <n v="25111"/>
    <m/>
    <n v="0"/>
    <n v="12408"/>
    <n v="150666"/>
    <n v="150666"/>
    <n v="168276"/>
    <n v="-17610"/>
    <n v="-0.11688104814623074"/>
  </r>
  <r>
    <s v="ORD0178"/>
    <x v="103"/>
    <x v="2"/>
    <s v="GJ"/>
    <x v="4"/>
    <x v="4"/>
    <x v="1"/>
    <s v="Electronics"/>
    <n v="1"/>
    <n v="20949"/>
    <m/>
    <n v="0"/>
    <m/>
    <n v="20949"/>
    <n v="20949"/>
    <n v="28046"/>
    <n v="-7097"/>
    <n v="-0.33877512053081293"/>
  </r>
  <r>
    <s v="ORD0179"/>
    <x v="141"/>
    <x v="0"/>
    <s v="TN"/>
    <x v="4"/>
    <x v="2"/>
    <x v="1"/>
    <s v="Electronics"/>
    <n v="9"/>
    <n v="28377"/>
    <n v="0"/>
    <n v="0"/>
    <n v="21120"/>
    <n v="255393"/>
    <n v="255393"/>
    <n v="25992"/>
    <n v="229401"/>
    <n v="0.89822743771364133"/>
  </r>
  <r>
    <s v="ORD0180"/>
    <x v="88"/>
    <x v="0"/>
    <s v="TN"/>
    <x v="0"/>
    <x v="3"/>
    <x v="1"/>
    <s v="Electronics"/>
    <n v="7"/>
    <n v="36022"/>
    <n v="0.1"/>
    <n v="0.1"/>
    <m/>
    <n v="252154"/>
    <n v="226938.6"/>
    <n v="51688"/>
    <n v="175250.6"/>
    <n v="0.7722379533494963"/>
  </r>
  <r>
    <s v="ORD0181"/>
    <x v="142"/>
    <x v="3"/>
    <s v="DL"/>
    <x v="1"/>
    <x v="3"/>
    <x v="1"/>
    <s v="Electronics"/>
    <n v="9"/>
    <n v="41825"/>
    <n v="0"/>
    <n v="0"/>
    <n v="7661"/>
    <n v="376425"/>
    <n v="376425"/>
    <n v="66456"/>
    <n v="309969"/>
    <n v="0.82345487148834429"/>
  </r>
  <r>
    <s v="ORD0182"/>
    <x v="143"/>
    <x v="2"/>
    <s v="MH"/>
    <x v="4"/>
    <x v="2"/>
    <x v="1"/>
    <s v="Electronics"/>
    <n v="7"/>
    <n v="49766"/>
    <n v="0"/>
    <n v="0"/>
    <m/>
    <n v="348362"/>
    <n v="348362"/>
    <n v="20216"/>
    <n v="328146"/>
    <n v="0.94196841216895066"/>
  </r>
  <r>
    <s v="ORD0183"/>
    <x v="144"/>
    <x v="0"/>
    <s v="RJ"/>
    <x v="1"/>
    <x v="5"/>
    <x v="0"/>
    <s v="Furniture"/>
    <n v="8"/>
    <n v="19560"/>
    <m/>
    <n v="0"/>
    <n v="457"/>
    <n v="156480"/>
    <n v="156480"/>
    <n v="104320"/>
    <n v="52160"/>
    <n v="0.33333333333333331"/>
  </r>
  <r>
    <s v="ORD0184"/>
    <x v="145"/>
    <x v="2"/>
    <s v="DL"/>
    <x v="0"/>
    <x v="2"/>
    <x v="1"/>
    <s v="Electronics"/>
    <n v="4"/>
    <n v="7792"/>
    <m/>
    <n v="0"/>
    <m/>
    <n v="31168"/>
    <n v="31168"/>
    <n v="11552"/>
    <n v="19616"/>
    <n v="0.62936344969199176"/>
  </r>
  <r>
    <s v="ORD0185"/>
    <x v="146"/>
    <x v="1"/>
    <s v="TN"/>
    <x v="1"/>
    <x v="5"/>
    <x v="0"/>
    <s v="Furniture"/>
    <n v="8"/>
    <n v="45866"/>
    <n v="0"/>
    <n v="0"/>
    <m/>
    <n v="366928"/>
    <n v="366928"/>
    <n v="104320"/>
    <n v="262608"/>
    <n v="0.71569354205729729"/>
  </r>
  <r>
    <s v="ORD0186"/>
    <x v="147"/>
    <x v="2"/>
    <s v="KA"/>
    <x v="2"/>
    <x v="5"/>
    <x v="0"/>
    <s v="Furniture"/>
    <n v="3"/>
    <n v="24283"/>
    <n v="0.1"/>
    <n v="0.1"/>
    <n v="14736"/>
    <n v="72849"/>
    <n v="65564.100000000006"/>
    <n v="39120"/>
    <n v="26444.100000000006"/>
    <n v="0.40333200638764205"/>
  </r>
  <r>
    <s v="ORD0187"/>
    <x v="25"/>
    <x v="2"/>
    <s v="RJ"/>
    <x v="4"/>
    <x v="1"/>
    <x v="1"/>
    <s v="Electronics"/>
    <n v="10"/>
    <n v="6760"/>
    <n v="0.1"/>
    <n v="0.1"/>
    <n v="9179"/>
    <n v="67600"/>
    <n v="60840"/>
    <n v="192650"/>
    <n v="-131810"/>
    <n v="-2.1665023011176858"/>
  </r>
  <r>
    <s v="ORD0188"/>
    <x v="148"/>
    <x v="2"/>
    <s v="DL"/>
    <x v="4"/>
    <x v="4"/>
    <x v="1"/>
    <s v="Electronics"/>
    <n v="1"/>
    <n v="48528"/>
    <n v="0"/>
    <n v="0"/>
    <m/>
    <n v="48528"/>
    <n v="48528"/>
    <n v="28046"/>
    <n v="20482"/>
    <n v="0.42206561160567097"/>
  </r>
  <r>
    <s v="ORD0189"/>
    <x v="41"/>
    <x v="1"/>
    <s v="DL"/>
    <x v="1"/>
    <x v="2"/>
    <x v="1"/>
    <s v="Electronics"/>
    <n v="3"/>
    <n v="31539"/>
    <n v="0"/>
    <n v="0"/>
    <m/>
    <n v="94617"/>
    <n v="94617"/>
    <n v="8664"/>
    <n v="85953"/>
    <n v="0.90843083166872762"/>
  </r>
  <r>
    <s v="ORD0190"/>
    <x v="149"/>
    <x v="3"/>
    <s v="GJ"/>
    <x v="3"/>
    <x v="2"/>
    <x v="1"/>
    <s v="Electronics"/>
    <n v="8"/>
    <n v="26035"/>
    <n v="0.05"/>
    <n v="0.05"/>
    <m/>
    <n v="208280"/>
    <n v="197866"/>
    <n v="23104"/>
    <n v="174762"/>
    <n v="0.88323410793163049"/>
  </r>
  <r>
    <s v="ORD0191"/>
    <x v="150"/>
    <x v="0"/>
    <s v="TN"/>
    <x v="3"/>
    <x v="4"/>
    <x v="1"/>
    <s v="Electronics"/>
    <n v="4"/>
    <n v="3582"/>
    <n v="0.1"/>
    <n v="0.1"/>
    <m/>
    <n v="14328"/>
    <n v="12895.2"/>
    <n v="112184"/>
    <n v="-99288.8"/>
    <n v="-7.6996711954835906"/>
  </r>
  <r>
    <s v="ORD0192"/>
    <x v="132"/>
    <x v="1"/>
    <s v="RJ"/>
    <x v="2"/>
    <x v="2"/>
    <x v="1"/>
    <s v="Electronics"/>
    <n v="10"/>
    <n v="47543"/>
    <n v="0.1"/>
    <n v="0.1"/>
    <n v="6081"/>
    <n v="475430"/>
    <n v="427887"/>
    <n v="28880"/>
    <n v="399007"/>
    <n v="0.93250554468820035"/>
  </r>
  <r>
    <s v="ORD0193"/>
    <x v="143"/>
    <x v="0"/>
    <s v="MH"/>
    <x v="2"/>
    <x v="0"/>
    <x v="0"/>
    <s v="Furniture"/>
    <n v="1"/>
    <n v="47193"/>
    <n v="0.05"/>
    <n v="0.05"/>
    <n v="23111"/>
    <n v="47193"/>
    <n v="44833.35"/>
    <n v="13271"/>
    <n v="31562.35"/>
    <n v="0.70399267509565977"/>
  </r>
  <r>
    <s v="ORD0194"/>
    <x v="47"/>
    <x v="1"/>
    <s v="DL"/>
    <x v="3"/>
    <x v="4"/>
    <x v="1"/>
    <s v="Electronics"/>
    <n v="7"/>
    <n v="21477"/>
    <n v="0"/>
    <n v="0"/>
    <m/>
    <n v="150339"/>
    <n v="150339"/>
    <n v="196322"/>
    <n v="-45983"/>
    <n v="-0.30586208502118545"/>
  </r>
  <r>
    <s v="ORD0195"/>
    <x v="104"/>
    <x v="3"/>
    <s v="KA"/>
    <x v="1"/>
    <x v="4"/>
    <x v="1"/>
    <s v="Electronics"/>
    <n v="7"/>
    <n v="2621"/>
    <n v="0"/>
    <n v="0"/>
    <n v="3250"/>
    <n v="18347"/>
    <n v="18347"/>
    <n v="196322"/>
    <n v="-177975"/>
    <n v="-9.7004959938954602"/>
  </r>
  <r>
    <s v="ORD0196"/>
    <x v="100"/>
    <x v="1"/>
    <s v="GJ"/>
    <x v="1"/>
    <x v="0"/>
    <x v="0"/>
    <s v="Furniture"/>
    <n v="9"/>
    <n v="14328"/>
    <n v="0.05"/>
    <n v="0.05"/>
    <m/>
    <n v="128952"/>
    <n v="122504.4"/>
    <n v="119439"/>
    <n v="3065.3999999999942"/>
    <n v="2.5022774692174274E-2"/>
  </r>
  <r>
    <s v="ORD0197"/>
    <x v="151"/>
    <x v="1"/>
    <s v="DL"/>
    <x v="2"/>
    <x v="2"/>
    <x v="1"/>
    <s v="Electronics"/>
    <n v="7"/>
    <n v="17010"/>
    <n v="0"/>
    <n v="0"/>
    <m/>
    <n v="119070"/>
    <n v="119070"/>
    <n v="20216"/>
    <n v="98854"/>
    <n v="0.83021751910640795"/>
  </r>
  <r>
    <s v="ORD0198"/>
    <x v="152"/>
    <x v="1"/>
    <s v="TN"/>
    <x v="2"/>
    <x v="3"/>
    <x v="1"/>
    <s v="Electronics"/>
    <n v="10"/>
    <n v="35586"/>
    <n v="0.05"/>
    <n v="0.05"/>
    <m/>
    <n v="355860"/>
    <n v="338067"/>
    <n v="73840"/>
    <n v="264227"/>
    <n v="0.7815817574622782"/>
  </r>
  <r>
    <s v="ORD0199"/>
    <x v="92"/>
    <x v="1"/>
    <s v="MH"/>
    <x v="3"/>
    <x v="1"/>
    <x v="1"/>
    <s v="Electronics"/>
    <n v="1"/>
    <n v="34969"/>
    <n v="0.05"/>
    <n v="0.05"/>
    <n v="28594"/>
    <n v="34969"/>
    <n v="33220.550000000003"/>
    <n v="19265"/>
    <n v="13955.550000000003"/>
    <n v="0.42008786729900621"/>
  </r>
  <r>
    <s v="ORD0200"/>
    <x v="153"/>
    <x v="1"/>
    <s v="TN"/>
    <x v="2"/>
    <x v="2"/>
    <x v="1"/>
    <s v="Electronics"/>
    <n v="7"/>
    <n v="24401"/>
    <n v="0.05"/>
    <n v="0.05"/>
    <m/>
    <n v="170807"/>
    <n v="162266.65"/>
    <n v="20216"/>
    <n v="142050.65"/>
    <n v="0.87541494201057335"/>
  </r>
  <r>
    <s v="ORD0201"/>
    <x v="123"/>
    <x v="2"/>
    <s v="MH"/>
    <x v="1"/>
    <x v="0"/>
    <x v="0"/>
    <s v="Furniture"/>
    <n v="10"/>
    <n v="26813"/>
    <n v="0.1"/>
    <n v="0.1"/>
    <n v="9915"/>
    <n v="268130"/>
    <n v="241317"/>
    <n v="132710"/>
    <n v="108607"/>
    <n v="0.45005946535055552"/>
  </r>
  <r>
    <s v="ORD0202"/>
    <x v="100"/>
    <x v="2"/>
    <s v="DL"/>
    <x v="3"/>
    <x v="4"/>
    <x v="1"/>
    <s v="Electronics"/>
    <n v="9"/>
    <n v="10100"/>
    <n v="0"/>
    <n v="0"/>
    <m/>
    <n v="90900"/>
    <n v="90900"/>
    <n v="252414"/>
    <n v="-161514"/>
    <n v="-1.7768316831683169"/>
  </r>
  <r>
    <s v="ORD0203"/>
    <x v="16"/>
    <x v="2"/>
    <s v="MH"/>
    <x v="4"/>
    <x v="0"/>
    <x v="0"/>
    <s v="Furniture"/>
    <n v="6"/>
    <n v="14289"/>
    <n v="0.1"/>
    <n v="0.1"/>
    <n v="6239"/>
    <n v="85734"/>
    <n v="77160.600000000006"/>
    <n v="79626"/>
    <n v="-2465.3999999999942"/>
    <n v="-3.1951540034680835E-2"/>
  </r>
  <r>
    <s v="ORD0204"/>
    <x v="154"/>
    <x v="0"/>
    <s v="MH"/>
    <x v="1"/>
    <x v="2"/>
    <x v="1"/>
    <s v="Electronics"/>
    <n v="7"/>
    <n v="33872"/>
    <m/>
    <n v="0"/>
    <n v="27622"/>
    <n v="237104"/>
    <n v="237104"/>
    <n v="20216"/>
    <n v="216888"/>
    <n v="0.91473783656117147"/>
  </r>
  <r>
    <s v="ORD0205"/>
    <x v="155"/>
    <x v="3"/>
    <s v="DL"/>
    <x v="2"/>
    <x v="5"/>
    <x v="0"/>
    <s v="Furniture"/>
    <n v="10"/>
    <n v="3297"/>
    <n v="0"/>
    <n v="0"/>
    <n v="19422"/>
    <n v="32970"/>
    <n v="32970"/>
    <n v="130400"/>
    <n v="-97430"/>
    <n v="-2.9551107067030635"/>
  </r>
  <r>
    <s v="ORD0206"/>
    <x v="123"/>
    <x v="2"/>
    <s v="KA"/>
    <x v="3"/>
    <x v="0"/>
    <x v="0"/>
    <s v="Furniture"/>
    <n v="8"/>
    <n v="3460"/>
    <m/>
    <n v="0"/>
    <n v="16203"/>
    <n v="27680"/>
    <n v="27680"/>
    <n v="106168"/>
    <n v="-78488"/>
    <n v="-2.8355491329479769"/>
  </r>
  <r>
    <s v="ORD0207"/>
    <x v="156"/>
    <x v="1"/>
    <s v="GJ"/>
    <x v="4"/>
    <x v="3"/>
    <x v="1"/>
    <s v="Electronics"/>
    <n v="9"/>
    <n v="26029"/>
    <m/>
    <n v="0"/>
    <m/>
    <n v="234261"/>
    <n v="234261"/>
    <n v="66456"/>
    <n v="167805"/>
    <n v="0.71631641630489074"/>
  </r>
  <r>
    <s v="ORD0208"/>
    <x v="157"/>
    <x v="3"/>
    <s v="KA"/>
    <x v="2"/>
    <x v="0"/>
    <x v="0"/>
    <s v="Furniture"/>
    <n v="5"/>
    <n v="10078"/>
    <m/>
    <n v="0"/>
    <m/>
    <n v="50390"/>
    <n v="50390"/>
    <n v="66355"/>
    <n v="-15965"/>
    <n v="-0.31682873586028976"/>
  </r>
  <r>
    <s v="ORD0209"/>
    <x v="158"/>
    <x v="1"/>
    <s v="MH"/>
    <x v="1"/>
    <x v="1"/>
    <x v="1"/>
    <s v="Electronics"/>
    <n v="2"/>
    <n v="2767"/>
    <m/>
    <n v="0"/>
    <n v="9232"/>
    <n v="5534"/>
    <n v="5534"/>
    <n v="38530"/>
    <n v="-32996"/>
    <n v="-5.962414166967835"/>
  </r>
  <r>
    <s v="ORD0210"/>
    <x v="159"/>
    <x v="2"/>
    <s v="MH"/>
    <x v="2"/>
    <x v="3"/>
    <x v="1"/>
    <s v="Electronics"/>
    <n v="3"/>
    <n v="571"/>
    <m/>
    <n v="0"/>
    <n v="15444"/>
    <n v="1713"/>
    <n v="1713"/>
    <n v="22152"/>
    <n v="-20439"/>
    <n v="-11.93169877408056"/>
  </r>
  <r>
    <s v="ORD0211"/>
    <x v="160"/>
    <x v="0"/>
    <s v="GJ"/>
    <x v="2"/>
    <x v="2"/>
    <x v="1"/>
    <s v="Electronics"/>
    <n v="3"/>
    <n v="11967"/>
    <n v="0"/>
    <n v="0"/>
    <n v="29281"/>
    <n v="35901"/>
    <n v="35901"/>
    <n v="8664"/>
    <n v="27237"/>
    <n v="0.75866967493941673"/>
  </r>
  <r>
    <s v="ORD0212"/>
    <x v="95"/>
    <x v="1"/>
    <s v="TN"/>
    <x v="4"/>
    <x v="4"/>
    <x v="1"/>
    <s v="Electronics"/>
    <n v="8"/>
    <n v="37104"/>
    <n v="0.1"/>
    <n v="0.1"/>
    <n v="5330"/>
    <n v="296832"/>
    <n v="267148.79999999999"/>
    <n v="224368"/>
    <n v="42780.799999999988"/>
    <n v="0.16013846964687842"/>
  </r>
  <r>
    <s v="ORD0213"/>
    <x v="161"/>
    <x v="0"/>
    <s v="MH"/>
    <x v="1"/>
    <x v="3"/>
    <x v="1"/>
    <s v="Electronics"/>
    <n v="4"/>
    <n v="49200"/>
    <n v="0.05"/>
    <n v="0.05"/>
    <m/>
    <n v="196800"/>
    <n v="186960"/>
    <n v="29536"/>
    <n v="157424"/>
    <n v="0.84201968335472832"/>
  </r>
  <r>
    <s v="ORD0214"/>
    <x v="17"/>
    <x v="3"/>
    <s v="RJ"/>
    <x v="1"/>
    <x v="3"/>
    <x v="1"/>
    <s v="Electronics"/>
    <n v="7"/>
    <n v="25907"/>
    <m/>
    <n v="0"/>
    <n v="12536"/>
    <n v="181349"/>
    <n v="181349"/>
    <n v="51688"/>
    <n v="129661"/>
    <n v="0.71498050719882655"/>
  </r>
  <r>
    <s v="ORD0215"/>
    <x v="111"/>
    <x v="2"/>
    <s v="DL"/>
    <x v="0"/>
    <x v="2"/>
    <x v="1"/>
    <s v="Electronics"/>
    <n v="5"/>
    <n v="7015"/>
    <m/>
    <n v="0"/>
    <m/>
    <n v="35075"/>
    <n v="35075"/>
    <n v="14440"/>
    <n v="20635"/>
    <n v="0.58831076265146121"/>
  </r>
  <r>
    <s v="ORD0216"/>
    <x v="162"/>
    <x v="3"/>
    <s v="KA"/>
    <x v="2"/>
    <x v="3"/>
    <x v="1"/>
    <s v="Electronics"/>
    <n v="9"/>
    <n v="4662"/>
    <n v="0"/>
    <n v="0"/>
    <m/>
    <n v="41958"/>
    <n v="41958"/>
    <n v="66456"/>
    <n v="-24498"/>
    <n v="-0.58386958386958387"/>
  </r>
  <r>
    <s v="ORD0217"/>
    <x v="163"/>
    <x v="2"/>
    <s v="MH"/>
    <x v="2"/>
    <x v="5"/>
    <x v="0"/>
    <s v="Furniture"/>
    <n v="3"/>
    <n v="41997"/>
    <m/>
    <n v="0"/>
    <m/>
    <n v="125991"/>
    <n v="125991"/>
    <n v="39120"/>
    <n v="86871"/>
    <n v="0.68950163106888585"/>
  </r>
  <r>
    <s v="ORD0218"/>
    <x v="164"/>
    <x v="1"/>
    <s v="DL"/>
    <x v="2"/>
    <x v="0"/>
    <x v="0"/>
    <s v="Furniture"/>
    <n v="5"/>
    <n v="21483"/>
    <n v="0.1"/>
    <n v="0.1"/>
    <m/>
    <n v="107415"/>
    <n v="96673.5"/>
    <n v="66355"/>
    <n v="30318.5"/>
    <n v="0.31361748566049641"/>
  </r>
  <r>
    <s v="ORD0219"/>
    <x v="165"/>
    <x v="3"/>
    <s v="MH"/>
    <x v="3"/>
    <x v="3"/>
    <x v="1"/>
    <s v="Electronics"/>
    <n v="3"/>
    <n v="12363"/>
    <n v="0.1"/>
    <n v="0.1"/>
    <n v="4104"/>
    <n v="37089"/>
    <n v="33380.1"/>
    <n v="22152"/>
    <n v="11228.099999999999"/>
    <n v="0.33637107138684424"/>
  </r>
  <r>
    <s v="ORD0220"/>
    <x v="58"/>
    <x v="2"/>
    <s v="RJ"/>
    <x v="0"/>
    <x v="1"/>
    <x v="1"/>
    <s v="Electronics"/>
    <n v="6"/>
    <n v="44680"/>
    <n v="0.1"/>
    <n v="0.1"/>
    <n v="17301"/>
    <n v="268080"/>
    <n v="241272"/>
    <n v="115590"/>
    <n v="125682"/>
    <n v="0.52091415497861338"/>
  </r>
  <r>
    <s v="ORD0221"/>
    <x v="66"/>
    <x v="1"/>
    <s v="MH"/>
    <x v="3"/>
    <x v="5"/>
    <x v="0"/>
    <s v="Furniture"/>
    <n v="8"/>
    <n v="12220"/>
    <n v="0.05"/>
    <n v="0.05"/>
    <m/>
    <n v="97760"/>
    <n v="92872"/>
    <n v="104320"/>
    <n v="-11448"/>
    <n v="-0.12326643121715911"/>
  </r>
  <r>
    <s v="ORD0222"/>
    <x v="96"/>
    <x v="2"/>
    <s v="MH"/>
    <x v="0"/>
    <x v="1"/>
    <x v="1"/>
    <s v="Electronics"/>
    <n v="2"/>
    <n v="16508"/>
    <m/>
    <n v="0"/>
    <m/>
    <n v="33016"/>
    <n v="33016"/>
    <n v="38530"/>
    <n v="-5514"/>
    <n v="-0.1670099345771747"/>
  </r>
  <r>
    <s v="ORD0223"/>
    <x v="166"/>
    <x v="3"/>
    <s v="GJ"/>
    <x v="0"/>
    <x v="3"/>
    <x v="1"/>
    <s v="Electronics"/>
    <n v="1"/>
    <n v="21904"/>
    <n v="0"/>
    <n v="0"/>
    <n v="22341"/>
    <n v="21904"/>
    <n v="21904"/>
    <n v="7384"/>
    <n v="14520"/>
    <n v="0.6628926223520818"/>
  </r>
  <r>
    <s v="ORD0224"/>
    <x v="167"/>
    <x v="0"/>
    <s v="DL"/>
    <x v="2"/>
    <x v="5"/>
    <x v="0"/>
    <s v="Furniture"/>
    <n v="6"/>
    <n v="31019"/>
    <n v="0.1"/>
    <n v="0.1"/>
    <n v="21313"/>
    <n v="186114"/>
    <n v="167502.6"/>
    <n v="78240"/>
    <n v="89262.6"/>
    <n v="0.53290277285248111"/>
  </r>
  <r>
    <s v="ORD0225"/>
    <x v="141"/>
    <x v="3"/>
    <s v="MH"/>
    <x v="2"/>
    <x v="0"/>
    <x v="0"/>
    <s v="Furniture"/>
    <n v="6"/>
    <n v="37169"/>
    <n v="0.05"/>
    <n v="0.05"/>
    <m/>
    <n v="223014"/>
    <n v="211863.3"/>
    <n v="79626"/>
    <n v="132237.29999999999"/>
    <n v="0.62416331662916602"/>
  </r>
  <r>
    <s v="ORD0226"/>
    <x v="168"/>
    <x v="0"/>
    <s v="TN"/>
    <x v="4"/>
    <x v="5"/>
    <x v="0"/>
    <s v="Furniture"/>
    <n v="8"/>
    <n v="13152"/>
    <n v="0.05"/>
    <n v="0.05"/>
    <n v="7481"/>
    <n v="105216"/>
    <n v="99955.199999999997"/>
    <n v="104320"/>
    <n v="-4364.8000000000029"/>
    <n v="-4.366756306825461E-2"/>
  </r>
  <r>
    <s v="ORD0227"/>
    <x v="103"/>
    <x v="2"/>
    <s v="DL"/>
    <x v="2"/>
    <x v="0"/>
    <x v="0"/>
    <s v="Furniture"/>
    <n v="3"/>
    <n v="2127"/>
    <n v="0.1"/>
    <n v="0.1"/>
    <n v="25757"/>
    <n v="6381"/>
    <n v="5742.9"/>
    <n v="39813"/>
    <n v="-34070.1"/>
    <n v="-5.9325602047745916"/>
  </r>
  <r>
    <s v="ORD0228"/>
    <x v="169"/>
    <x v="0"/>
    <s v="GJ"/>
    <x v="2"/>
    <x v="5"/>
    <x v="0"/>
    <s v="Furniture"/>
    <n v="2"/>
    <n v="49195"/>
    <n v="0.05"/>
    <n v="0.05"/>
    <n v="2164"/>
    <n v="98390"/>
    <n v="93470.5"/>
    <n v="26080"/>
    <n v="67390.5"/>
    <n v="0.72098148613733748"/>
  </r>
  <r>
    <s v="ORD0229"/>
    <x v="63"/>
    <x v="2"/>
    <s v="GJ"/>
    <x v="4"/>
    <x v="1"/>
    <x v="1"/>
    <s v="Electronics"/>
    <n v="3"/>
    <n v="20754"/>
    <n v="0.05"/>
    <n v="0.05"/>
    <n v="8828"/>
    <n v="62262"/>
    <n v="59148.9"/>
    <n v="57795"/>
    <n v="1353.9000000000015"/>
    <n v="2.2889690256285431E-2"/>
  </r>
  <r>
    <s v="ORD0230"/>
    <x v="2"/>
    <x v="2"/>
    <s v="KA"/>
    <x v="0"/>
    <x v="5"/>
    <x v="0"/>
    <s v="Furniture"/>
    <n v="6"/>
    <n v="41060"/>
    <n v="0.05"/>
    <n v="0.05"/>
    <n v="1527"/>
    <n v="246360"/>
    <n v="234042"/>
    <n v="78240"/>
    <n v="155802"/>
    <n v="0.66570102802061171"/>
  </r>
  <r>
    <s v="ORD0231"/>
    <x v="89"/>
    <x v="0"/>
    <s v="TN"/>
    <x v="2"/>
    <x v="4"/>
    <x v="1"/>
    <s v="Electronics"/>
    <n v="4"/>
    <n v="9299"/>
    <n v="0.05"/>
    <n v="0.05"/>
    <m/>
    <n v="37196"/>
    <n v="35336.199999999997"/>
    <n v="112184"/>
    <n v="-76847.8"/>
    <n v="-2.1747612929517044"/>
  </r>
  <r>
    <s v="ORD0232"/>
    <x v="112"/>
    <x v="3"/>
    <s v="GJ"/>
    <x v="4"/>
    <x v="1"/>
    <x v="1"/>
    <s v="Electronics"/>
    <n v="6"/>
    <n v="6150"/>
    <n v="0"/>
    <n v="0"/>
    <m/>
    <n v="36900"/>
    <n v="36900"/>
    <n v="115590"/>
    <n v="-78690"/>
    <n v="-2.1325203252032519"/>
  </r>
  <r>
    <s v="ORD0233"/>
    <x v="170"/>
    <x v="0"/>
    <s v="TN"/>
    <x v="2"/>
    <x v="5"/>
    <x v="0"/>
    <s v="Furniture"/>
    <n v="2"/>
    <n v="49764"/>
    <m/>
    <n v="0"/>
    <n v="14278"/>
    <n v="99528"/>
    <n v="99528"/>
    <n v="26080"/>
    <n v="73448"/>
    <n v="0.73796318623904833"/>
  </r>
  <r>
    <s v="ORD0234"/>
    <x v="171"/>
    <x v="1"/>
    <s v="TN"/>
    <x v="0"/>
    <x v="1"/>
    <x v="1"/>
    <s v="Electronics"/>
    <n v="9"/>
    <n v="32953"/>
    <n v="0"/>
    <n v="0"/>
    <n v="25330"/>
    <n v="296577"/>
    <n v="296577"/>
    <n v="173385"/>
    <n v="123192"/>
    <n v="0.41537947986526264"/>
  </r>
  <r>
    <s v="ORD0235"/>
    <x v="111"/>
    <x v="3"/>
    <s v="GJ"/>
    <x v="1"/>
    <x v="3"/>
    <x v="1"/>
    <s v="Electronics"/>
    <n v="1"/>
    <n v="41318"/>
    <m/>
    <n v="0"/>
    <m/>
    <n v="41318"/>
    <n v="41318"/>
    <n v="7384"/>
    <n v="33934"/>
    <n v="0.82128854252383954"/>
  </r>
  <r>
    <s v="ORD0236"/>
    <x v="21"/>
    <x v="1"/>
    <s v="TN"/>
    <x v="3"/>
    <x v="4"/>
    <x v="1"/>
    <s v="Electronics"/>
    <n v="5"/>
    <n v="21874"/>
    <n v="0"/>
    <n v="0"/>
    <n v="29442"/>
    <n v="109370"/>
    <n v="109370"/>
    <n v="140230"/>
    <n v="-30860"/>
    <n v="-0.28216147023863947"/>
  </r>
  <r>
    <s v="ORD0237"/>
    <x v="172"/>
    <x v="2"/>
    <s v="RJ"/>
    <x v="0"/>
    <x v="5"/>
    <x v="0"/>
    <s v="Furniture"/>
    <n v="4"/>
    <n v="2590"/>
    <m/>
    <n v="0"/>
    <n v="21250"/>
    <n v="10360"/>
    <n v="10360"/>
    <n v="52160"/>
    <n v="-41800"/>
    <n v="-4.0347490347490345"/>
  </r>
  <r>
    <s v="ORD0238"/>
    <x v="107"/>
    <x v="3"/>
    <s v="GJ"/>
    <x v="4"/>
    <x v="1"/>
    <x v="1"/>
    <s v="Electronics"/>
    <n v="4"/>
    <n v="44635"/>
    <n v="0"/>
    <n v="0"/>
    <m/>
    <n v="178540"/>
    <n v="178540"/>
    <n v="77060"/>
    <n v="101480"/>
    <n v="0.56838803629438783"/>
  </r>
  <r>
    <s v="ORD0239"/>
    <x v="159"/>
    <x v="2"/>
    <s v="KA"/>
    <x v="3"/>
    <x v="1"/>
    <x v="1"/>
    <s v="Electronics"/>
    <n v="5"/>
    <n v="41238"/>
    <n v="0"/>
    <n v="0"/>
    <n v="16162"/>
    <n v="206190"/>
    <n v="206190"/>
    <n v="96325"/>
    <n v="109865"/>
    <n v="0.53283379407342746"/>
  </r>
  <r>
    <s v="ORD0240"/>
    <x v="52"/>
    <x v="2"/>
    <s v="GJ"/>
    <x v="0"/>
    <x v="5"/>
    <x v="0"/>
    <s v="Furniture"/>
    <n v="8"/>
    <n v="31753"/>
    <n v="0.1"/>
    <n v="0.1"/>
    <n v="6886"/>
    <n v="254024"/>
    <n v="228621.6"/>
    <n v="104320"/>
    <n v="124301.6"/>
    <n v="0.54370015781535952"/>
  </r>
  <r>
    <s v="ORD0241"/>
    <x v="173"/>
    <x v="1"/>
    <s v="TN"/>
    <x v="1"/>
    <x v="4"/>
    <x v="1"/>
    <s v="Electronics"/>
    <n v="7"/>
    <n v="2314"/>
    <m/>
    <n v="0"/>
    <n v="28739"/>
    <n v="16198"/>
    <n v="16198"/>
    <n v="196322"/>
    <n v="-180124"/>
    <n v="-11.120138288677614"/>
  </r>
  <r>
    <s v="ORD0242"/>
    <x v="174"/>
    <x v="0"/>
    <s v="GJ"/>
    <x v="2"/>
    <x v="5"/>
    <x v="0"/>
    <s v="Furniture"/>
    <n v="8"/>
    <n v="5742"/>
    <n v="0.05"/>
    <n v="0.05"/>
    <m/>
    <n v="45936"/>
    <n v="43639.199999999997"/>
    <n v="104320"/>
    <n v="-60680.800000000003"/>
    <n v="-1.3905112834332436"/>
  </r>
  <r>
    <s v="ORD0243"/>
    <x v="17"/>
    <x v="1"/>
    <s v="KA"/>
    <x v="4"/>
    <x v="3"/>
    <x v="1"/>
    <s v="Electronics"/>
    <n v="1"/>
    <n v="7341"/>
    <m/>
    <n v="0"/>
    <m/>
    <n v="7341"/>
    <n v="7341"/>
    <n v="7384"/>
    <n v="-43"/>
    <n v="-5.8575126004631519E-3"/>
  </r>
  <r>
    <s v="ORD0244"/>
    <x v="68"/>
    <x v="3"/>
    <s v="DL"/>
    <x v="1"/>
    <x v="1"/>
    <x v="1"/>
    <s v="Electronics"/>
    <n v="5"/>
    <n v="14006"/>
    <m/>
    <n v="0"/>
    <m/>
    <n v="70030"/>
    <n v="70030"/>
    <n v="96325"/>
    <n v="-26295"/>
    <n v="-0.37548193631300869"/>
  </r>
  <r>
    <s v="ORD0245"/>
    <x v="137"/>
    <x v="2"/>
    <s v="DL"/>
    <x v="2"/>
    <x v="3"/>
    <x v="1"/>
    <s v="Electronics"/>
    <n v="5"/>
    <n v="33256"/>
    <n v="0"/>
    <n v="0"/>
    <n v="10559"/>
    <n v="166280"/>
    <n v="166280"/>
    <n v="36920"/>
    <n v="129360"/>
    <n v="0.7779648785181621"/>
  </r>
  <r>
    <s v="ORD0246"/>
    <x v="175"/>
    <x v="1"/>
    <s v="GJ"/>
    <x v="3"/>
    <x v="4"/>
    <x v="1"/>
    <s v="Electronics"/>
    <n v="3"/>
    <n v="40733"/>
    <n v="0.05"/>
    <n v="0.05"/>
    <m/>
    <n v="122199"/>
    <n v="116089.05"/>
    <n v="84138"/>
    <n v="31951.050000000003"/>
    <n v="0.27522880064915684"/>
  </r>
  <r>
    <s v="ORD0247"/>
    <x v="176"/>
    <x v="0"/>
    <s v="GJ"/>
    <x v="1"/>
    <x v="5"/>
    <x v="0"/>
    <s v="Furniture"/>
    <n v="10"/>
    <n v="4552"/>
    <n v="0"/>
    <n v="0"/>
    <n v="16220"/>
    <n v="45520"/>
    <n v="45520"/>
    <n v="130400"/>
    <n v="-84880"/>
    <n v="-1.8646748681898067"/>
  </r>
  <r>
    <s v="ORD0248"/>
    <x v="28"/>
    <x v="1"/>
    <s v="MH"/>
    <x v="1"/>
    <x v="2"/>
    <x v="1"/>
    <s v="Electronics"/>
    <n v="2"/>
    <n v="14608"/>
    <n v="0.1"/>
    <n v="0.1"/>
    <n v="26031"/>
    <n v="29216"/>
    <n v="26294.400000000001"/>
    <n v="5776"/>
    <n v="20518.400000000001"/>
    <n v="0.78033345503225027"/>
  </r>
  <r>
    <s v="ORD0249"/>
    <x v="177"/>
    <x v="0"/>
    <s v="TN"/>
    <x v="2"/>
    <x v="1"/>
    <x v="1"/>
    <s v="Electronics"/>
    <n v="10"/>
    <n v="1400"/>
    <n v="0"/>
    <n v="0"/>
    <n v="2038"/>
    <n v="14000"/>
    <n v="14000"/>
    <n v="192650"/>
    <n v="-178650"/>
    <n v="-12.760714285714286"/>
  </r>
  <r>
    <s v="ORD0250"/>
    <x v="178"/>
    <x v="2"/>
    <s v="KA"/>
    <x v="0"/>
    <x v="3"/>
    <x v="1"/>
    <s v="Electronics"/>
    <n v="8"/>
    <n v="16258"/>
    <n v="0.1"/>
    <n v="0.1"/>
    <n v="1521"/>
    <n v="130064"/>
    <n v="117057.60000000001"/>
    <n v="59072"/>
    <n v="57985.600000000006"/>
    <n v="0.49535954948674843"/>
  </r>
  <r>
    <s v="ORD0251"/>
    <x v="36"/>
    <x v="0"/>
    <s v="RJ"/>
    <x v="3"/>
    <x v="3"/>
    <x v="1"/>
    <s v="Electronics"/>
    <n v="3"/>
    <n v="7618"/>
    <m/>
    <n v="0"/>
    <n v="22100"/>
    <n v="22854"/>
    <n v="22854"/>
    <n v="22152"/>
    <n v="702"/>
    <n v="3.0716723549488054E-2"/>
  </r>
  <r>
    <s v="ORD0252"/>
    <x v="179"/>
    <x v="3"/>
    <s v="KA"/>
    <x v="3"/>
    <x v="2"/>
    <x v="1"/>
    <s v="Electronics"/>
    <n v="4"/>
    <n v="18491"/>
    <n v="0"/>
    <n v="0"/>
    <m/>
    <n v="73964"/>
    <n v="73964"/>
    <n v="11552"/>
    <n v="62412"/>
    <n v="0.84381591044291815"/>
  </r>
  <r>
    <s v="ORD0253"/>
    <x v="179"/>
    <x v="3"/>
    <s v="GJ"/>
    <x v="4"/>
    <x v="5"/>
    <x v="0"/>
    <s v="Furniture"/>
    <n v="6"/>
    <n v="39319"/>
    <m/>
    <n v="0"/>
    <m/>
    <n v="235914"/>
    <n v="235914"/>
    <n v="78240"/>
    <n v="157674"/>
    <n v="0.66835372211907729"/>
  </r>
  <r>
    <s v="ORD0254"/>
    <x v="143"/>
    <x v="3"/>
    <s v="RJ"/>
    <x v="2"/>
    <x v="1"/>
    <x v="1"/>
    <s v="Electronics"/>
    <n v="8"/>
    <n v="29170"/>
    <n v="0"/>
    <n v="0"/>
    <n v="12380"/>
    <n v="233360"/>
    <n v="233360"/>
    <n v="154120"/>
    <n v="79240"/>
    <n v="0.33956119300651355"/>
  </r>
  <r>
    <s v="ORD0255"/>
    <x v="180"/>
    <x v="0"/>
    <s v="KA"/>
    <x v="2"/>
    <x v="1"/>
    <x v="1"/>
    <s v="Electronics"/>
    <n v="7"/>
    <n v="35912"/>
    <n v="0"/>
    <n v="0"/>
    <n v="22723"/>
    <n v="251384"/>
    <n v="251384"/>
    <n v="134855"/>
    <n v="116529"/>
    <n v="0.46354978837157496"/>
  </r>
  <r>
    <s v="ORD0256"/>
    <x v="181"/>
    <x v="1"/>
    <s v="DL"/>
    <x v="3"/>
    <x v="3"/>
    <x v="1"/>
    <s v="Electronics"/>
    <n v="2"/>
    <n v="29764"/>
    <n v="0.05"/>
    <n v="0.05"/>
    <n v="10578"/>
    <n v="59528"/>
    <n v="56551.6"/>
    <n v="14768"/>
    <n v="41783.599999999999"/>
    <n v="0.7388579633467488"/>
  </r>
  <r>
    <s v="ORD0257"/>
    <x v="54"/>
    <x v="0"/>
    <s v="MH"/>
    <x v="4"/>
    <x v="5"/>
    <x v="0"/>
    <s v="Furniture"/>
    <n v="1"/>
    <n v="38810"/>
    <m/>
    <n v="0"/>
    <n v="29860"/>
    <n v="38810"/>
    <n v="38810"/>
    <n v="13040"/>
    <n v="25770"/>
    <n v="0.66400412264880182"/>
  </r>
  <r>
    <s v="ORD0258"/>
    <x v="105"/>
    <x v="1"/>
    <s v="DL"/>
    <x v="1"/>
    <x v="2"/>
    <x v="1"/>
    <s v="Electronics"/>
    <n v="7"/>
    <n v="14517"/>
    <m/>
    <n v="0"/>
    <m/>
    <n v="101619"/>
    <n v="101619"/>
    <n v="20216"/>
    <n v="81403"/>
    <n v="0.8010608252393745"/>
  </r>
  <r>
    <s v="ORD0259"/>
    <x v="19"/>
    <x v="2"/>
    <s v="TN"/>
    <x v="4"/>
    <x v="1"/>
    <x v="1"/>
    <s v="Electronics"/>
    <n v="1"/>
    <n v="21855"/>
    <n v="0.1"/>
    <n v="0.1"/>
    <m/>
    <n v="21855"/>
    <n v="19669.5"/>
    <n v="19265"/>
    <n v="404.5"/>
    <n v="2.0564833879864765E-2"/>
  </r>
  <r>
    <s v="ORD0260"/>
    <x v="182"/>
    <x v="3"/>
    <s v="GJ"/>
    <x v="1"/>
    <x v="4"/>
    <x v="1"/>
    <s v="Electronics"/>
    <n v="10"/>
    <n v="38029"/>
    <n v="0"/>
    <n v="0"/>
    <m/>
    <n v="380290"/>
    <n v="380290"/>
    <n v="280460"/>
    <n v="99830"/>
    <n v="0.26251018959215333"/>
  </r>
  <r>
    <s v="ORD0261"/>
    <x v="58"/>
    <x v="0"/>
    <s v="TN"/>
    <x v="3"/>
    <x v="4"/>
    <x v="1"/>
    <s v="Electronics"/>
    <n v="1"/>
    <n v="35663"/>
    <n v="0.1"/>
    <n v="0.1"/>
    <m/>
    <n v="35663"/>
    <n v="32096.7"/>
    <n v="28046"/>
    <n v="4050.7000000000007"/>
    <n v="0.12620300529337908"/>
  </r>
  <r>
    <s v="ORD0262"/>
    <x v="183"/>
    <x v="1"/>
    <s v="TN"/>
    <x v="3"/>
    <x v="5"/>
    <x v="0"/>
    <s v="Furniture"/>
    <n v="8"/>
    <n v="49032"/>
    <n v="0.1"/>
    <n v="0.1"/>
    <m/>
    <n v="392256"/>
    <n v="353030.40000000002"/>
    <n v="104320"/>
    <n v="248710.40000000002"/>
    <n v="0.70450136872065405"/>
  </r>
  <r>
    <s v="ORD0263"/>
    <x v="123"/>
    <x v="1"/>
    <s v="TN"/>
    <x v="1"/>
    <x v="1"/>
    <x v="1"/>
    <s v="Electronics"/>
    <n v="1"/>
    <n v="9951"/>
    <m/>
    <n v="0"/>
    <m/>
    <n v="9951"/>
    <n v="9951"/>
    <n v="19265"/>
    <n v="-9314"/>
    <n v="-0.93598633303185608"/>
  </r>
  <r>
    <s v="ORD0264"/>
    <x v="184"/>
    <x v="0"/>
    <s v="DL"/>
    <x v="0"/>
    <x v="1"/>
    <x v="1"/>
    <s v="Electronics"/>
    <n v="7"/>
    <n v="5474"/>
    <n v="0"/>
    <n v="0"/>
    <n v="27707"/>
    <n v="38318"/>
    <n v="38318"/>
    <n v="134855"/>
    <n v="-96537"/>
    <n v="-2.5193642674461088"/>
  </r>
  <r>
    <s v="ORD0265"/>
    <x v="165"/>
    <x v="1"/>
    <s v="MH"/>
    <x v="0"/>
    <x v="2"/>
    <x v="1"/>
    <s v="Electronics"/>
    <n v="9"/>
    <n v="25072"/>
    <n v="0"/>
    <n v="0"/>
    <m/>
    <n v="225648"/>
    <n v="225648"/>
    <n v="25992"/>
    <n v="199656"/>
    <n v="0.88481174218251435"/>
  </r>
  <r>
    <s v="ORD0266"/>
    <x v="32"/>
    <x v="1"/>
    <s v="KA"/>
    <x v="0"/>
    <x v="0"/>
    <x v="0"/>
    <s v="Furniture"/>
    <n v="10"/>
    <n v="33237"/>
    <n v="0.05"/>
    <n v="0.05"/>
    <m/>
    <n v="332370"/>
    <n v="315751.5"/>
    <n v="132710"/>
    <n v="183041.5"/>
    <n v="0.57970112572703536"/>
  </r>
  <r>
    <s v="ORD0267"/>
    <x v="3"/>
    <x v="3"/>
    <s v="KA"/>
    <x v="0"/>
    <x v="1"/>
    <x v="1"/>
    <s v="Electronics"/>
    <n v="1"/>
    <n v="8086"/>
    <n v="0.05"/>
    <n v="0.05"/>
    <m/>
    <n v="8086"/>
    <n v="7681.7"/>
    <n v="19265"/>
    <n v="-11583.3"/>
    <n v="-1.5079084056914485"/>
  </r>
  <r>
    <s v="ORD0268"/>
    <x v="31"/>
    <x v="0"/>
    <s v="TN"/>
    <x v="2"/>
    <x v="4"/>
    <x v="1"/>
    <s v="Electronics"/>
    <n v="2"/>
    <n v="46103"/>
    <m/>
    <n v="0"/>
    <n v="12440"/>
    <n v="92206"/>
    <n v="92206"/>
    <n v="56092"/>
    <n v="36114"/>
    <n v="0.39166648591197972"/>
  </r>
  <r>
    <s v="ORD0269"/>
    <x v="158"/>
    <x v="3"/>
    <s v="TN"/>
    <x v="2"/>
    <x v="3"/>
    <x v="1"/>
    <s v="Electronics"/>
    <n v="5"/>
    <n v="1184"/>
    <n v="0.1"/>
    <n v="0.1"/>
    <m/>
    <n v="5920"/>
    <n v="5328"/>
    <n v="36920"/>
    <n v="-31592"/>
    <n v="-5.9294294294294296"/>
  </r>
  <r>
    <s v="ORD0270"/>
    <x v="184"/>
    <x v="0"/>
    <s v="TN"/>
    <x v="4"/>
    <x v="1"/>
    <x v="1"/>
    <s v="Electronics"/>
    <n v="9"/>
    <n v="37393"/>
    <n v="0.05"/>
    <n v="0.05"/>
    <n v="331"/>
    <n v="336537"/>
    <n v="319710.15000000002"/>
    <n v="173385"/>
    <n v="146325.15000000002"/>
    <n v="0.4576806523033442"/>
  </r>
  <r>
    <s v="ORD0271"/>
    <x v="133"/>
    <x v="1"/>
    <s v="DL"/>
    <x v="0"/>
    <x v="2"/>
    <x v="1"/>
    <s v="Electronics"/>
    <n v="1"/>
    <n v="7943"/>
    <n v="0"/>
    <n v="0"/>
    <m/>
    <n v="7943"/>
    <n v="7943"/>
    <n v="2888"/>
    <n v="5055"/>
    <n v="0.63640941709681476"/>
  </r>
  <r>
    <s v="ORD0272"/>
    <x v="185"/>
    <x v="1"/>
    <s v="KA"/>
    <x v="4"/>
    <x v="1"/>
    <x v="1"/>
    <s v="Electronics"/>
    <n v="5"/>
    <n v="43796"/>
    <n v="0.05"/>
    <n v="0.05"/>
    <n v="17627"/>
    <n v="218980"/>
    <n v="208031"/>
    <n v="96325"/>
    <n v="111706"/>
    <n v="0.53696804803130305"/>
  </r>
  <r>
    <s v="ORD0273"/>
    <x v="71"/>
    <x v="0"/>
    <s v="GJ"/>
    <x v="1"/>
    <x v="0"/>
    <x v="0"/>
    <s v="Furniture"/>
    <n v="3"/>
    <n v="20673"/>
    <m/>
    <n v="0"/>
    <n v="27108"/>
    <n v="62019"/>
    <n v="62019"/>
    <n v="39813"/>
    <n v="22206"/>
    <n v="0.35805156484303197"/>
  </r>
  <r>
    <s v="ORD0274"/>
    <x v="185"/>
    <x v="1"/>
    <s v="TN"/>
    <x v="1"/>
    <x v="2"/>
    <x v="1"/>
    <s v="Electronics"/>
    <n v="4"/>
    <n v="31352"/>
    <n v="0"/>
    <n v="0"/>
    <n v="14790"/>
    <n v="125408"/>
    <n v="125408"/>
    <n v="11552"/>
    <n v="113856"/>
    <n v="0.9078846644552182"/>
  </r>
  <r>
    <s v="ORD0275"/>
    <x v="20"/>
    <x v="2"/>
    <s v="DL"/>
    <x v="0"/>
    <x v="4"/>
    <x v="1"/>
    <s v="Electronics"/>
    <n v="7"/>
    <n v="14680"/>
    <m/>
    <n v="0"/>
    <m/>
    <n v="102760"/>
    <n v="102760"/>
    <n v="196322"/>
    <n v="-93562"/>
    <n v="-0.91049046321525884"/>
  </r>
  <r>
    <s v="ORD0276"/>
    <x v="186"/>
    <x v="0"/>
    <s v="DL"/>
    <x v="1"/>
    <x v="1"/>
    <x v="1"/>
    <s v="Electronics"/>
    <n v="10"/>
    <n v="35511"/>
    <m/>
    <n v="0"/>
    <m/>
    <n v="355110"/>
    <n v="355110"/>
    <n v="192650"/>
    <n v="162460"/>
    <n v="0.45749204471853794"/>
  </r>
  <r>
    <s v="ORD0277"/>
    <x v="113"/>
    <x v="0"/>
    <s v="TN"/>
    <x v="1"/>
    <x v="1"/>
    <x v="1"/>
    <s v="Electronics"/>
    <n v="10"/>
    <n v="12530"/>
    <n v="0.1"/>
    <n v="0.1"/>
    <m/>
    <n v="125300"/>
    <n v="112770"/>
    <n v="192650"/>
    <n v="-79880"/>
    <n v="-0.7083444178416245"/>
  </r>
  <r>
    <s v="ORD0278"/>
    <x v="187"/>
    <x v="1"/>
    <s v="DL"/>
    <x v="3"/>
    <x v="0"/>
    <x v="0"/>
    <s v="Furniture"/>
    <n v="2"/>
    <n v="41676"/>
    <n v="0.1"/>
    <n v="0.1"/>
    <m/>
    <n v="83352"/>
    <n v="75016.800000000003"/>
    <n v="26542"/>
    <n v="48474.8"/>
    <n v="0.6461859210203581"/>
  </r>
  <r>
    <s v="ORD0279"/>
    <x v="187"/>
    <x v="0"/>
    <s v="TN"/>
    <x v="1"/>
    <x v="4"/>
    <x v="1"/>
    <s v="Electronics"/>
    <n v="10"/>
    <n v="22833"/>
    <n v="0"/>
    <n v="0"/>
    <m/>
    <n v="228330"/>
    <n v="228330"/>
    <n v="280460"/>
    <n v="-52130"/>
    <n v="-0.22830990233434065"/>
  </r>
  <r>
    <s v="ORD0280"/>
    <x v="169"/>
    <x v="0"/>
    <s v="DL"/>
    <x v="3"/>
    <x v="5"/>
    <x v="0"/>
    <s v="Furniture"/>
    <n v="3"/>
    <n v="27034"/>
    <n v="0.1"/>
    <n v="0.1"/>
    <m/>
    <n v="81102"/>
    <n v="72991.8"/>
    <n v="39120"/>
    <n v="33871.800000000003"/>
    <n v="0.46404938636942783"/>
  </r>
  <r>
    <s v="ORD0281"/>
    <x v="4"/>
    <x v="3"/>
    <s v="GJ"/>
    <x v="0"/>
    <x v="1"/>
    <x v="1"/>
    <s v="Electronics"/>
    <n v="10"/>
    <n v="8901"/>
    <m/>
    <n v="0"/>
    <m/>
    <n v="89010"/>
    <n v="89010"/>
    <n v="192650"/>
    <n v="-103640"/>
    <n v="-1.1643635546567801"/>
  </r>
  <r>
    <s v="ORD0282"/>
    <x v="162"/>
    <x v="2"/>
    <s v="DL"/>
    <x v="2"/>
    <x v="0"/>
    <x v="0"/>
    <s v="Furniture"/>
    <n v="7"/>
    <n v="27576"/>
    <n v="0.1"/>
    <n v="0.1"/>
    <m/>
    <n v="193032"/>
    <n v="173728.8"/>
    <n v="92897"/>
    <n v="80831.799999999988"/>
    <n v="0.46527576314347419"/>
  </r>
  <r>
    <s v="ORD0283"/>
    <x v="154"/>
    <x v="0"/>
    <s v="GJ"/>
    <x v="0"/>
    <x v="0"/>
    <x v="0"/>
    <s v="Furniture"/>
    <n v="4"/>
    <n v="42661"/>
    <m/>
    <n v="0"/>
    <n v="5622"/>
    <n v="170644"/>
    <n v="170644"/>
    <n v="53084"/>
    <n v="117560"/>
    <n v="0.68891962213731506"/>
  </r>
  <r>
    <s v="ORD0284"/>
    <x v="136"/>
    <x v="2"/>
    <s v="MH"/>
    <x v="2"/>
    <x v="5"/>
    <x v="0"/>
    <s v="Furniture"/>
    <n v="2"/>
    <n v="16344"/>
    <m/>
    <n v="0"/>
    <m/>
    <n v="32688"/>
    <n v="32688"/>
    <n v="26080"/>
    <n v="6608"/>
    <n v="0.20215369554576604"/>
  </r>
  <r>
    <s v="ORD0285"/>
    <x v="188"/>
    <x v="0"/>
    <s v="RJ"/>
    <x v="2"/>
    <x v="0"/>
    <x v="0"/>
    <s v="Furniture"/>
    <n v="2"/>
    <n v="39671"/>
    <n v="0"/>
    <n v="0"/>
    <m/>
    <n v="79342"/>
    <n v="79342"/>
    <n v="26542"/>
    <n v="52800"/>
    <n v="0.66547351969952862"/>
  </r>
  <r>
    <s v="ORD0286"/>
    <x v="22"/>
    <x v="1"/>
    <s v="DL"/>
    <x v="4"/>
    <x v="1"/>
    <x v="1"/>
    <s v="Electronics"/>
    <n v="10"/>
    <n v="40258"/>
    <n v="0"/>
    <n v="0"/>
    <m/>
    <n v="402580"/>
    <n v="402580"/>
    <n v="192650"/>
    <n v="209930"/>
    <n v="0.52146157285508465"/>
  </r>
  <r>
    <s v="ORD0287"/>
    <x v="76"/>
    <x v="0"/>
    <s v="TN"/>
    <x v="1"/>
    <x v="3"/>
    <x v="1"/>
    <s v="Electronics"/>
    <n v="2"/>
    <n v="21020"/>
    <n v="0.1"/>
    <n v="0.1"/>
    <m/>
    <n v="42040"/>
    <n v="37836"/>
    <n v="14768"/>
    <n v="23068"/>
    <n v="0.60968389893223385"/>
  </r>
  <r>
    <s v="ORD0288"/>
    <x v="189"/>
    <x v="3"/>
    <s v="RJ"/>
    <x v="4"/>
    <x v="2"/>
    <x v="1"/>
    <s v="Electronics"/>
    <n v="10"/>
    <n v="13307"/>
    <m/>
    <n v="0"/>
    <n v="29633"/>
    <n v="133070"/>
    <n v="133070"/>
    <n v="28880"/>
    <n v="104190"/>
    <n v="0.78297136845269411"/>
  </r>
  <r>
    <s v="ORD0289"/>
    <x v="190"/>
    <x v="3"/>
    <s v="KA"/>
    <x v="1"/>
    <x v="5"/>
    <x v="0"/>
    <s v="Furniture"/>
    <n v="2"/>
    <n v="2363"/>
    <n v="0.05"/>
    <n v="0.05"/>
    <n v="7904"/>
    <n v="4726"/>
    <n v="4489.7"/>
    <n v="26080"/>
    <n v="-21590.3"/>
    <n v="-4.8088513709156517"/>
  </r>
  <r>
    <s v="ORD0290"/>
    <x v="191"/>
    <x v="2"/>
    <s v="KA"/>
    <x v="1"/>
    <x v="2"/>
    <x v="1"/>
    <s v="Electronics"/>
    <n v="6"/>
    <n v="33956"/>
    <n v="0.1"/>
    <n v="0.1"/>
    <n v="27527"/>
    <n v="203736"/>
    <n v="183362.4"/>
    <n v="17328"/>
    <n v="166034.4"/>
    <n v="0.90549861912802188"/>
  </r>
  <r>
    <s v="ORD0291"/>
    <x v="53"/>
    <x v="0"/>
    <s v="KA"/>
    <x v="4"/>
    <x v="1"/>
    <x v="1"/>
    <s v="Electronics"/>
    <n v="5"/>
    <n v="42220"/>
    <m/>
    <n v="0"/>
    <n v="29132"/>
    <n v="211100"/>
    <n v="211100"/>
    <n v="96325"/>
    <n v="114775"/>
    <n v="0.54369966840360018"/>
  </r>
  <r>
    <s v="ORD0292"/>
    <x v="91"/>
    <x v="3"/>
    <s v="MH"/>
    <x v="3"/>
    <x v="0"/>
    <x v="0"/>
    <s v="Furniture"/>
    <n v="10"/>
    <n v="12142"/>
    <n v="0"/>
    <n v="0"/>
    <n v="12197"/>
    <n v="121420"/>
    <n v="121420"/>
    <n v="132710"/>
    <n v="-11290"/>
    <n v="-9.2983034096524461E-2"/>
  </r>
  <r>
    <s v="ORD0293"/>
    <x v="192"/>
    <x v="3"/>
    <s v="RJ"/>
    <x v="4"/>
    <x v="3"/>
    <x v="1"/>
    <s v="Electronics"/>
    <n v="1"/>
    <n v="38643"/>
    <n v="0.05"/>
    <n v="0.05"/>
    <m/>
    <n v="38643"/>
    <n v="36710.85"/>
    <n v="7384"/>
    <n v="29326.85"/>
    <n v="0.79886055484958807"/>
  </r>
  <r>
    <s v="ORD0294"/>
    <x v="193"/>
    <x v="1"/>
    <s v="DL"/>
    <x v="0"/>
    <x v="1"/>
    <x v="1"/>
    <s v="Electronics"/>
    <n v="6"/>
    <n v="18729"/>
    <n v="0"/>
    <n v="0"/>
    <m/>
    <n v="112374"/>
    <n v="112374"/>
    <n v="115590"/>
    <n v="-3216"/>
    <n v="-2.8618719632655241E-2"/>
  </r>
  <r>
    <s v="ORD0295"/>
    <x v="141"/>
    <x v="1"/>
    <s v="RJ"/>
    <x v="0"/>
    <x v="4"/>
    <x v="1"/>
    <s v="Electronics"/>
    <n v="4"/>
    <n v="16868"/>
    <n v="0.05"/>
    <n v="0.05"/>
    <m/>
    <n v="67472"/>
    <n v="64098.400000000001"/>
    <n v="112184"/>
    <n v="-48085.599999999999"/>
    <n v="-0.75018409195861357"/>
  </r>
  <r>
    <s v="ORD0296"/>
    <x v="51"/>
    <x v="1"/>
    <s v="RJ"/>
    <x v="2"/>
    <x v="4"/>
    <x v="1"/>
    <s v="Electronics"/>
    <n v="4"/>
    <n v="25541"/>
    <n v="0"/>
    <n v="0"/>
    <n v="27478"/>
    <n v="102164"/>
    <n v="102164"/>
    <n v="112184"/>
    <n v="-10020"/>
    <n v="-9.8077600720410316E-2"/>
  </r>
  <r>
    <s v="ORD0297"/>
    <x v="177"/>
    <x v="0"/>
    <s v="KA"/>
    <x v="0"/>
    <x v="0"/>
    <x v="0"/>
    <s v="Furniture"/>
    <n v="10"/>
    <n v="12880"/>
    <m/>
    <n v="0"/>
    <m/>
    <n v="128800"/>
    <n v="128800"/>
    <n v="132710"/>
    <n v="-3910"/>
    <n v="-3.0357142857142857E-2"/>
  </r>
  <r>
    <s v="ORD0298"/>
    <x v="105"/>
    <x v="3"/>
    <s v="DL"/>
    <x v="0"/>
    <x v="5"/>
    <x v="0"/>
    <s v="Furniture"/>
    <n v="9"/>
    <n v="25387"/>
    <m/>
    <n v="0"/>
    <n v="17234"/>
    <n v="228483"/>
    <n v="228483"/>
    <n v="117360"/>
    <n v="111123"/>
    <n v="0.48635128215228268"/>
  </r>
  <r>
    <s v="ORD0299"/>
    <x v="181"/>
    <x v="3"/>
    <s v="DL"/>
    <x v="0"/>
    <x v="1"/>
    <x v="1"/>
    <s v="Electronics"/>
    <n v="9"/>
    <n v="7879"/>
    <m/>
    <n v="0"/>
    <m/>
    <n v="70911"/>
    <n v="70911"/>
    <n v="173385"/>
    <n v="-102474"/>
    <n v="-1.4451072471125777"/>
  </r>
  <r>
    <s v="ORD0300"/>
    <x v="140"/>
    <x v="1"/>
    <s v="MH"/>
    <x v="3"/>
    <x v="5"/>
    <x v="0"/>
    <s v="Furniture"/>
    <n v="1"/>
    <n v="5325"/>
    <n v="0"/>
    <n v="0"/>
    <m/>
    <n v="5325"/>
    <n v="5325"/>
    <n v="13040"/>
    <n v="-7715"/>
    <n v="-1.4488262910798122"/>
  </r>
  <r>
    <s v="ORD0301"/>
    <x v="146"/>
    <x v="1"/>
    <s v="KA"/>
    <x v="0"/>
    <x v="3"/>
    <x v="1"/>
    <s v="Electronics"/>
    <n v="8"/>
    <n v="9183"/>
    <n v="0.05"/>
    <n v="0.05"/>
    <n v="9900"/>
    <n v="73464"/>
    <n v="69790.8"/>
    <n v="59072"/>
    <n v="10718.800000000003"/>
    <n v="0.1535847131713636"/>
  </r>
  <r>
    <s v="ORD0302"/>
    <x v="194"/>
    <x v="2"/>
    <s v="MH"/>
    <x v="2"/>
    <x v="1"/>
    <x v="1"/>
    <s v="Electronics"/>
    <n v="10"/>
    <n v="10645"/>
    <n v="0"/>
    <n v="0"/>
    <n v="20317"/>
    <n v="106450"/>
    <n v="106450"/>
    <n v="192650"/>
    <n v="-86200"/>
    <n v="-0.80976984499765148"/>
  </r>
  <r>
    <s v="ORD0303"/>
    <x v="148"/>
    <x v="1"/>
    <s v="MH"/>
    <x v="3"/>
    <x v="2"/>
    <x v="1"/>
    <s v="Electronics"/>
    <n v="2"/>
    <n v="4515"/>
    <n v="0.1"/>
    <n v="0.1"/>
    <m/>
    <n v="9030"/>
    <n v="8127"/>
    <n v="5776"/>
    <n v="2351"/>
    <n v="0.28928263811984745"/>
  </r>
  <r>
    <s v="ORD0304"/>
    <x v="60"/>
    <x v="1"/>
    <s v="RJ"/>
    <x v="2"/>
    <x v="5"/>
    <x v="0"/>
    <s v="Furniture"/>
    <n v="5"/>
    <n v="15620"/>
    <n v="0.05"/>
    <n v="0.05"/>
    <n v="6892"/>
    <n v="78100"/>
    <n v="74195"/>
    <n v="65200"/>
    <n v="8995"/>
    <n v="0.12123458454073725"/>
  </r>
  <r>
    <s v="ORD0305"/>
    <x v="195"/>
    <x v="0"/>
    <s v="TN"/>
    <x v="3"/>
    <x v="3"/>
    <x v="1"/>
    <s v="Electronics"/>
    <n v="3"/>
    <n v="14569"/>
    <n v="0.1"/>
    <n v="0.1"/>
    <n v="19206"/>
    <n v="43707"/>
    <n v="39336.300000000003"/>
    <n v="22152"/>
    <n v="17184.300000000003"/>
    <n v="0.43685603373982812"/>
  </r>
  <r>
    <s v="ORD0306"/>
    <x v="47"/>
    <x v="3"/>
    <s v="KA"/>
    <x v="4"/>
    <x v="3"/>
    <x v="1"/>
    <s v="Electronics"/>
    <n v="7"/>
    <n v="8675"/>
    <n v="0"/>
    <n v="0"/>
    <n v="12497"/>
    <n v="60725"/>
    <n v="60725"/>
    <n v="51688"/>
    <n v="9037"/>
    <n v="0.14881844380403458"/>
  </r>
  <r>
    <s v="ORD0307"/>
    <x v="196"/>
    <x v="2"/>
    <s v="TN"/>
    <x v="0"/>
    <x v="2"/>
    <x v="1"/>
    <s v="Electronics"/>
    <n v="8"/>
    <n v="34922"/>
    <n v="0.05"/>
    <n v="0.05"/>
    <m/>
    <n v="279376"/>
    <n v="265407.2"/>
    <n v="23104"/>
    <n v="242303.2"/>
    <n v="0.91294885745375409"/>
  </r>
  <r>
    <s v="ORD0308"/>
    <x v="117"/>
    <x v="1"/>
    <s v="MH"/>
    <x v="2"/>
    <x v="5"/>
    <x v="0"/>
    <s v="Furniture"/>
    <n v="9"/>
    <n v="41185"/>
    <n v="0.05"/>
    <n v="0.05"/>
    <m/>
    <n v="370665"/>
    <n v="352131.75"/>
    <n v="117360"/>
    <n v="234771.75"/>
    <n v="0.66671565401302213"/>
  </r>
  <r>
    <s v="ORD0309"/>
    <x v="69"/>
    <x v="0"/>
    <s v="KA"/>
    <x v="1"/>
    <x v="0"/>
    <x v="0"/>
    <s v="Furniture"/>
    <n v="2"/>
    <n v="13604"/>
    <n v="0"/>
    <n v="0"/>
    <n v="27676"/>
    <n v="27208"/>
    <n v="27208"/>
    <n v="26542"/>
    <n v="666"/>
    <n v="2.4478094678035873E-2"/>
  </r>
  <r>
    <s v="ORD0310"/>
    <x v="197"/>
    <x v="2"/>
    <s v="DL"/>
    <x v="1"/>
    <x v="3"/>
    <x v="1"/>
    <s v="Electronics"/>
    <n v="3"/>
    <n v="24085"/>
    <m/>
    <n v="0"/>
    <m/>
    <n v="72255"/>
    <n v="72255"/>
    <n v="22152"/>
    <n v="50103"/>
    <n v="0.69341914054390696"/>
  </r>
  <r>
    <s v="ORD0311"/>
    <x v="198"/>
    <x v="3"/>
    <s v="GJ"/>
    <x v="2"/>
    <x v="0"/>
    <x v="0"/>
    <s v="Furniture"/>
    <n v="9"/>
    <n v="35983"/>
    <n v="0.1"/>
    <n v="0.1"/>
    <n v="25066"/>
    <n v="323847"/>
    <n v="291462.3"/>
    <n v="119439"/>
    <n v="172023.3"/>
    <n v="0.59020772154752088"/>
  </r>
  <r>
    <s v="ORD0312"/>
    <x v="89"/>
    <x v="2"/>
    <s v="DL"/>
    <x v="0"/>
    <x v="0"/>
    <x v="0"/>
    <s v="Furniture"/>
    <n v="3"/>
    <n v="22443"/>
    <n v="0.1"/>
    <n v="0.1"/>
    <m/>
    <n v="67329"/>
    <n v="60596.1"/>
    <n v="39813"/>
    <n v="20783.099999999999"/>
    <n v="0.34297751835514168"/>
  </r>
  <r>
    <s v="ORD0313"/>
    <x v="123"/>
    <x v="2"/>
    <s v="GJ"/>
    <x v="3"/>
    <x v="4"/>
    <x v="1"/>
    <s v="Electronics"/>
    <n v="3"/>
    <n v="34124"/>
    <n v="0"/>
    <n v="0"/>
    <m/>
    <n v="102372"/>
    <n v="102372"/>
    <n v="84138"/>
    <n v="18234"/>
    <n v="0.17811510960028132"/>
  </r>
  <r>
    <s v="ORD0314"/>
    <x v="0"/>
    <x v="1"/>
    <s v="KA"/>
    <x v="2"/>
    <x v="1"/>
    <x v="1"/>
    <s v="Electronics"/>
    <n v="10"/>
    <n v="45042"/>
    <m/>
    <n v="0"/>
    <m/>
    <n v="450420"/>
    <n v="450420"/>
    <n v="192650"/>
    <n v="257770"/>
    <n v="0.57228808667465925"/>
  </r>
  <r>
    <s v="ORD0315"/>
    <x v="28"/>
    <x v="3"/>
    <s v="KA"/>
    <x v="4"/>
    <x v="2"/>
    <x v="1"/>
    <s v="Electronics"/>
    <n v="2"/>
    <n v="43200"/>
    <m/>
    <n v="0"/>
    <n v="9343"/>
    <n v="86400"/>
    <n v="86400"/>
    <n v="5776"/>
    <n v="80624"/>
    <n v="0.93314814814814817"/>
  </r>
  <r>
    <s v="ORD0316"/>
    <x v="98"/>
    <x v="0"/>
    <s v="RJ"/>
    <x v="2"/>
    <x v="0"/>
    <x v="0"/>
    <s v="Furniture"/>
    <n v="8"/>
    <n v="5092"/>
    <m/>
    <n v="0"/>
    <m/>
    <n v="40736"/>
    <n v="40736"/>
    <n v="106168"/>
    <n v="-65432"/>
    <n v="-1.6062450903377847"/>
  </r>
  <r>
    <s v="ORD0317"/>
    <x v="199"/>
    <x v="1"/>
    <s v="DL"/>
    <x v="2"/>
    <x v="4"/>
    <x v="1"/>
    <s v="Electronics"/>
    <n v="2"/>
    <n v="21795"/>
    <n v="0.05"/>
    <n v="0.05"/>
    <n v="3074"/>
    <n v="43590"/>
    <n v="41410.5"/>
    <n v="56092"/>
    <n v="-14681.5"/>
    <n v="-0.35453568539380109"/>
  </r>
  <r>
    <s v="ORD0318"/>
    <x v="200"/>
    <x v="3"/>
    <s v="KA"/>
    <x v="3"/>
    <x v="4"/>
    <x v="1"/>
    <s v="Electronics"/>
    <n v="5"/>
    <n v="33835"/>
    <n v="0"/>
    <n v="0"/>
    <n v="25389"/>
    <n v="169175"/>
    <n v="169175"/>
    <n v="140230"/>
    <n v="28945"/>
    <n v="0.17109501994975618"/>
  </r>
  <r>
    <s v="ORD0319"/>
    <x v="137"/>
    <x v="1"/>
    <s v="TN"/>
    <x v="4"/>
    <x v="0"/>
    <x v="0"/>
    <s v="Furniture"/>
    <n v="8"/>
    <n v="21564"/>
    <m/>
    <n v="0"/>
    <n v="23405"/>
    <n v="172512"/>
    <n v="172512"/>
    <n v="106168"/>
    <n v="66344"/>
    <n v="0.38457614542756446"/>
  </r>
  <r>
    <s v="ORD0320"/>
    <x v="128"/>
    <x v="2"/>
    <s v="GJ"/>
    <x v="2"/>
    <x v="3"/>
    <x v="1"/>
    <s v="Electronics"/>
    <n v="3"/>
    <n v="33217"/>
    <n v="0.05"/>
    <n v="0.05"/>
    <n v="619"/>
    <n v="99651"/>
    <n v="94668.45"/>
    <n v="22152"/>
    <n v="72516.45"/>
    <n v="0.76600440801555325"/>
  </r>
  <r>
    <s v="ORD0321"/>
    <x v="193"/>
    <x v="0"/>
    <s v="MH"/>
    <x v="0"/>
    <x v="2"/>
    <x v="1"/>
    <s v="Electronics"/>
    <n v="1"/>
    <n v="32621"/>
    <m/>
    <n v="0"/>
    <m/>
    <n v="32621"/>
    <n v="32621"/>
    <n v="2888"/>
    <n v="29733"/>
    <n v="0.91146807271389596"/>
  </r>
  <r>
    <s v="ORD0322"/>
    <x v="201"/>
    <x v="2"/>
    <s v="GJ"/>
    <x v="1"/>
    <x v="3"/>
    <x v="1"/>
    <s v="Electronics"/>
    <n v="2"/>
    <n v="48032"/>
    <n v="0.1"/>
    <n v="0.1"/>
    <n v="11968"/>
    <n v="96064"/>
    <n v="86457.600000000006"/>
    <n v="14768"/>
    <n v="71689.600000000006"/>
    <n v="0.82918794877489077"/>
  </r>
  <r>
    <s v="ORD0323"/>
    <x v="202"/>
    <x v="3"/>
    <s v="TN"/>
    <x v="1"/>
    <x v="4"/>
    <x v="1"/>
    <s v="Electronics"/>
    <n v="5"/>
    <n v="38706"/>
    <m/>
    <n v="0"/>
    <n v="18743"/>
    <n v="193530"/>
    <n v="193530"/>
    <n v="140230"/>
    <n v="53300"/>
    <n v="0.27540949723557073"/>
  </r>
  <r>
    <s v="ORD0324"/>
    <x v="203"/>
    <x v="3"/>
    <s v="RJ"/>
    <x v="4"/>
    <x v="0"/>
    <x v="0"/>
    <s v="Furniture"/>
    <n v="7"/>
    <n v="40336"/>
    <n v="0.05"/>
    <n v="0.05"/>
    <m/>
    <n v="282352"/>
    <n v="268234.40000000002"/>
    <n v="92897"/>
    <n v="175337.40000000002"/>
    <n v="0.65367231048664898"/>
  </r>
  <r>
    <s v="ORD0325"/>
    <x v="204"/>
    <x v="2"/>
    <s v="DL"/>
    <x v="2"/>
    <x v="1"/>
    <x v="1"/>
    <s v="Electronics"/>
    <n v="2"/>
    <n v="49535"/>
    <n v="0"/>
    <n v="0"/>
    <m/>
    <n v="99070"/>
    <n v="99070"/>
    <n v="38530"/>
    <n v="60540"/>
    <n v="0.61108307257494698"/>
  </r>
  <r>
    <s v="ORD0326"/>
    <x v="205"/>
    <x v="2"/>
    <s v="DL"/>
    <x v="0"/>
    <x v="1"/>
    <x v="1"/>
    <s v="Electronics"/>
    <n v="3"/>
    <n v="33565"/>
    <n v="0.1"/>
    <n v="0.1"/>
    <m/>
    <n v="100695"/>
    <n v="90625.5"/>
    <n v="57795"/>
    <n v="32830.5"/>
    <n v="0.36226558750020688"/>
  </r>
  <r>
    <s v="ORD0327"/>
    <x v="53"/>
    <x v="3"/>
    <s v="KA"/>
    <x v="4"/>
    <x v="2"/>
    <x v="1"/>
    <s v="Electronics"/>
    <n v="2"/>
    <n v="4493"/>
    <n v="0.1"/>
    <n v="0.1"/>
    <m/>
    <n v="8986"/>
    <n v="8087.4"/>
    <n v="5776"/>
    <n v="2311.3999999999996"/>
    <n v="0.28580260652372824"/>
  </r>
  <r>
    <s v="ORD0328"/>
    <x v="206"/>
    <x v="3"/>
    <s v="GJ"/>
    <x v="2"/>
    <x v="4"/>
    <x v="1"/>
    <s v="Electronics"/>
    <n v="9"/>
    <n v="47668"/>
    <n v="0.05"/>
    <n v="0.05"/>
    <m/>
    <n v="429012"/>
    <n v="407561.4"/>
    <n v="252414"/>
    <n v="155147.40000000002"/>
    <n v="0.38067245818666834"/>
  </r>
  <r>
    <s v="ORD0329"/>
    <x v="111"/>
    <x v="3"/>
    <s v="DL"/>
    <x v="3"/>
    <x v="0"/>
    <x v="0"/>
    <s v="Furniture"/>
    <n v="4"/>
    <n v="45626"/>
    <n v="0"/>
    <n v="0"/>
    <m/>
    <n v="182504"/>
    <n v="182504"/>
    <n v="53084"/>
    <n v="129420"/>
    <n v="0.70913514224345764"/>
  </r>
  <r>
    <s v="ORD0330"/>
    <x v="24"/>
    <x v="1"/>
    <s v="TN"/>
    <x v="1"/>
    <x v="1"/>
    <x v="1"/>
    <s v="Electronics"/>
    <n v="4"/>
    <n v="46766"/>
    <m/>
    <n v="0"/>
    <m/>
    <n v="187064"/>
    <n v="187064"/>
    <n v="77060"/>
    <n v="110004"/>
    <n v="0.58805542488132401"/>
  </r>
  <r>
    <s v="ORD0331"/>
    <x v="90"/>
    <x v="2"/>
    <s v="DL"/>
    <x v="2"/>
    <x v="5"/>
    <x v="0"/>
    <s v="Furniture"/>
    <n v="5"/>
    <n v="11548"/>
    <n v="0.1"/>
    <n v="0.1"/>
    <n v="2015"/>
    <n v="57740"/>
    <n v="51966"/>
    <n v="65200"/>
    <n v="-13234"/>
    <n v="-0.2546665127198553"/>
  </r>
  <r>
    <s v="ORD0332"/>
    <x v="37"/>
    <x v="2"/>
    <s v="KA"/>
    <x v="3"/>
    <x v="5"/>
    <x v="0"/>
    <s v="Furniture"/>
    <n v="10"/>
    <n v="30921"/>
    <n v="0.05"/>
    <n v="0.05"/>
    <n v="17631"/>
    <n v="309210"/>
    <n v="293749.5"/>
    <n v="130400"/>
    <n v="163349.5"/>
    <n v="0.55608435078187368"/>
  </r>
  <r>
    <s v="ORD0333"/>
    <x v="207"/>
    <x v="1"/>
    <s v="DL"/>
    <x v="2"/>
    <x v="0"/>
    <x v="0"/>
    <s v="Furniture"/>
    <n v="4"/>
    <n v="43407"/>
    <n v="0.05"/>
    <n v="0.05"/>
    <n v="3374"/>
    <n v="173628"/>
    <n v="164946.6"/>
    <n v="53084"/>
    <n v="111862.6"/>
    <n v="0.67817463348744378"/>
  </r>
  <r>
    <s v="ORD0334"/>
    <x v="208"/>
    <x v="0"/>
    <s v="KA"/>
    <x v="1"/>
    <x v="1"/>
    <x v="1"/>
    <s v="Electronics"/>
    <n v="6"/>
    <n v="35177"/>
    <n v="0.1"/>
    <n v="0.1"/>
    <n v="15806"/>
    <n v="211062"/>
    <n v="189955.8"/>
    <n v="115590"/>
    <n v="74365.799999999988"/>
    <n v="0.39149002030998786"/>
  </r>
  <r>
    <s v="ORD0335"/>
    <x v="209"/>
    <x v="0"/>
    <s v="MH"/>
    <x v="4"/>
    <x v="2"/>
    <x v="1"/>
    <s v="Electronics"/>
    <n v="4"/>
    <n v="30302"/>
    <n v="0.1"/>
    <n v="0.1"/>
    <n v="12769"/>
    <n v="121208"/>
    <n v="109087.2"/>
    <n v="11552"/>
    <n v="97535.2"/>
    <n v="0.89410306617091651"/>
  </r>
  <r>
    <s v="ORD0336"/>
    <x v="186"/>
    <x v="3"/>
    <s v="KA"/>
    <x v="0"/>
    <x v="5"/>
    <x v="0"/>
    <s v="Furniture"/>
    <n v="8"/>
    <n v="41232"/>
    <n v="0"/>
    <n v="0"/>
    <m/>
    <n v="329856"/>
    <n v="329856"/>
    <n v="104320"/>
    <n v="225536"/>
    <n v="0.68374078385719828"/>
  </r>
  <r>
    <s v="ORD0337"/>
    <x v="36"/>
    <x v="1"/>
    <s v="DL"/>
    <x v="2"/>
    <x v="2"/>
    <x v="1"/>
    <s v="Electronics"/>
    <n v="5"/>
    <n v="27244"/>
    <n v="0"/>
    <n v="0"/>
    <n v="13217"/>
    <n v="136220"/>
    <n v="136220"/>
    <n v="14440"/>
    <n v="121780"/>
    <n v="0.89399500807517251"/>
  </r>
  <r>
    <s v="ORD0338"/>
    <x v="210"/>
    <x v="1"/>
    <s v="GJ"/>
    <x v="2"/>
    <x v="5"/>
    <x v="0"/>
    <s v="Furniture"/>
    <n v="7"/>
    <n v="34929"/>
    <m/>
    <n v="0"/>
    <n v="5291"/>
    <n v="244503"/>
    <n v="244503"/>
    <n v="91280"/>
    <n v="153223"/>
    <n v="0.62667124738755764"/>
  </r>
  <r>
    <s v="ORD0339"/>
    <x v="211"/>
    <x v="1"/>
    <s v="TN"/>
    <x v="4"/>
    <x v="0"/>
    <x v="0"/>
    <s v="Furniture"/>
    <n v="4"/>
    <n v="14387"/>
    <n v="0"/>
    <n v="0"/>
    <m/>
    <n v="57548"/>
    <n v="57548"/>
    <n v="53084"/>
    <n v="4464"/>
    <n v="7.7570028497949542E-2"/>
  </r>
  <r>
    <s v="ORD0340"/>
    <x v="212"/>
    <x v="3"/>
    <s v="KA"/>
    <x v="4"/>
    <x v="2"/>
    <x v="1"/>
    <s v="Electronics"/>
    <n v="6"/>
    <n v="47869"/>
    <n v="0.1"/>
    <n v="0.1"/>
    <m/>
    <n v="287214"/>
    <n v="258492.6"/>
    <n v="17328"/>
    <n v="241164.6"/>
    <n v="0.93296519900376262"/>
  </r>
  <r>
    <s v="ORD0341"/>
    <x v="213"/>
    <x v="0"/>
    <s v="KA"/>
    <x v="1"/>
    <x v="4"/>
    <x v="1"/>
    <s v="Electronics"/>
    <n v="5"/>
    <n v="46984"/>
    <n v="0"/>
    <n v="0"/>
    <n v="11921"/>
    <n v="234920"/>
    <n v="234920"/>
    <n v="140230"/>
    <n v="94690"/>
    <n v="0.40307338668482889"/>
  </r>
  <r>
    <s v="ORD0342"/>
    <x v="37"/>
    <x v="0"/>
    <s v="TN"/>
    <x v="3"/>
    <x v="3"/>
    <x v="1"/>
    <s v="Electronics"/>
    <n v="8"/>
    <n v="16869"/>
    <n v="0"/>
    <n v="0"/>
    <m/>
    <n v="134952"/>
    <n v="134952"/>
    <n v="59072"/>
    <n v="75880"/>
    <n v="0.56227399371628428"/>
  </r>
  <r>
    <s v="ORD0343"/>
    <x v="199"/>
    <x v="3"/>
    <s v="GJ"/>
    <x v="2"/>
    <x v="2"/>
    <x v="1"/>
    <s v="Electronics"/>
    <n v="9"/>
    <n v="24778"/>
    <n v="0.1"/>
    <n v="0.1"/>
    <m/>
    <n v="223002"/>
    <n v="200701.8"/>
    <n v="25992"/>
    <n v="174709.8"/>
    <n v="0.87049443502748858"/>
  </r>
  <r>
    <s v="ORD0344"/>
    <x v="194"/>
    <x v="3"/>
    <s v="KA"/>
    <x v="3"/>
    <x v="2"/>
    <x v="1"/>
    <s v="Electronics"/>
    <n v="6"/>
    <n v="36389"/>
    <n v="0"/>
    <n v="0"/>
    <m/>
    <n v="218334"/>
    <n v="218334"/>
    <n v="17328"/>
    <n v="201006"/>
    <n v="0.92063535683860509"/>
  </r>
  <r>
    <s v="ORD0345"/>
    <x v="214"/>
    <x v="0"/>
    <s v="GJ"/>
    <x v="2"/>
    <x v="3"/>
    <x v="1"/>
    <s v="Electronics"/>
    <n v="8"/>
    <n v="9311"/>
    <m/>
    <n v="0"/>
    <m/>
    <n v="74488"/>
    <n v="74488"/>
    <n v="59072"/>
    <n v="15416"/>
    <n v="0.20695951025668563"/>
  </r>
  <r>
    <s v="ORD0346"/>
    <x v="215"/>
    <x v="2"/>
    <s v="MH"/>
    <x v="2"/>
    <x v="1"/>
    <x v="1"/>
    <s v="Electronics"/>
    <n v="8"/>
    <n v="23641"/>
    <m/>
    <n v="0"/>
    <m/>
    <n v="189128"/>
    <n v="189128"/>
    <n v="154120"/>
    <n v="35008"/>
    <n v="0.18510215303921154"/>
  </r>
  <r>
    <s v="ORD0347"/>
    <x v="1"/>
    <x v="2"/>
    <s v="DL"/>
    <x v="4"/>
    <x v="2"/>
    <x v="1"/>
    <s v="Electronics"/>
    <n v="10"/>
    <n v="22061"/>
    <n v="0.05"/>
    <n v="0.05"/>
    <n v="20497"/>
    <n v="220610"/>
    <n v="209579.5"/>
    <n v="28880"/>
    <n v="180699.5"/>
    <n v="0.86220026290739316"/>
  </r>
  <r>
    <s v="ORD0348"/>
    <x v="50"/>
    <x v="2"/>
    <s v="GJ"/>
    <x v="3"/>
    <x v="5"/>
    <x v="0"/>
    <s v="Furniture"/>
    <n v="3"/>
    <n v="42630"/>
    <n v="0.05"/>
    <n v="0.05"/>
    <n v="25287"/>
    <n v="127890"/>
    <n v="121495.5"/>
    <n v="39120"/>
    <n v="82375.5"/>
    <n v="0.67801276590491011"/>
  </r>
  <r>
    <s v="ORD0349"/>
    <x v="0"/>
    <x v="3"/>
    <s v="RJ"/>
    <x v="2"/>
    <x v="3"/>
    <x v="1"/>
    <s v="Electronics"/>
    <n v="8"/>
    <n v="47194"/>
    <n v="0"/>
    <n v="0"/>
    <m/>
    <n v="377552"/>
    <n v="377552"/>
    <n v="59072"/>
    <n v="318480"/>
    <n v="0.84353943297876843"/>
  </r>
  <r>
    <s v="ORD0350"/>
    <x v="173"/>
    <x v="2"/>
    <s v="TN"/>
    <x v="0"/>
    <x v="1"/>
    <x v="1"/>
    <s v="Electronics"/>
    <n v="6"/>
    <n v="32421"/>
    <n v="0.1"/>
    <n v="0.1"/>
    <n v="6790"/>
    <n v="194526"/>
    <n v="175073.4"/>
    <n v="115590"/>
    <n v="59483.399999999994"/>
    <n v="0.33976263669980705"/>
  </r>
  <r>
    <s v="ORD0351"/>
    <x v="216"/>
    <x v="2"/>
    <s v="KA"/>
    <x v="4"/>
    <x v="4"/>
    <x v="1"/>
    <s v="Electronics"/>
    <n v="4"/>
    <n v="30071"/>
    <n v="0"/>
    <n v="0"/>
    <m/>
    <n v="120284"/>
    <n v="120284"/>
    <n v="112184"/>
    <n v="8100"/>
    <n v="6.7340627182335133E-2"/>
  </r>
  <r>
    <s v="ORD0352"/>
    <x v="217"/>
    <x v="2"/>
    <s v="MH"/>
    <x v="2"/>
    <x v="3"/>
    <x v="1"/>
    <s v="Electronics"/>
    <n v="2"/>
    <n v="12186"/>
    <n v="0"/>
    <n v="0"/>
    <n v="2071"/>
    <n v="24372"/>
    <n v="24372"/>
    <n v="14768"/>
    <n v="9604"/>
    <n v="0.39405875594945017"/>
  </r>
  <r>
    <s v="ORD0353"/>
    <x v="64"/>
    <x v="0"/>
    <s v="DL"/>
    <x v="3"/>
    <x v="3"/>
    <x v="1"/>
    <s v="Electronics"/>
    <n v="5"/>
    <n v="24081"/>
    <m/>
    <n v="0"/>
    <n v="19227"/>
    <n v="120405"/>
    <n v="120405"/>
    <n v="36920"/>
    <n v="83485"/>
    <n v="0.6933682156056642"/>
  </r>
  <r>
    <s v="ORD0354"/>
    <x v="218"/>
    <x v="0"/>
    <s v="MH"/>
    <x v="0"/>
    <x v="4"/>
    <x v="1"/>
    <s v="Electronics"/>
    <n v="8"/>
    <n v="11781"/>
    <n v="0"/>
    <n v="0"/>
    <m/>
    <n v="94248"/>
    <n v="94248"/>
    <n v="224368"/>
    <n v="-130120"/>
    <n v="-1.3806128512010865"/>
  </r>
  <r>
    <s v="ORD0355"/>
    <x v="42"/>
    <x v="3"/>
    <s v="TN"/>
    <x v="4"/>
    <x v="4"/>
    <x v="1"/>
    <s v="Electronics"/>
    <n v="3"/>
    <n v="44474"/>
    <n v="0.05"/>
    <n v="0.05"/>
    <m/>
    <n v="133422"/>
    <n v="126750.9"/>
    <n v="84138"/>
    <n v="42612.899999999994"/>
    <n v="0.33619406252736667"/>
  </r>
  <r>
    <s v="ORD0356"/>
    <x v="195"/>
    <x v="3"/>
    <s v="GJ"/>
    <x v="2"/>
    <x v="4"/>
    <x v="1"/>
    <s v="Electronics"/>
    <n v="8"/>
    <n v="20712"/>
    <n v="0.05"/>
    <n v="0.05"/>
    <m/>
    <n v="165696"/>
    <n v="157411.20000000001"/>
    <n v="224368"/>
    <n v="-66956.799999999988"/>
    <n v="-0.42536236303388819"/>
  </r>
  <r>
    <s v="ORD0357"/>
    <x v="219"/>
    <x v="2"/>
    <s v="KA"/>
    <x v="4"/>
    <x v="5"/>
    <x v="0"/>
    <s v="Furniture"/>
    <n v="10"/>
    <n v="5026"/>
    <m/>
    <n v="0"/>
    <m/>
    <n v="50260"/>
    <n v="50260"/>
    <n v="130400"/>
    <n v="-80140"/>
    <n v="-1.594508555511341"/>
  </r>
  <r>
    <s v="ORD0358"/>
    <x v="220"/>
    <x v="0"/>
    <s v="KA"/>
    <x v="1"/>
    <x v="5"/>
    <x v="0"/>
    <s v="Furniture"/>
    <n v="4"/>
    <n v="30888"/>
    <n v="0"/>
    <n v="0"/>
    <n v="28987"/>
    <n v="123552"/>
    <n v="123552"/>
    <n v="52160"/>
    <n v="71392"/>
    <n v="0.57782957782957778"/>
  </r>
  <r>
    <s v="ORD0359"/>
    <x v="221"/>
    <x v="1"/>
    <s v="TN"/>
    <x v="1"/>
    <x v="0"/>
    <x v="0"/>
    <s v="Furniture"/>
    <n v="4"/>
    <n v="1631"/>
    <n v="0.05"/>
    <n v="0.05"/>
    <n v="13429"/>
    <n v="6524"/>
    <n v="6197.8"/>
    <n v="53084"/>
    <n v="-46886.2"/>
    <n v="-7.5649746684307324"/>
  </r>
  <r>
    <s v="ORD0360"/>
    <x v="81"/>
    <x v="2"/>
    <s v="MH"/>
    <x v="1"/>
    <x v="3"/>
    <x v="1"/>
    <s v="Electronics"/>
    <n v="2"/>
    <n v="1931"/>
    <n v="0.05"/>
    <n v="0.05"/>
    <n v="12824"/>
    <n v="3862"/>
    <n v="3668.9"/>
    <n v="14768"/>
    <n v="-11099.1"/>
    <n v="-3.0251846602523917"/>
  </r>
  <r>
    <s v="ORD0361"/>
    <x v="127"/>
    <x v="0"/>
    <s v="GJ"/>
    <x v="1"/>
    <x v="4"/>
    <x v="1"/>
    <s v="Electronics"/>
    <n v="10"/>
    <n v="23499"/>
    <m/>
    <n v="0"/>
    <m/>
    <n v="234990"/>
    <n v="234990"/>
    <n v="280460"/>
    <n v="-45470"/>
    <n v="-0.19349759564236776"/>
  </r>
  <r>
    <s v="ORD0362"/>
    <x v="196"/>
    <x v="0"/>
    <s v="MH"/>
    <x v="0"/>
    <x v="2"/>
    <x v="1"/>
    <s v="Electronics"/>
    <n v="4"/>
    <n v="9153"/>
    <m/>
    <n v="0"/>
    <m/>
    <n v="36612"/>
    <n v="36612"/>
    <n v="11552"/>
    <n v="25060"/>
    <n v="0.6844750355074839"/>
  </r>
  <r>
    <s v="ORD0363"/>
    <x v="9"/>
    <x v="2"/>
    <s v="GJ"/>
    <x v="3"/>
    <x v="2"/>
    <x v="1"/>
    <s v="Electronics"/>
    <n v="4"/>
    <n v="25770"/>
    <n v="0"/>
    <n v="0"/>
    <n v="16277"/>
    <n v="103080"/>
    <n v="103080"/>
    <n v="11552"/>
    <n v="91528"/>
    <n v="0.88793170353123785"/>
  </r>
  <r>
    <s v="ORD0364"/>
    <x v="9"/>
    <x v="2"/>
    <s v="DL"/>
    <x v="4"/>
    <x v="4"/>
    <x v="1"/>
    <s v="Electronics"/>
    <n v="4"/>
    <n v="37748"/>
    <n v="0.1"/>
    <n v="0.1"/>
    <n v="26061"/>
    <n v="150992"/>
    <n v="135892.79999999999"/>
    <n v="112184"/>
    <n v="23708.799999999988"/>
    <n v="0.17446693275876271"/>
  </r>
  <r>
    <s v="ORD0365"/>
    <x v="46"/>
    <x v="2"/>
    <s v="KA"/>
    <x v="4"/>
    <x v="3"/>
    <x v="1"/>
    <s v="Electronics"/>
    <n v="1"/>
    <n v="7157"/>
    <m/>
    <n v="0"/>
    <m/>
    <n v="7157"/>
    <n v="7157"/>
    <n v="7384"/>
    <n v="-227"/>
    <n v="-3.1717199944110659E-2"/>
  </r>
  <r>
    <s v="ORD0366"/>
    <x v="222"/>
    <x v="3"/>
    <s v="TN"/>
    <x v="3"/>
    <x v="5"/>
    <x v="0"/>
    <s v="Furniture"/>
    <n v="3"/>
    <n v="10861"/>
    <m/>
    <n v="0"/>
    <n v="4730"/>
    <n v="32583"/>
    <n v="32583"/>
    <n v="39120"/>
    <n v="-6537"/>
    <n v="-0.20062609336156892"/>
  </r>
  <r>
    <s v="ORD0367"/>
    <x v="223"/>
    <x v="1"/>
    <s v="TN"/>
    <x v="4"/>
    <x v="3"/>
    <x v="1"/>
    <s v="Electronics"/>
    <n v="1"/>
    <n v="23523"/>
    <n v="0"/>
    <n v="0"/>
    <n v="2239"/>
    <n v="23523"/>
    <n v="23523"/>
    <n v="7384"/>
    <n v="16139"/>
    <n v="0.6860944607405518"/>
  </r>
  <r>
    <s v="ORD0368"/>
    <x v="224"/>
    <x v="1"/>
    <s v="DL"/>
    <x v="1"/>
    <x v="4"/>
    <x v="1"/>
    <s v="Electronics"/>
    <n v="8"/>
    <n v="40382"/>
    <n v="0"/>
    <n v="0"/>
    <m/>
    <n v="323056"/>
    <n v="323056"/>
    <n v="224368"/>
    <n v="98688"/>
    <n v="0.30548264078054577"/>
  </r>
  <r>
    <s v="ORD0369"/>
    <x v="143"/>
    <x v="3"/>
    <s v="TN"/>
    <x v="0"/>
    <x v="5"/>
    <x v="0"/>
    <s v="Furniture"/>
    <n v="3"/>
    <n v="40113"/>
    <n v="0.1"/>
    <n v="0.1"/>
    <n v="10130"/>
    <n v="120339"/>
    <n v="108305.1"/>
    <n v="39120"/>
    <n v="69185.100000000006"/>
    <n v="0.63879817293922447"/>
  </r>
  <r>
    <s v="ORD0370"/>
    <x v="225"/>
    <x v="1"/>
    <s v="DL"/>
    <x v="2"/>
    <x v="5"/>
    <x v="0"/>
    <s v="Furniture"/>
    <n v="5"/>
    <n v="40000"/>
    <m/>
    <n v="0"/>
    <m/>
    <n v="200000"/>
    <n v="200000"/>
    <n v="65200"/>
    <n v="134800"/>
    <n v="0.67400000000000004"/>
  </r>
  <r>
    <s v="ORD0371"/>
    <x v="129"/>
    <x v="3"/>
    <s v="DL"/>
    <x v="0"/>
    <x v="2"/>
    <x v="1"/>
    <s v="Electronics"/>
    <n v="6"/>
    <n v="35229"/>
    <n v="0.1"/>
    <n v="0.1"/>
    <n v="21984"/>
    <n v="211374"/>
    <n v="190236.6"/>
    <n v="17328"/>
    <n v="172908.6"/>
    <n v="0.90891342675384235"/>
  </r>
  <r>
    <s v="ORD0372"/>
    <x v="100"/>
    <x v="3"/>
    <s v="TN"/>
    <x v="2"/>
    <x v="3"/>
    <x v="1"/>
    <s v="Electronics"/>
    <n v="3"/>
    <n v="42936"/>
    <n v="0"/>
    <n v="0"/>
    <m/>
    <n v="128808"/>
    <n v="128808"/>
    <n v="22152"/>
    <n v="106656"/>
    <n v="0.82802310415502145"/>
  </r>
  <r>
    <s v="ORD0373"/>
    <x v="27"/>
    <x v="3"/>
    <s v="TN"/>
    <x v="2"/>
    <x v="3"/>
    <x v="1"/>
    <s v="Electronics"/>
    <n v="8"/>
    <n v="18701"/>
    <n v="0.1"/>
    <n v="0.1"/>
    <n v="1221"/>
    <n v="149608"/>
    <n v="134647.20000000001"/>
    <n v="59072"/>
    <n v="75575.200000000012"/>
    <n v="0.56128311617322901"/>
  </r>
  <r>
    <s v="ORD0374"/>
    <x v="226"/>
    <x v="0"/>
    <s v="MH"/>
    <x v="2"/>
    <x v="1"/>
    <x v="1"/>
    <s v="Electronics"/>
    <n v="4"/>
    <n v="22470"/>
    <n v="0.05"/>
    <n v="0.05"/>
    <m/>
    <n v="89880"/>
    <n v="85386"/>
    <n v="77060"/>
    <n v="8326"/>
    <n v="9.7510130466352804E-2"/>
  </r>
  <r>
    <s v="ORD0375"/>
    <x v="19"/>
    <x v="2"/>
    <s v="KA"/>
    <x v="1"/>
    <x v="2"/>
    <x v="1"/>
    <s v="Electronics"/>
    <n v="2"/>
    <n v="28341"/>
    <m/>
    <n v="0"/>
    <n v="14166"/>
    <n v="56682"/>
    <n v="56682"/>
    <n v="5776"/>
    <n v="50906"/>
    <n v="0.8980981616739"/>
  </r>
  <r>
    <s v="ORD0376"/>
    <x v="227"/>
    <x v="1"/>
    <s v="DL"/>
    <x v="1"/>
    <x v="3"/>
    <x v="1"/>
    <s v="Electronics"/>
    <n v="7"/>
    <n v="43874"/>
    <n v="0.1"/>
    <n v="0.1"/>
    <m/>
    <n v="307118"/>
    <n v="276406.2"/>
    <n v="51688"/>
    <n v="224718.2"/>
    <n v="0.81299985311472756"/>
  </r>
  <r>
    <s v="ORD0377"/>
    <x v="20"/>
    <x v="0"/>
    <s v="DL"/>
    <x v="0"/>
    <x v="5"/>
    <x v="0"/>
    <s v="Furniture"/>
    <n v="5"/>
    <n v="12830"/>
    <n v="0.05"/>
    <n v="0.05"/>
    <n v="15696"/>
    <n v="64150"/>
    <n v="60942.5"/>
    <n v="65200"/>
    <n v="-4257.5"/>
    <n v="-6.9860934487426668E-2"/>
  </r>
  <r>
    <s v="ORD0378"/>
    <x v="5"/>
    <x v="3"/>
    <s v="GJ"/>
    <x v="2"/>
    <x v="2"/>
    <x v="1"/>
    <s v="Electronics"/>
    <n v="5"/>
    <n v="36644"/>
    <n v="0.1"/>
    <n v="0.1"/>
    <m/>
    <n v="183220"/>
    <n v="164898"/>
    <n v="14440"/>
    <n v="150458"/>
    <n v="0.91243071474487258"/>
  </r>
  <r>
    <s v="ORD0379"/>
    <x v="228"/>
    <x v="3"/>
    <s v="TN"/>
    <x v="1"/>
    <x v="4"/>
    <x v="1"/>
    <s v="Electronics"/>
    <n v="10"/>
    <n v="45518"/>
    <n v="0"/>
    <n v="0"/>
    <n v="1171"/>
    <n v="455180"/>
    <n v="455180"/>
    <n v="280460"/>
    <n v="174720"/>
    <n v="0.38384814798541239"/>
  </r>
  <r>
    <s v="ORD0380"/>
    <x v="77"/>
    <x v="0"/>
    <s v="MH"/>
    <x v="0"/>
    <x v="2"/>
    <x v="1"/>
    <s v="Electronics"/>
    <n v="4"/>
    <n v="48084"/>
    <n v="0"/>
    <n v="0"/>
    <m/>
    <n v="192336"/>
    <n v="192336"/>
    <n v="11552"/>
    <n v="180784"/>
    <n v="0.93993844106147573"/>
  </r>
  <r>
    <s v="ORD0381"/>
    <x v="10"/>
    <x v="0"/>
    <s v="KA"/>
    <x v="3"/>
    <x v="4"/>
    <x v="1"/>
    <s v="Electronics"/>
    <n v="1"/>
    <n v="24408"/>
    <n v="0.1"/>
    <n v="0.1"/>
    <n v="18969"/>
    <n v="24408"/>
    <n v="21967.200000000001"/>
    <n v="28046"/>
    <n v="-6078.7999999999993"/>
    <n v="-0.27672165774427326"/>
  </r>
  <r>
    <s v="ORD0382"/>
    <x v="229"/>
    <x v="0"/>
    <s v="TN"/>
    <x v="4"/>
    <x v="4"/>
    <x v="1"/>
    <s v="Electronics"/>
    <n v="5"/>
    <n v="43828"/>
    <n v="0.1"/>
    <n v="0.1"/>
    <n v="19950"/>
    <n v="219140"/>
    <n v="197226"/>
    <n v="140230"/>
    <n v="56996"/>
    <n v="0.28898826726699317"/>
  </r>
  <r>
    <s v="ORD0383"/>
    <x v="230"/>
    <x v="2"/>
    <s v="TN"/>
    <x v="0"/>
    <x v="5"/>
    <x v="0"/>
    <s v="Furniture"/>
    <n v="2"/>
    <n v="20688"/>
    <n v="0.05"/>
    <n v="0.05"/>
    <n v="16146"/>
    <n v="41376"/>
    <n v="39307.199999999997"/>
    <n v="26080"/>
    <n v="13227.199999999997"/>
    <n v="0.33650832417470583"/>
  </r>
  <r>
    <s v="ORD0384"/>
    <x v="175"/>
    <x v="1"/>
    <s v="RJ"/>
    <x v="1"/>
    <x v="2"/>
    <x v="1"/>
    <s v="Electronics"/>
    <n v="3"/>
    <n v="566"/>
    <n v="0.05"/>
    <n v="0.05"/>
    <m/>
    <n v="1698"/>
    <n v="1613.1"/>
    <n v="8664"/>
    <n v="-7050.9"/>
    <n v="-4.3710247349823321"/>
  </r>
  <r>
    <s v="ORD0385"/>
    <x v="18"/>
    <x v="3"/>
    <s v="MH"/>
    <x v="1"/>
    <x v="3"/>
    <x v="1"/>
    <s v="Electronics"/>
    <n v="5"/>
    <n v="2228"/>
    <n v="0"/>
    <n v="0"/>
    <n v="14010"/>
    <n v="11140"/>
    <n v="11140"/>
    <n v="36920"/>
    <n v="-25780"/>
    <n v="-2.3141831238779176"/>
  </r>
  <r>
    <s v="ORD0386"/>
    <x v="231"/>
    <x v="0"/>
    <s v="GJ"/>
    <x v="3"/>
    <x v="4"/>
    <x v="1"/>
    <s v="Electronics"/>
    <n v="2"/>
    <n v="32635"/>
    <n v="0"/>
    <n v="0"/>
    <n v="2651"/>
    <n v="65270"/>
    <n v="65270"/>
    <n v="56092"/>
    <n v="9178"/>
    <n v="0.14061590317144171"/>
  </r>
  <r>
    <s v="ORD0387"/>
    <x v="176"/>
    <x v="3"/>
    <s v="DL"/>
    <x v="4"/>
    <x v="4"/>
    <x v="1"/>
    <s v="Electronics"/>
    <n v="7"/>
    <n v="12051"/>
    <n v="0"/>
    <n v="0"/>
    <m/>
    <n v="84357"/>
    <n v="84357"/>
    <n v="196322"/>
    <n v="-111965"/>
    <n v="-1.3272757447514729"/>
  </r>
  <r>
    <s v="ORD0388"/>
    <x v="49"/>
    <x v="0"/>
    <s v="GJ"/>
    <x v="3"/>
    <x v="3"/>
    <x v="1"/>
    <s v="Electronics"/>
    <n v="4"/>
    <n v="32972"/>
    <n v="0.05"/>
    <n v="0.05"/>
    <m/>
    <n v="131888"/>
    <n v="125293.6"/>
    <n v="29536"/>
    <n v="95757.6"/>
    <n v="0.76426569274089018"/>
  </r>
  <r>
    <s v="ORD0389"/>
    <x v="186"/>
    <x v="1"/>
    <s v="RJ"/>
    <x v="1"/>
    <x v="5"/>
    <x v="0"/>
    <s v="Furniture"/>
    <n v="7"/>
    <n v="14877"/>
    <m/>
    <n v="0"/>
    <n v="8780"/>
    <n v="104139"/>
    <n v="104139"/>
    <n v="91280"/>
    <n v="12859"/>
    <n v="0.12347919607447738"/>
  </r>
  <r>
    <s v="ORD0390"/>
    <x v="173"/>
    <x v="2"/>
    <s v="TN"/>
    <x v="1"/>
    <x v="1"/>
    <x v="1"/>
    <s v="Electronics"/>
    <n v="2"/>
    <n v="27863"/>
    <n v="0.1"/>
    <n v="0.1"/>
    <n v="13854"/>
    <n v="55726"/>
    <n v="50153.4"/>
    <n v="38530"/>
    <n v="11623.400000000001"/>
    <n v="0.2317569696172144"/>
  </r>
  <r>
    <s v="ORD0391"/>
    <x v="187"/>
    <x v="1"/>
    <s v="GJ"/>
    <x v="0"/>
    <x v="5"/>
    <x v="0"/>
    <s v="Furniture"/>
    <n v="8"/>
    <n v="19576"/>
    <n v="0.1"/>
    <n v="0.1"/>
    <m/>
    <n v="156608"/>
    <n v="140947.20000000001"/>
    <n v="104320"/>
    <n v="36627.200000000012"/>
    <n v="0.2598646869182219"/>
  </r>
  <r>
    <s v="ORD0392"/>
    <x v="190"/>
    <x v="2"/>
    <s v="GJ"/>
    <x v="3"/>
    <x v="1"/>
    <x v="1"/>
    <s v="Electronics"/>
    <n v="6"/>
    <n v="24651"/>
    <n v="0.1"/>
    <n v="0.1"/>
    <n v="3913"/>
    <n v="147906"/>
    <n v="133115.4"/>
    <n v="115590"/>
    <n v="17525.399999999994"/>
    <n v="0.13165569122731099"/>
  </r>
  <r>
    <s v="ORD0393"/>
    <x v="98"/>
    <x v="3"/>
    <s v="GJ"/>
    <x v="3"/>
    <x v="5"/>
    <x v="0"/>
    <s v="Furniture"/>
    <n v="7"/>
    <n v="25518"/>
    <n v="0.05"/>
    <n v="0.05"/>
    <n v="13658"/>
    <n v="178626"/>
    <n v="169694.7"/>
    <n v="91280"/>
    <n v="78414.700000000012"/>
    <n v="0.46209280549127346"/>
  </r>
  <r>
    <s v="ORD0394"/>
    <x v="232"/>
    <x v="1"/>
    <s v="TN"/>
    <x v="2"/>
    <x v="1"/>
    <x v="1"/>
    <s v="Electronics"/>
    <n v="6"/>
    <n v="48648"/>
    <n v="0.1"/>
    <n v="0.1"/>
    <m/>
    <n v="291888"/>
    <n v="262699.2"/>
    <n v="115590"/>
    <n v="147109.20000000001"/>
    <n v="0.55999104679420419"/>
  </r>
  <r>
    <s v="ORD0395"/>
    <x v="21"/>
    <x v="3"/>
    <s v="GJ"/>
    <x v="4"/>
    <x v="4"/>
    <x v="1"/>
    <s v="Electronics"/>
    <n v="10"/>
    <n v="31654"/>
    <m/>
    <n v="0"/>
    <n v="9153"/>
    <n v="316540"/>
    <n v="316540"/>
    <n v="280460"/>
    <n v="36080"/>
    <n v="0.11398243507929487"/>
  </r>
  <r>
    <s v="ORD0396"/>
    <x v="233"/>
    <x v="1"/>
    <s v="RJ"/>
    <x v="2"/>
    <x v="3"/>
    <x v="1"/>
    <s v="Electronics"/>
    <n v="7"/>
    <n v="16953"/>
    <n v="0"/>
    <n v="0"/>
    <m/>
    <n v="118671"/>
    <n v="118671"/>
    <n v="51688"/>
    <n v="66983"/>
    <n v="0.56444287146817673"/>
  </r>
  <r>
    <s v="ORD0397"/>
    <x v="84"/>
    <x v="2"/>
    <s v="TN"/>
    <x v="2"/>
    <x v="3"/>
    <x v="1"/>
    <s v="Electronics"/>
    <n v="5"/>
    <n v="13574"/>
    <n v="0.1"/>
    <n v="0.1"/>
    <n v="15669"/>
    <n v="67870"/>
    <n v="61083"/>
    <n v="36920"/>
    <n v="24163"/>
    <n v="0.39557651064944421"/>
  </r>
  <r>
    <s v="ORD0398"/>
    <x v="172"/>
    <x v="1"/>
    <s v="TN"/>
    <x v="0"/>
    <x v="3"/>
    <x v="1"/>
    <s v="Electronics"/>
    <n v="9"/>
    <n v="32049"/>
    <m/>
    <n v="0"/>
    <n v="16472"/>
    <n v="288441"/>
    <n v="288441"/>
    <n v="66456"/>
    <n v="221985"/>
    <n v="0.76960279571905521"/>
  </r>
  <r>
    <s v="ORD0399"/>
    <x v="111"/>
    <x v="2"/>
    <s v="RJ"/>
    <x v="1"/>
    <x v="0"/>
    <x v="0"/>
    <s v="Furniture"/>
    <n v="1"/>
    <n v="10178"/>
    <m/>
    <n v="0"/>
    <m/>
    <n v="10178"/>
    <n v="10178"/>
    <n v="13271"/>
    <n v="-3093"/>
    <n v="-0.30389074474356453"/>
  </r>
  <r>
    <s v="ORD0400"/>
    <x v="113"/>
    <x v="3"/>
    <s v="TN"/>
    <x v="2"/>
    <x v="4"/>
    <x v="1"/>
    <s v="Electronics"/>
    <n v="7"/>
    <n v="12346"/>
    <m/>
    <n v="0"/>
    <m/>
    <n v="86422"/>
    <n v="86422"/>
    <n v="196322"/>
    <n v="-109900"/>
    <n v="-1.2716669366596469"/>
  </r>
  <r>
    <s v="ORD0401"/>
    <x v="22"/>
    <x v="2"/>
    <s v="KA"/>
    <x v="0"/>
    <x v="1"/>
    <x v="1"/>
    <s v="Electronics"/>
    <n v="9"/>
    <n v="7842"/>
    <n v="0.1"/>
    <n v="0.1"/>
    <m/>
    <n v="70578"/>
    <n v="63520.2"/>
    <n v="173385"/>
    <n v="-109864.8"/>
    <n v="-1.7296041259315935"/>
  </r>
  <r>
    <s v="ORD0402"/>
    <x v="234"/>
    <x v="1"/>
    <s v="TN"/>
    <x v="0"/>
    <x v="5"/>
    <x v="0"/>
    <s v="Furniture"/>
    <n v="5"/>
    <n v="49128"/>
    <m/>
    <n v="0"/>
    <m/>
    <n v="245640"/>
    <n v="245640"/>
    <n v="65200"/>
    <n v="180440"/>
    <n v="0.7345709167887966"/>
  </r>
  <r>
    <s v="ORD0403"/>
    <x v="235"/>
    <x v="3"/>
    <s v="DL"/>
    <x v="4"/>
    <x v="1"/>
    <x v="1"/>
    <s v="Electronics"/>
    <n v="10"/>
    <n v="40502"/>
    <n v="0.05"/>
    <n v="0.05"/>
    <n v="13345"/>
    <n v="405020"/>
    <n v="384769"/>
    <n v="192650"/>
    <n v="192119"/>
    <n v="0.49930997559574708"/>
  </r>
  <r>
    <s v="ORD0404"/>
    <x v="236"/>
    <x v="0"/>
    <s v="GJ"/>
    <x v="3"/>
    <x v="5"/>
    <x v="0"/>
    <s v="Furniture"/>
    <n v="1"/>
    <n v="35461"/>
    <n v="0"/>
    <n v="0"/>
    <n v="23632"/>
    <n v="35461"/>
    <n v="35461"/>
    <n v="13040"/>
    <n v="22421"/>
    <n v="0.63227207354558534"/>
  </r>
  <r>
    <s v="ORD0405"/>
    <x v="237"/>
    <x v="2"/>
    <s v="DL"/>
    <x v="0"/>
    <x v="2"/>
    <x v="1"/>
    <s v="Electronics"/>
    <n v="10"/>
    <n v="6890"/>
    <n v="0.1"/>
    <n v="0.1"/>
    <m/>
    <n v="68900"/>
    <n v="62010"/>
    <n v="28880"/>
    <n v="33130"/>
    <n v="0.53426866634413805"/>
  </r>
  <r>
    <s v="ORD0406"/>
    <x v="238"/>
    <x v="2"/>
    <s v="KA"/>
    <x v="2"/>
    <x v="4"/>
    <x v="1"/>
    <s v="Electronics"/>
    <n v="5"/>
    <n v="47450"/>
    <n v="0.1"/>
    <n v="0.1"/>
    <m/>
    <n v="237250"/>
    <n v="213525"/>
    <n v="140230"/>
    <n v="73295"/>
    <n v="0.34326191312492682"/>
  </r>
  <r>
    <s v="ORD0407"/>
    <x v="239"/>
    <x v="1"/>
    <s v="KA"/>
    <x v="3"/>
    <x v="3"/>
    <x v="1"/>
    <s v="Electronics"/>
    <n v="8"/>
    <n v="48987"/>
    <n v="0.1"/>
    <n v="0.1"/>
    <m/>
    <n v="391896"/>
    <n v="352706.4"/>
    <n v="59072"/>
    <n v="293634.40000000002"/>
    <n v="0.8325179242565488"/>
  </r>
  <r>
    <s v="ORD0408"/>
    <x v="240"/>
    <x v="0"/>
    <s v="MH"/>
    <x v="3"/>
    <x v="1"/>
    <x v="1"/>
    <s v="Electronics"/>
    <n v="10"/>
    <n v="11357"/>
    <n v="0.1"/>
    <n v="0.1"/>
    <m/>
    <n v="113570"/>
    <n v="102213"/>
    <n v="192650"/>
    <n v="-90437"/>
    <n v="-0.88478960601880385"/>
  </r>
  <r>
    <s v="ORD0409"/>
    <x v="241"/>
    <x v="0"/>
    <s v="MH"/>
    <x v="1"/>
    <x v="4"/>
    <x v="1"/>
    <s v="Electronics"/>
    <n v="4"/>
    <n v="47448"/>
    <m/>
    <n v="0"/>
    <m/>
    <n v="189792"/>
    <n v="189792"/>
    <n v="112184"/>
    <n v="77608"/>
    <n v="0.40891080762097454"/>
  </r>
  <r>
    <s v="ORD0410"/>
    <x v="149"/>
    <x v="2"/>
    <s v="MH"/>
    <x v="4"/>
    <x v="3"/>
    <x v="1"/>
    <s v="Electronics"/>
    <n v="6"/>
    <n v="3259"/>
    <n v="0.05"/>
    <n v="0.05"/>
    <m/>
    <n v="19554"/>
    <n v="18576.3"/>
    <n v="44304"/>
    <n v="-25727.7"/>
    <n v="-1.3849744028681708"/>
  </r>
  <r>
    <s v="ORD0411"/>
    <x v="242"/>
    <x v="2"/>
    <s v="DL"/>
    <x v="4"/>
    <x v="4"/>
    <x v="1"/>
    <s v="Electronics"/>
    <n v="2"/>
    <n v="29289"/>
    <n v="0.05"/>
    <n v="0.05"/>
    <n v="27170"/>
    <n v="58578"/>
    <n v="55649.1"/>
    <n v="56092"/>
    <n v="-442.90000000000146"/>
    <n v="-7.958798974287121E-3"/>
  </r>
  <r>
    <s v="ORD0412"/>
    <x v="100"/>
    <x v="0"/>
    <s v="DL"/>
    <x v="3"/>
    <x v="4"/>
    <x v="1"/>
    <s v="Electronics"/>
    <n v="2"/>
    <n v="31911"/>
    <m/>
    <n v="0"/>
    <m/>
    <n v="63822"/>
    <n v="63822"/>
    <n v="56092"/>
    <n v="7730"/>
    <n v="0.12111810974272194"/>
  </r>
  <r>
    <s v="ORD0413"/>
    <x v="243"/>
    <x v="2"/>
    <s v="RJ"/>
    <x v="4"/>
    <x v="2"/>
    <x v="1"/>
    <s v="Electronics"/>
    <n v="2"/>
    <n v="18540"/>
    <n v="0"/>
    <n v="0"/>
    <m/>
    <n v="37080"/>
    <n v="37080"/>
    <n v="5776"/>
    <n v="31304"/>
    <n v="0.84422869471413164"/>
  </r>
  <r>
    <s v="ORD0414"/>
    <x v="57"/>
    <x v="3"/>
    <s v="DL"/>
    <x v="4"/>
    <x v="3"/>
    <x v="1"/>
    <s v="Electronics"/>
    <n v="2"/>
    <n v="787"/>
    <n v="0"/>
    <n v="0"/>
    <n v="6405"/>
    <n v="1574"/>
    <n v="1574"/>
    <n v="14768"/>
    <n v="-13194"/>
    <n v="-8.3824650571791608"/>
  </r>
  <r>
    <s v="ORD0415"/>
    <x v="10"/>
    <x v="1"/>
    <s v="KA"/>
    <x v="4"/>
    <x v="0"/>
    <x v="0"/>
    <s v="Furniture"/>
    <n v="2"/>
    <n v="2106"/>
    <m/>
    <n v="0"/>
    <n v="6951"/>
    <n v="4212"/>
    <n v="4212"/>
    <n v="26542"/>
    <n v="-22330"/>
    <n v="-5.3015194681861351"/>
  </r>
  <r>
    <s v="ORD0416"/>
    <x v="176"/>
    <x v="1"/>
    <s v="MH"/>
    <x v="4"/>
    <x v="3"/>
    <x v="1"/>
    <s v="Electronics"/>
    <n v="2"/>
    <n v="26153"/>
    <n v="0.05"/>
    <n v="0.05"/>
    <m/>
    <n v="52306"/>
    <n v="49690.7"/>
    <n v="14768"/>
    <n v="34922.699999999997"/>
    <n v="0.70280153026622683"/>
  </r>
  <r>
    <s v="ORD0417"/>
    <x v="244"/>
    <x v="0"/>
    <s v="TN"/>
    <x v="0"/>
    <x v="2"/>
    <x v="1"/>
    <s v="Electronics"/>
    <n v="5"/>
    <n v="35854"/>
    <n v="0"/>
    <n v="0"/>
    <m/>
    <n v="179270"/>
    <n v="179270"/>
    <n v="14440"/>
    <n v="164830"/>
    <n v="0.9194511072683661"/>
  </r>
  <r>
    <s v="ORD0418"/>
    <x v="95"/>
    <x v="3"/>
    <s v="MH"/>
    <x v="2"/>
    <x v="5"/>
    <x v="0"/>
    <s v="Furniture"/>
    <n v="9"/>
    <n v="23456"/>
    <n v="0.05"/>
    <n v="0.05"/>
    <n v="25604"/>
    <n v="211104"/>
    <n v="200548.8"/>
    <n v="117360"/>
    <n v="83188.799999999988"/>
    <n v="0.41480577295900045"/>
  </r>
  <r>
    <s v="ORD0419"/>
    <x v="221"/>
    <x v="3"/>
    <s v="TN"/>
    <x v="3"/>
    <x v="2"/>
    <x v="1"/>
    <s v="Electronics"/>
    <n v="5"/>
    <n v="18042"/>
    <n v="0.05"/>
    <n v="0.05"/>
    <m/>
    <n v="90210"/>
    <n v="85699.5"/>
    <n v="14440"/>
    <n v="71259.5"/>
    <n v="0.83150426781953224"/>
  </r>
  <r>
    <s v="ORD0420"/>
    <x v="245"/>
    <x v="1"/>
    <s v="MH"/>
    <x v="0"/>
    <x v="2"/>
    <x v="1"/>
    <s v="Electronics"/>
    <n v="4"/>
    <n v="37181"/>
    <n v="0.05"/>
    <n v="0.05"/>
    <n v="2967"/>
    <n v="148724"/>
    <n v="141287.79999999999"/>
    <n v="11552"/>
    <n v="129735.79999999999"/>
    <n v="0.91823780963395285"/>
  </r>
  <r>
    <s v="ORD0421"/>
    <x v="196"/>
    <x v="3"/>
    <s v="DL"/>
    <x v="4"/>
    <x v="1"/>
    <x v="1"/>
    <s v="Electronics"/>
    <n v="4"/>
    <n v="23332"/>
    <n v="0.1"/>
    <n v="0.1"/>
    <n v="27556"/>
    <n v="93328"/>
    <n v="83995.199999999997"/>
    <n v="77060"/>
    <n v="6935.1999999999971"/>
    <n v="8.2566622854639282E-2"/>
  </r>
  <r>
    <s v="ORD0422"/>
    <x v="15"/>
    <x v="3"/>
    <s v="KA"/>
    <x v="3"/>
    <x v="1"/>
    <x v="1"/>
    <s v="Electronics"/>
    <n v="7"/>
    <n v="41961"/>
    <n v="0.1"/>
    <n v="0.1"/>
    <m/>
    <n v="293727"/>
    <n v="264354.3"/>
    <n v="134855"/>
    <n v="129499.29999999999"/>
    <n v="0.48987022340850894"/>
  </r>
  <r>
    <s v="ORD0423"/>
    <x v="232"/>
    <x v="1"/>
    <s v="DL"/>
    <x v="2"/>
    <x v="1"/>
    <x v="1"/>
    <s v="Electronics"/>
    <n v="6"/>
    <n v="43295"/>
    <n v="0"/>
    <n v="0"/>
    <n v="26119"/>
    <n v="259770"/>
    <n v="259770"/>
    <n v="115590"/>
    <n v="144180"/>
    <n v="0.55502944912807484"/>
  </r>
  <r>
    <s v="ORD0424"/>
    <x v="246"/>
    <x v="3"/>
    <s v="TN"/>
    <x v="0"/>
    <x v="1"/>
    <x v="1"/>
    <s v="Electronics"/>
    <n v="10"/>
    <n v="33957"/>
    <n v="0.1"/>
    <n v="0.1"/>
    <m/>
    <n v="339570"/>
    <n v="305613"/>
    <n v="192650"/>
    <n v="112963"/>
    <n v="0.36962760092011793"/>
  </r>
  <r>
    <s v="ORD0425"/>
    <x v="173"/>
    <x v="3"/>
    <s v="RJ"/>
    <x v="4"/>
    <x v="3"/>
    <x v="1"/>
    <s v="Electronics"/>
    <n v="2"/>
    <n v="34251"/>
    <n v="0"/>
    <n v="0"/>
    <m/>
    <n v="68502"/>
    <n v="68502"/>
    <n v="14768"/>
    <n v="53734"/>
    <n v="0.78441505357507813"/>
  </r>
  <r>
    <s v="ORD0426"/>
    <x v="247"/>
    <x v="2"/>
    <s v="TN"/>
    <x v="2"/>
    <x v="3"/>
    <x v="1"/>
    <s v="Electronics"/>
    <n v="10"/>
    <n v="19874"/>
    <n v="0.05"/>
    <n v="0.05"/>
    <n v="21117"/>
    <n v="198740"/>
    <n v="188803"/>
    <n v="73840"/>
    <n v="114963"/>
    <n v="0.60890451952564317"/>
  </r>
  <r>
    <s v="ORD0427"/>
    <x v="245"/>
    <x v="0"/>
    <s v="MH"/>
    <x v="1"/>
    <x v="0"/>
    <x v="0"/>
    <s v="Furniture"/>
    <n v="1"/>
    <n v="10984"/>
    <n v="0.05"/>
    <n v="0.05"/>
    <n v="29609"/>
    <n v="10984"/>
    <n v="10434.799999999999"/>
    <n v="13271"/>
    <n v="-2836.2000000000007"/>
    <n v="-0.27180204699658844"/>
  </r>
  <r>
    <s v="ORD0428"/>
    <x v="248"/>
    <x v="3"/>
    <s v="DL"/>
    <x v="1"/>
    <x v="2"/>
    <x v="1"/>
    <s v="Electronics"/>
    <n v="5"/>
    <n v="34499"/>
    <n v="0"/>
    <n v="0"/>
    <m/>
    <n v="172495"/>
    <n v="172495"/>
    <n v="14440"/>
    <n v="158055"/>
    <n v="0.91628742862111945"/>
  </r>
  <r>
    <s v="ORD0429"/>
    <x v="176"/>
    <x v="2"/>
    <s v="DL"/>
    <x v="1"/>
    <x v="3"/>
    <x v="1"/>
    <s v="Electronics"/>
    <n v="10"/>
    <n v="46603"/>
    <n v="0.1"/>
    <n v="0.1"/>
    <m/>
    <n v="466030"/>
    <n v="419427"/>
    <n v="73840"/>
    <n v="345587"/>
    <n v="0.82395029409170129"/>
  </r>
  <r>
    <s v="ORD0430"/>
    <x v="60"/>
    <x v="1"/>
    <s v="DL"/>
    <x v="4"/>
    <x v="0"/>
    <x v="0"/>
    <s v="Furniture"/>
    <n v="8"/>
    <n v="26216"/>
    <m/>
    <n v="0"/>
    <m/>
    <n v="209728"/>
    <n v="209728"/>
    <n v="106168"/>
    <n v="103560"/>
    <n v="0.4937824229478181"/>
  </r>
  <r>
    <s v="ORD0431"/>
    <x v="63"/>
    <x v="0"/>
    <s v="MH"/>
    <x v="3"/>
    <x v="5"/>
    <x v="0"/>
    <s v="Furniture"/>
    <n v="7"/>
    <n v="46356"/>
    <n v="0.1"/>
    <n v="0.1"/>
    <m/>
    <n v="324492"/>
    <n v="292042.8"/>
    <n v="91280"/>
    <n v="200762.8"/>
    <n v="0.68744307341252719"/>
  </r>
  <r>
    <s v="ORD0432"/>
    <x v="249"/>
    <x v="0"/>
    <s v="KA"/>
    <x v="3"/>
    <x v="2"/>
    <x v="1"/>
    <s v="Electronics"/>
    <n v="8"/>
    <n v="23080"/>
    <n v="0.1"/>
    <n v="0.1"/>
    <n v="6004"/>
    <n v="184640"/>
    <n v="166176"/>
    <n v="23104"/>
    <n v="143072"/>
    <n v="0.86096668592335834"/>
  </r>
  <r>
    <s v="ORD0433"/>
    <x v="235"/>
    <x v="2"/>
    <s v="TN"/>
    <x v="3"/>
    <x v="2"/>
    <x v="1"/>
    <s v="Electronics"/>
    <n v="4"/>
    <n v="35728"/>
    <n v="0"/>
    <n v="0"/>
    <m/>
    <n v="142912"/>
    <n v="142912"/>
    <n v="11552"/>
    <n v="131360"/>
    <n v="0.91916703985669501"/>
  </r>
  <r>
    <s v="ORD0434"/>
    <x v="250"/>
    <x v="2"/>
    <s v="TN"/>
    <x v="2"/>
    <x v="2"/>
    <x v="1"/>
    <s v="Electronics"/>
    <n v="3"/>
    <n v="48132"/>
    <m/>
    <n v="0"/>
    <n v="7587"/>
    <n v="144396"/>
    <n v="144396"/>
    <n v="8664"/>
    <n v="135732"/>
    <n v="0.93999833790409704"/>
  </r>
  <r>
    <s v="ORD0435"/>
    <x v="132"/>
    <x v="3"/>
    <s v="DL"/>
    <x v="4"/>
    <x v="5"/>
    <x v="0"/>
    <s v="Furniture"/>
    <n v="5"/>
    <n v="1021"/>
    <n v="0"/>
    <n v="0"/>
    <n v="18069"/>
    <n v="5105"/>
    <n v="5105"/>
    <n v="65200"/>
    <n v="-60095"/>
    <n v="-11.77179236043095"/>
  </r>
  <r>
    <s v="ORD0436"/>
    <x v="176"/>
    <x v="2"/>
    <s v="KA"/>
    <x v="3"/>
    <x v="0"/>
    <x v="0"/>
    <s v="Furniture"/>
    <n v="1"/>
    <n v="21988"/>
    <m/>
    <n v="0"/>
    <n v="9322"/>
    <n v="21988"/>
    <n v="21988"/>
    <n v="13271"/>
    <n v="8717"/>
    <n v="0.39644351464435146"/>
  </r>
  <r>
    <s v="ORD0437"/>
    <x v="251"/>
    <x v="0"/>
    <s v="GJ"/>
    <x v="2"/>
    <x v="4"/>
    <x v="1"/>
    <s v="Electronics"/>
    <n v="8"/>
    <n v="36668"/>
    <n v="0.05"/>
    <n v="0.05"/>
    <m/>
    <n v="293344"/>
    <n v="278676.8"/>
    <n v="224368"/>
    <n v="54308.799999999988"/>
    <n v="0.19488095169745021"/>
  </r>
  <r>
    <s v="ORD0438"/>
    <x v="66"/>
    <x v="0"/>
    <s v="TN"/>
    <x v="4"/>
    <x v="1"/>
    <x v="1"/>
    <s v="Electronics"/>
    <n v="9"/>
    <n v="14464"/>
    <m/>
    <n v="0"/>
    <m/>
    <n v="130176"/>
    <n v="130176"/>
    <n v="173385"/>
    <n v="-43209"/>
    <n v="-0.33192754424778759"/>
  </r>
  <r>
    <s v="ORD0439"/>
    <x v="252"/>
    <x v="3"/>
    <s v="KA"/>
    <x v="3"/>
    <x v="4"/>
    <x v="1"/>
    <s v="Electronics"/>
    <n v="9"/>
    <n v="47320"/>
    <n v="0.05"/>
    <n v="0.05"/>
    <n v="17954"/>
    <n v="425880"/>
    <n v="404586"/>
    <n v="252414"/>
    <n v="152172"/>
    <n v="0.37611780931618988"/>
  </r>
  <r>
    <s v="ORD0440"/>
    <x v="241"/>
    <x v="3"/>
    <s v="DL"/>
    <x v="0"/>
    <x v="3"/>
    <x v="1"/>
    <s v="Electronics"/>
    <n v="8"/>
    <n v="39858"/>
    <n v="0.1"/>
    <n v="0.1"/>
    <n v="4863"/>
    <n v="318864"/>
    <n v="286977.59999999998"/>
    <n v="59072"/>
    <n v="227905.59999999998"/>
    <n v="0.7941581503225339"/>
  </r>
  <r>
    <s v="ORD0441"/>
    <x v="84"/>
    <x v="3"/>
    <s v="DL"/>
    <x v="4"/>
    <x v="3"/>
    <x v="1"/>
    <s v="Electronics"/>
    <n v="7"/>
    <n v="18091"/>
    <n v="0.1"/>
    <n v="0.1"/>
    <m/>
    <n v="126637"/>
    <n v="113973.3"/>
    <n v="51688"/>
    <n v="62285.3"/>
    <n v="0.54649027447656606"/>
  </r>
  <r>
    <s v="ORD0442"/>
    <x v="148"/>
    <x v="1"/>
    <s v="GJ"/>
    <x v="4"/>
    <x v="1"/>
    <x v="1"/>
    <s v="Electronics"/>
    <n v="6"/>
    <n v="4005"/>
    <m/>
    <n v="0"/>
    <n v="22765"/>
    <n v="24030"/>
    <n v="24030"/>
    <n v="115590"/>
    <n v="-91560"/>
    <n v="-3.8102372034956304"/>
  </r>
  <r>
    <s v="ORD0443"/>
    <x v="253"/>
    <x v="0"/>
    <s v="RJ"/>
    <x v="0"/>
    <x v="0"/>
    <x v="0"/>
    <s v="Furniture"/>
    <n v="6"/>
    <n v="7704"/>
    <m/>
    <n v="0"/>
    <n v="3748"/>
    <n v="46224"/>
    <n v="46224"/>
    <n v="79626"/>
    <n v="-33402"/>
    <n v="-0.72261163032191067"/>
  </r>
  <r>
    <s v="ORD0444"/>
    <x v="155"/>
    <x v="2"/>
    <s v="MH"/>
    <x v="2"/>
    <x v="5"/>
    <x v="0"/>
    <s v="Furniture"/>
    <n v="8"/>
    <n v="25619"/>
    <n v="0.05"/>
    <n v="0.05"/>
    <n v="785"/>
    <n v="204952"/>
    <n v="194704.4"/>
    <n v="104320"/>
    <n v="90384.4"/>
    <n v="0.4642134435585431"/>
  </r>
  <r>
    <s v="ORD0445"/>
    <x v="20"/>
    <x v="2"/>
    <s v="DL"/>
    <x v="4"/>
    <x v="2"/>
    <x v="1"/>
    <s v="Electronics"/>
    <n v="4"/>
    <n v="918"/>
    <n v="0"/>
    <n v="0"/>
    <m/>
    <n v="3672"/>
    <n v="3672"/>
    <n v="11552"/>
    <n v="-7880"/>
    <n v="-2.1459694989106755"/>
  </r>
  <r>
    <s v="ORD0446"/>
    <x v="254"/>
    <x v="0"/>
    <s v="MH"/>
    <x v="3"/>
    <x v="4"/>
    <x v="1"/>
    <s v="Electronics"/>
    <n v="2"/>
    <n v="41050"/>
    <m/>
    <n v="0"/>
    <m/>
    <n v="82100"/>
    <n v="82100"/>
    <n v="56092"/>
    <n v="26008"/>
    <n v="0.31678440925700363"/>
  </r>
  <r>
    <s v="ORD0447"/>
    <x v="68"/>
    <x v="1"/>
    <s v="DL"/>
    <x v="2"/>
    <x v="0"/>
    <x v="0"/>
    <s v="Furniture"/>
    <n v="2"/>
    <n v="9119"/>
    <n v="0.05"/>
    <n v="0.05"/>
    <m/>
    <n v="18238"/>
    <n v="17326.099999999999"/>
    <n v="26542"/>
    <n v="-9215.9000000000015"/>
    <n v="-0.53190850797351985"/>
  </r>
  <r>
    <s v="ORD0448"/>
    <x v="255"/>
    <x v="3"/>
    <s v="MH"/>
    <x v="3"/>
    <x v="2"/>
    <x v="1"/>
    <s v="Electronics"/>
    <n v="3"/>
    <n v="15945"/>
    <n v="0.1"/>
    <n v="0.1"/>
    <m/>
    <n v="47835"/>
    <n v="43051.5"/>
    <n v="8664"/>
    <n v="34387.5"/>
    <n v="0.79875265670185713"/>
  </r>
  <r>
    <s v="ORD0449"/>
    <x v="62"/>
    <x v="1"/>
    <s v="TN"/>
    <x v="1"/>
    <x v="2"/>
    <x v="1"/>
    <s v="Electronics"/>
    <n v="9"/>
    <n v="38254"/>
    <m/>
    <n v="0"/>
    <m/>
    <n v="344286"/>
    <n v="344286"/>
    <n v="25992"/>
    <n v="318294"/>
    <n v="0.92450462696711455"/>
  </r>
  <r>
    <s v="ORD0450"/>
    <x v="46"/>
    <x v="1"/>
    <s v="KA"/>
    <x v="4"/>
    <x v="2"/>
    <x v="1"/>
    <s v="Electronics"/>
    <n v="7"/>
    <n v="26357"/>
    <m/>
    <n v="0"/>
    <m/>
    <n v="184499"/>
    <n v="184499"/>
    <n v="20216"/>
    <n v="164283"/>
    <n v="0.89042759039344388"/>
  </r>
  <r>
    <s v="ORD0451"/>
    <x v="204"/>
    <x v="3"/>
    <s v="GJ"/>
    <x v="3"/>
    <x v="2"/>
    <x v="1"/>
    <s v="Electronics"/>
    <n v="10"/>
    <n v="44196"/>
    <n v="0.05"/>
    <n v="0.05"/>
    <m/>
    <n v="441960"/>
    <n v="419862"/>
    <n v="28880"/>
    <n v="390982"/>
    <n v="0.93121549461489728"/>
  </r>
  <r>
    <s v="ORD0452"/>
    <x v="256"/>
    <x v="1"/>
    <s v="GJ"/>
    <x v="1"/>
    <x v="1"/>
    <x v="1"/>
    <s v="Electronics"/>
    <n v="10"/>
    <n v="11629"/>
    <n v="0.05"/>
    <n v="0.05"/>
    <m/>
    <n v="116290"/>
    <n v="110475.5"/>
    <n v="192650"/>
    <n v="-82174.5"/>
    <n v="-0.74382555408212681"/>
  </r>
  <r>
    <s v="ORD0453"/>
    <x v="117"/>
    <x v="0"/>
    <s v="DL"/>
    <x v="3"/>
    <x v="3"/>
    <x v="1"/>
    <s v="Electronics"/>
    <n v="7"/>
    <n v="48016"/>
    <n v="0"/>
    <n v="0"/>
    <n v="8644"/>
    <n v="336112"/>
    <n v="336112"/>
    <n v="51688"/>
    <n v="284424"/>
    <n v="0.84621792735754753"/>
  </r>
  <r>
    <s v="ORD0454"/>
    <x v="130"/>
    <x v="2"/>
    <s v="KA"/>
    <x v="3"/>
    <x v="1"/>
    <x v="1"/>
    <s v="Electronics"/>
    <n v="8"/>
    <n v="28804"/>
    <m/>
    <n v="0"/>
    <m/>
    <n v="230432"/>
    <n v="230432"/>
    <n v="154120"/>
    <n v="76312"/>
    <n v="0.33116928204416052"/>
  </r>
  <r>
    <s v="ORD0455"/>
    <x v="142"/>
    <x v="3"/>
    <s v="MH"/>
    <x v="3"/>
    <x v="1"/>
    <x v="1"/>
    <s v="Electronics"/>
    <n v="7"/>
    <n v="48561"/>
    <n v="0"/>
    <n v="0"/>
    <n v="24680"/>
    <n v="339927"/>
    <n v="339927"/>
    <n v="134855"/>
    <n v="205072"/>
    <n v="0.60328246947138653"/>
  </r>
  <r>
    <s v="ORD0456"/>
    <x v="83"/>
    <x v="1"/>
    <s v="KA"/>
    <x v="3"/>
    <x v="1"/>
    <x v="1"/>
    <s v="Electronics"/>
    <n v="2"/>
    <n v="31530"/>
    <n v="0.05"/>
    <n v="0.05"/>
    <m/>
    <n v="63060"/>
    <n v="59907"/>
    <n v="38530"/>
    <n v="21377"/>
    <n v="0.35683642979952257"/>
  </r>
  <r>
    <s v="ORD0457"/>
    <x v="246"/>
    <x v="3"/>
    <s v="DL"/>
    <x v="0"/>
    <x v="1"/>
    <x v="1"/>
    <s v="Electronics"/>
    <n v="6"/>
    <n v="38837"/>
    <m/>
    <n v="0"/>
    <m/>
    <n v="233022"/>
    <n v="233022"/>
    <n v="115590"/>
    <n v="117432"/>
    <n v="0.50395241651002909"/>
  </r>
  <r>
    <s v="ORD0458"/>
    <x v="257"/>
    <x v="3"/>
    <s v="MH"/>
    <x v="0"/>
    <x v="0"/>
    <x v="0"/>
    <s v="Furniture"/>
    <n v="5"/>
    <n v="7712"/>
    <n v="0.1"/>
    <n v="0.1"/>
    <m/>
    <n v="38560"/>
    <n v="34704"/>
    <n v="66355"/>
    <n v="-31651"/>
    <n v="-0.91202743199631164"/>
  </r>
  <r>
    <s v="ORD0459"/>
    <x v="258"/>
    <x v="1"/>
    <s v="RJ"/>
    <x v="4"/>
    <x v="5"/>
    <x v="0"/>
    <s v="Furniture"/>
    <n v="9"/>
    <n v="41752"/>
    <n v="0"/>
    <n v="0"/>
    <m/>
    <n v="375768"/>
    <n v="375768"/>
    <n v="117360"/>
    <n v="258408"/>
    <n v="0.68767963211343164"/>
  </r>
  <r>
    <s v="ORD0460"/>
    <x v="80"/>
    <x v="3"/>
    <s v="MH"/>
    <x v="2"/>
    <x v="5"/>
    <x v="0"/>
    <s v="Furniture"/>
    <n v="8"/>
    <n v="45206"/>
    <n v="0.05"/>
    <n v="0.05"/>
    <n v="26119"/>
    <n v="361648"/>
    <n v="343565.6"/>
    <n v="104320"/>
    <n v="239245.59999999998"/>
    <n v="0.69636075323024194"/>
  </r>
  <r>
    <s v="ORD0461"/>
    <x v="259"/>
    <x v="1"/>
    <s v="MH"/>
    <x v="1"/>
    <x v="5"/>
    <x v="0"/>
    <s v="Furniture"/>
    <n v="9"/>
    <n v="6523"/>
    <n v="0.1"/>
    <n v="0.1"/>
    <m/>
    <n v="58707"/>
    <n v="52836.3"/>
    <n v="117360"/>
    <n v="-64523.7"/>
    <n v="-1.2212001975914284"/>
  </r>
  <r>
    <s v="ORD0462"/>
    <x v="169"/>
    <x v="2"/>
    <s v="GJ"/>
    <x v="2"/>
    <x v="5"/>
    <x v="0"/>
    <s v="Furniture"/>
    <n v="8"/>
    <n v="30450"/>
    <n v="0.05"/>
    <n v="0.05"/>
    <n v="24771"/>
    <n v="243600"/>
    <n v="231420"/>
    <n v="104320"/>
    <n v="127100"/>
    <n v="0.54921787226687413"/>
  </r>
  <r>
    <s v="ORD0463"/>
    <x v="260"/>
    <x v="3"/>
    <s v="TN"/>
    <x v="2"/>
    <x v="0"/>
    <x v="0"/>
    <s v="Furniture"/>
    <n v="2"/>
    <n v="46475"/>
    <n v="0.1"/>
    <n v="0.1"/>
    <m/>
    <n v="92950"/>
    <n v="83655"/>
    <n v="26542"/>
    <n v="57113"/>
    <n v="0.68272069810531344"/>
  </r>
  <r>
    <s v="ORD0464"/>
    <x v="149"/>
    <x v="3"/>
    <s v="TN"/>
    <x v="2"/>
    <x v="2"/>
    <x v="1"/>
    <s v="Electronics"/>
    <n v="3"/>
    <n v="7799"/>
    <n v="0.1"/>
    <n v="0.1"/>
    <n v="17480"/>
    <n v="23397"/>
    <n v="21057.3"/>
    <n v="8664"/>
    <n v="12393.3"/>
    <n v="0.58855123876280435"/>
  </r>
  <r>
    <s v="ORD0465"/>
    <x v="37"/>
    <x v="2"/>
    <s v="KA"/>
    <x v="3"/>
    <x v="4"/>
    <x v="1"/>
    <s v="Electronics"/>
    <n v="5"/>
    <n v="1122"/>
    <n v="0"/>
    <n v="0"/>
    <m/>
    <n v="5610"/>
    <n v="5610"/>
    <n v="140230"/>
    <n v="-134620"/>
    <n v="-23.996434937611408"/>
  </r>
  <r>
    <s v="ORD0466"/>
    <x v="259"/>
    <x v="3"/>
    <s v="TN"/>
    <x v="1"/>
    <x v="3"/>
    <x v="1"/>
    <s v="Electronics"/>
    <n v="5"/>
    <n v="48459"/>
    <n v="0.05"/>
    <n v="0.05"/>
    <m/>
    <n v="242295"/>
    <n v="230180.25"/>
    <n v="36920"/>
    <n v="193260.25"/>
    <n v="0.8396039625467433"/>
  </r>
  <r>
    <s v="ORD0467"/>
    <x v="70"/>
    <x v="1"/>
    <s v="TN"/>
    <x v="3"/>
    <x v="2"/>
    <x v="1"/>
    <s v="Electronics"/>
    <n v="4"/>
    <n v="47867"/>
    <n v="0.05"/>
    <n v="0.05"/>
    <m/>
    <n v="191468"/>
    <n v="181894.6"/>
    <n v="11552"/>
    <n v="170342.6"/>
    <n v="0.93649069296174814"/>
  </r>
  <r>
    <s v="ORD0468"/>
    <x v="196"/>
    <x v="2"/>
    <s v="MH"/>
    <x v="3"/>
    <x v="1"/>
    <x v="1"/>
    <s v="Electronics"/>
    <n v="10"/>
    <n v="45363"/>
    <n v="0.05"/>
    <n v="0.05"/>
    <m/>
    <n v="453630"/>
    <n v="430948.5"/>
    <n v="192650"/>
    <n v="238298.5"/>
    <n v="0.5529628250243358"/>
  </r>
  <r>
    <s v="ORD0469"/>
    <x v="261"/>
    <x v="2"/>
    <s v="DL"/>
    <x v="0"/>
    <x v="2"/>
    <x v="1"/>
    <s v="Electronics"/>
    <n v="8"/>
    <n v="6474"/>
    <m/>
    <n v="0"/>
    <n v="6595"/>
    <n v="51792"/>
    <n v="51792"/>
    <n v="23104"/>
    <n v="28688"/>
    <n v="0.55390793945010808"/>
  </r>
  <r>
    <s v="ORD0470"/>
    <x v="262"/>
    <x v="2"/>
    <s v="TN"/>
    <x v="1"/>
    <x v="1"/>
    <x v="1"/>
    <s v="Electronics"/>
    <n v="2"/>
    <n v="15799"/>
    <m/>
    <n v="0"/>
    <m/>
    <n v="31598"/>
    <n v="31598"/>
    <n v="38530"/>
    <n v="-6932"/>
    <n v="-0.21938097347933413"/>
  </r>
  <r>
    <s v="ORD0471"/>
    <x v="37"/>
    <x v="2"/>
    <s v="RJ"/>
    <x v="2"/>
    <x v="3"/>
    <x v="1"/>
    <s v="Electronics"/>
    <n v="2"/>
    <n v="18072"/>
    <n v="0.05"/>
    <n v="0.05"/>
    <m/>
    <n v="36144"/>
    <n v="34336.800000000003"/>
    <n v="14768"/>
    <n v="19568.800000000003"/>
    <n v="0.56990750448498406"/>
  </r>
  <r>
    <s v="ORD0472"/>
    <x v="12"/>
    <x v="2"/>
    <s v="KA"/>
    <x v="0"/>
    <x v="2"/>
    <x v="1"/>
    <s v="Electronics"/>
    <n v="8"/>
    <n v="36185"/>
    <n v="0.1"/>
    <n v="0.1"/>
    <n v="13840"/>
    <n v="289480"/>
    <n v="260532"/>
    <n v="23104"/>
    <n v="237428"/>
    <n v="0.91131991463620587"/>
  </r>
  <r>
    <s v="ORD0473"/>
    <x v="263"/>
    <x v="3"/>
    <s v="RJ"/>
    <x v="4"/>
    <x v="1"/>
    <x v="1"/>
    <s v="Electronics"/>
    <n v="3"/>
    <n v="44091"/>
    <n v="0"/>
    <n v="0"/>
    <n v="25640"/>
    <n v="132273"/>
    <n v="132273"/>
    <n v="57795"/>
    <n v="74478"/>
    <n v="0.56306275657163596"/>
  </r>
  <r>
    <s v="ORD0474"/>
    <x v="76"/>
    <x v="1"/>
    <s v="RJ"/>
    <x v="2"/>
    <x v="2"/>
    <x v="1"/>
    <s v="Electronics"/>
    <n v="4"/>
    <n v="31279"/>
    <n v="0"/>
    <n v="0"/>
    <m/>
    <n v="125116"/>
    <n v="125116"/>
    <n v="11552"/>
    <n v="113564"/>
    <n v="0.90766968253460789"/>
  </r>
  <r>
    <s v="ORD0475"/>
    <x v="60"/>
    <x v="1"/>
    <s v="KA"/>
    <x v="3"/>
    <x v="4"/>
    <x v="1"/>
    <s v="Electronics"/>
    <n v="6"/>
    <n v="38494"/>
    <n v="0"/>
    <n v="0"/>
    <m/>
    <n v="230964"/>
    <n v="230964"/>
    <n v="168276"/>
    <n v="62688"/>
    <n v="0.27141892242946952"/>
  </r>
  <r>
    <s v="ORD0476"/>
    <x v="1"/>
    <x v="2"/>
    <s v="TN"/>
    <x v="0"/>
    <x v="4"/>
    <x v="1"/>
    <s v="Electronics"/>
    <n v="6"/>
    <n v="908"/>
    <m/>
    <n v="0"/>
    <n v="2789"/>
    <n v="5448"/>
    <n v="5448"/>
    <n v="168276"/>
    <n v="-162828"/>
    <n v="-29.887665198237887"/>
  </r>
  <r>
    <s v="ORD0477"/>
    <x v="1"/>
    <x v="2"/>
    <s v="MH"/>
    <x v="1"/>
    <x v="2"/>
    <x v="1"/>
    <s v="Electronics"/>
    <n v="5"/>
    <n v="12938"/>
    <n v="0"/>
    <n v="0"/>
    <n v="6911"/>
    <n v="64690"/>
    <n v="64690"/>
    <n v="14440"/>
    <n v="50250"/>
    <n v="0.77678157365898903"/>
  </r>
  <r>
    <s v="ORD0478"/>
    <x v="264"/>
    <x v="2"/>
    <s v="KA"/>
    <x v="1"/>
    <x v="2"/>
    <x v="1"/>
    <s v="Electronics"/>
    <n v="10"/>
    <n v="35188"/>
    <n v="0"/>
    <n v="0"/>
    <m/>
    <n v="351880"/>
    <n v="351880"/>
    <n v="28880"/>
    <n v="323000"/>
    <n v="0.91792656587472998"/>
  </r>
  <r>
    <s v="ORD0479"/>
    <x v="265"/>
    <x v="2"/>
    <s v="RJ"/>
    <x v="3"/>
    <x v="3"/>
    <x v="1"/>
    <s v="Electronics"/>
    <n v="1"/>
    <n v="36441"/>
    <m/>
    <n v="0"/>
    <m/>
    <n v="36441"/>
    <n v="36441"/>
    <n v="7384"/>
    <n v="29057"/>
    <n v="0.79737109299964326"/>
  </r>
  <r>
    <s v="ORD0480"/>
    <x v="23"/>
    <x v="1"/>
    <s v="MH"/>
    <x v="1"/>
    <x v="3"/>
    <x v="1"/>
    <s v="Electronics"/>
    <n v="4"/>
    <n v="7440"/>
    <n v="0.05"/>
    <n v="0.05"/>
    <n v="19989"/>
    <n v="29760"/>
    <n v="28272"/>
    <n v="29536"/>
    <n v="-1264"/>
    <n v="-4.4708545557441991E-2"/>
  </r>
  <r>
    <s v="ORD0481"/>
    <x v="120"/>
    <x v="2"/>
    <s v="DL"/>
    <x v="1"/>
    <x v="1"/>
    <x v="1"/>
    <s v="Electronics"/>
    <n v="8"/>
    <n v="44600"/>
    <n v="0.05"/>
    <n v="0.05"/>
    <n v="13428"/>
    <n v="356800"/>
    <n v="338960"/>
    <n v="154120"/>
    <n v="184840"/>
    <n v="0.54531508142553697"/>
  </r>
  <r>
    <s v="ORD0482"/>
    <x v="152"/>
    <x v="1"/>
    <s v="DL"/>
    <x v="1"/>
    <x v="1"/>
    <x v="1"/>
    <s v="Electronics"/>
    <n v="6"/>
    <n v="30770"/>
    <n v="0.1"/>
    <n v="0.1"/>
    <m/>
    <n v="184620"/>
    <n v="166158"/>
    <n v="115590"/>
    <n v="50568"/>
    <n v="0.30433683602354383"/>
  </r>
  <r>
    <s v="ORD0483"/>
    <x v="187"/>
    <x v="3"/>
    <s v="TN"/>
    <x v="0"/>
    <x v="4"/>
    <x v="1"/>
    <s v="Electronics"/>
    <n v="5"/>
    <n v="2147"/>
    <n v="0.05"/>
    <n v="0.05"/>
    <m/>
    <n v="10735"/>
    <n v="10198.25"/>
    <n v="140230"/>
    <n v="-130031.75"/>
    <n v="-12.750398352658545"/>
  </r>
  <r>
    <s v="ORD0484"/>
    <x v="266"/>
    <x v="0"/>
    <s v="MH"/>
    <x v="4"/>
    <x v="5"/>
    <x v="0"/>
    <s v="Furniture"/>
    <n v="3"/>
    <n v="34704"/>
    <n v="0"/>
    <n v="0"/>
    <m/>
    <n v="104112"/>
    <n v="104112"/>
    <n v="39120"/>
    <n v="64992"/>
    <n v="0.62425080682342093"/>
  </r>
  <r>
    <s v="ORD0485"/>
    <x v="217"/>
    <x v="3"/>
    <s v="RJ"/>
    <x v="1"/>
    <x v="1"/>
    <x v="1"/>
    <s v="Electronics"/>
    <n v="1"/>
    <n v="14578"/>
    <n v="0.1"/>
    <n v="0.1"/>
    <m/>
    <n v="14578"/>
    <n v="13120.2"/>
    <n v="19265"/>
    <n v="-6144.7999999999993"/>
    <n v="-0.46834651910794034"/>
  </r>
  <r>
    <s v="ORD0486"/>
    <x v="197"/>
    <x v="0"/>
    <s v="TN"/>
    <x v="0"/>
    <x v="2"/>
    <x v="1"/>
    <s v="Electronics"/>
    <n v="1"/>
    <n v="45021"/>
    <n v="0.05"/>
    <n v="0.05"/>
    <n v="8286"/>
    <n v="45021"/>
    <n v="42769.95"/>
    <n v="2888"/>
    <n v="39881.949999999997"/>
    <n v="0.93247595566513408"/>
  </r>
  <r>
    <s v="ORD0487"/>
    <x v="267"/>
    <x v="0"/>
    <s v="MH"/>
    <x v="1"/>
    <x v="4"/>
    <x v="1"/>
    <s v="Electronics"/>
    <n v="8"/>
    <n v="2888"/>
    <m/>
    <n v="0"/>
    <n v="26508"/>
    <n v="23104"/>
    <n v="23104"/>
    <n v="224368"/>
    <n v="-201264"/>
    <n v="-8.7112188365650969"/>
  </r>
  <r>
    <s v="ORD0488"/>
    <x v="257"/>
    <x v="2"/>
    <s v="GJ"/>
    <x v="0"/>
    <x v="1"/>
    <x v="1"/>
    <s v="Electronics"/>
    <n v="1"/>
    <n v="22410"/>
    <n v="0.1"/>
    <n v="0.1"/>
    <m/>
    <n v="22410"/>
    <n v="20169"/>
    <n v="19265"/>
    <n v="904"/>
    <n v="4.4821260350042143E-2"/>
  </r>
  <r>
    <s v="ORD0489"/>
    <x v="268"/>
    <x v="2"/>
    <s v="TN"/>
    <x v="0"/>
    <x v="1"/>
    <x v="1"/>
    <s v="Electronics"/>
    <n v="9"/>
    <n v="8777"/>
    <n v="0"/>
    <n v="0"/>
    <m/>
    <n v="78993"/>
    <n v="78993"/>
    <n v="173385"/>
    <n v="-94392"/>
    <n v="-1.1949413239147773"/>
  </r>
  <r>
    <s v="ORD0490"/>
    <x v="269"/>
    <x v="1"/>
    <s v="DL"/>
    <x v="1"/>
    <x v="4"/>
    <x v="1"/>
    <s v="Electronics"/>
    <n v="5"/>
    <n v="13506"/>
    <m/>
    <n v="0"/>
    <m/>
    <n v="67530"/>
    <n v="67530"/>
    <n v="140230"/>
    <n v="-72700"/>
    <n v="-1.0765585665630091"/>
  </r>
  <r>
    <s v="ORD0491"/>
    <x v="270"/>
    <x v="0"/>
    <s v="MH"/>
    <x v="2"/>
    <x v="5"/>
    <x v="0"/>
    <s v="Furniture"/>
    <n v="2"/>
    <n v="15272"/>
    <m/>
    <n v="0"/>
    <m/>
    <n v="30544"/>
    <n v="30544"/>
    <n v="26080"/>
    <n v="4464"/>
    <n v="0.14614981665793608"/>
  </r>
  <r>
    <s v="ORD0492"/>
    <x v="182"/>
    <x v="3"/>
    <s v="TN"/>
    <x v="1"/>
    <x v="1"/>
    <x v="1"/>
    <s v="Electronics"/>
    <n v="3"/>
    <n v="4046"/>
    <n v="0.1"/>
    <n v="0.1"/>
    <m/>
    <n v="12138"/>
    <n v="10924.2"/>
    <n v="57795"/>
    <n v="-46870.8"/>
    <n v="-4.2905475915856535"/>
  </r>
  <r>
    <s v="ORD0493"/>
    <x v="248"/>
    <x v="0"/>
    <s v="KA"/>
    <x v="3"/>
    <x v="0"/>
    <x v="0"/>
    <s v="Furniture"/>
    <n v="9"/>
    <n v="11369"/>
    <n v="0.1"/>
    <n v="0.1"/>
    <n v="11607"/>
    <n v="102321"/>
    <n v="92088.9"/>
    <n v="119439"/>
    <n v="-27350.100000000006"/>
    <n v="-0.29699670644344767"/>
  </r>
  <r>
    <s v="ORD0494"/>
    <x v="105"/>
    <x v="2"/>
    <s v="DL"/>
    <x v="1"/>
    <x v="3"/>
    <x v="1"/>
    <s v="Electronics"/>
    <n v="5"/>
    <n v="22985"/>
    <n v="0.1"/>
    <n v="0.1"/>
    <m/>
    <n v="114925"/>
    <n v="103432.5"/>
    <n v="36920"/>
    <n v="66512.5"/>
    <n v="0.64305223213206686"/>
  </r>
  <r>
    <s v="ORD0495"/>
    <x v="260"/>
    <x v="1"/>
    <s v="GJ"/>
    <x v="2"/>
    <x v="0"/>
    <x v="0"/>
    <s v="Furniture"/>
    <n v="7"/>
    <n v="39453"/>
    <n v="0.05"/>
    <n v="0.05"/>
    <m/>
    <n v="276171"/>
    <n v="262362.45"/>
    <n v="92897"/>
    <n v="169465.45"/>
    <n v="0.64592112933844004"/>
  </r>
  <r>
    <s v="ORD0496"/>
    <x v="193"/>
    <x v="2"/>
    <s v="MH"/>
    <x v="2"/>
    <x v="4"/>
    <x v="1"/>
    <s v="Electronics"/>
    <n v="7"/>
    <n v="5650"/>
    <n v="0.05"/>
    <n v="0.05"/>
    <n v="9979"/>
    <n v="39550"/>
    <n v="37572.5"/>
    <n v="196322"/>
    <n v="-158749.5"/>
    <n v="-4.2251513740102471"/>
  </r>
  <r>
    <s v="ORD0497"/>
    <x v="126"/>
    <x v="3"/>
    <s v="TN"/>
    <x v="3"/>
    <x v="4"/>
    <x v="1"/>
    <s v="Electronics"/>
    <n v="2"/>
    <n v="8023"/>
    <n v="0"/>
    <n v="0"/>
    <m/>
    <n v="16046"/>
    <n v="16046"/>
    <n v="56092"/>
    <n v="-40046"/>
    <n v="-2.4956998628941793"/>
  </r>
  <r>
    <s v="ORD0498"/>
    <x v="92"/>
    <x v="1"/>
    <s v="DL"/>
    <x v="0"/>
    <x v="2"/>
    <x v="1"/>
    <s v="Electronics"/>
    <n v="9"/>
    <n v="28939"/>
    <n v="0.1"/>
    <n v="0.1"/>
    <m/>
    <n v="260451"/>
    <n v="234405.9"/>
    <n v="25992"/>
    <n v="208413.9"/>
    <n v="0.88911541902315594"/>
  </r>
  <r>
    <s v="ORD0499"/>
    <x v="50"/>
    <x v="3"/>
    <s v="MH"/>
    <x v="3"/>
    <x v="0"/>
    <x v="0"/>
    <s v="Furniture"/>
    <n v="4"/>
    <n v="4165"/>
    <n v="0"/>
    <n v="0"/>
    <n v="28412"/>
    <n v="16660"/>
    <n v="16660"/>
    <n v="53084"/>
    <n v="-36424"/>
    <n v="-2.186314525810324"/>
  </r>
  <r>
    <s v="ORD0500"/>
    <x v="229"/>
    <x v="2"/>
    <s v="KA"/>
    <x v="0"/>
    <x v="5"/>
    <x v="0"/>
    <s v="Furniture"/>
    <n v="10"/>
    <n v="44880"/>
    <n v="0"/>
    <n v="0"/>
    <m/>
    <n v="448800"/>
    <n v="448800"/>
    <n v="130400"/>
    <n v="318400"/>
    <n v="0.70944741532976829"/>
  </r>
  <r>
    <s v="ORD0501"/>
    <x v="126"/>
    <x v="1"/>
    <s v="DL"/>
    <x v="4"/>
    <x v="0"/>
    <x v="0"/>
    <s v="Furniture"/>
    <n v="4"/>
    <n v="37965"/>
    <n v="0.1"/>
    <n v="0.1"/>
    <m/>
    <n v="151860"/>
    <n v="136674"/>
    <n v="53084"/>
    <n v="83590"/>
    <n v="0.61160132870919126"/>
  </r>
  <r>
    <s v="ORD0502"/>
    <x v="222"/>
    <x v="0"/>
    <s v="RJ"/>
    <x v="3"/>
    <x v="3"/>
    <x v="1"/>
    <s v="Electronics"/>
    <n v="4"/>
    <n v="17400"/>
    <n v="0"/>
    <n v="0"/>
    <m/>
    <n v="69600"/>
    <n v="69600"/>
    <n v="29536"/>
    <n v="40064"/>
    <n v="0.57563218390804594"/>
  </r>
  <r>
    <s v="ORD0503"/>
    <x v="238"/>
    <x v="1"/>
    <s v="TN"/>
    <x v="3"/>
    <x v="4"/>
    <x v="1"/>
    <s v="Electronics"/>
    <n v="9"/>
    <n v="30111"/>
    <m/>
    <n v="0"/>
    <n v="6984"/>
    <n v="270999"/>
    <n v="270999"/>
    <n v="252414"/>
    <n v="18585"/>
    <n v="6.8579588854571424E-2"/>
  </r>
  <r>
    <s v="ORD0504"/>
    <x v="220"/>
    <x v="0"/>
    <s v="KA"/>
    <x v="0"/>
    <x v="1"/>
    <x v="1"/>
    <s v="Electronics"/>
    <n v="3"/>
    <n v="28414"/>
    <n v="0.1"/>
    <n v="0.1"/>
    <n v="19285"/>
    <n v="85242"/>
    <n v="76717.8"/>
    <n v="57795"/>
    <n v="18922.800000000003"/>
    <n v="0.24665462252567202"/>
  </r>
  <r>
    <s v="ORD0505"/>
    <x v="74"/>
    <x v="1"/>
    <s v="GJ"/>
    <x v="2"/>
    <x v="4"/>
    <x v="1"/>
    <s v="Electronics"/>
    <n v="3"/>
    <n v="27465"/>
    <n v="0.1"/>
    <n v="0.1"/>
    <m/>
    <n v="82395"/>
    <n v="74155.5"/>
    <n v="84138"/>
    <n v="-9982.5"/>
    <n v="-0.13461577361085827"/>
  </r>
  <r>
    <s v="ORD0506"/>
    <x v="200"/>
    <x v="0"/>
    <s v="KA"/>
    <x v="2"/>
    <x v="1"/>
    <x v="1"/>
    <s v="Electronics"/>
    <n v="4"/>
    <n v="7634"/>
    <n v="0.05"/>
    <n v="0.05"/>
    <m/>
    <n v="30536"/>
    <n v="29009.200000000001"/>
    <n v="77060"/>
    <n v="-48050.8"/>
    <n v="-1.6563986597355322"/>
  </r>
  <r>
    <s v="ORD0507"/>
    <x v="271"/>
    <x v="3"/>
    <s v="TN"/>
    <x v="3"/>
    <x v="3"/>
    <x v="1"/>
    <s v="Electronics"/>
    <n v="6"/>
    <n v="8587"/>
    <n v="0.1"/>
    <n v="0.1"/>
    <n v="17080"/>
    <n v="51522"/>
    <n v="46369.8"/>
    <n v="44304"/>
    <n v="2065.8000000000029"/>
    <n v="4.4550547985973687E-2"/>
  </r>
  <r>
    <s v="ORD0508"/>
    <x v="114"/>
    <x v="0"/>
    <s v="MH"/>
    <x v="3"/>
    <x v="0"/>
    <x v="0"/>
    <s v="Furniture"/>
    <n v="3"/>
    <n v="2432"/>
    <n v="0"/>
    <n v="0"/>
    <n v="9312"/>
    <n v="7296"/>
    <n v="7296"/>
    <n v="39813"/>
    <n v="-32517"/>
    <n v="-4.4568256578947372"/>
  </r>
  <r>
    <s v="ORD0509"/>
    <x v="272"/>
    <x v="0"/>
    <s v="KA"/>
    <x v="3"/>
    <x v="5"/>
    <x v="0"/>
    <s v="Furniture"/>
    <n v="10"/>
    <n v="39047"/>
    <n v="0"/>
    <n v="0"/>
    <m/>
    <n v="390470"/>
    <n v="390470"/>
    <n v="130400"/>
    <n v="260070"/>
    <n v="0.66604348605526675"/>
  </r>
  <r>
    <s v="ORD0510"/>
    <x v="78"/>
    <x v="3"/>
    <s v="MH"/>
    <x v="4"/>
    <x v="0"/>
    <x v="0"/>
    <s v="Furniture"/>
    <n v="5"/>
    <n v="33540"/>
    <n v="0.1"/>
    <n v="0.1"/>
    <n v="4603"/>
    <n v="167700"/>
    <n v="150930"/>
    <n v="66355"/>
    <n v="84575"/>
    <n v="0.56035910687073476"/>
  </r>
  <r>
    <s v="ORD0511"/>
    <x v="273"/>
    <x v="2"/>
    <s v="GJ"/>
    <x v="0"/>
    <x v="2"/>
    <x v="1"/>
    <s v="Electronics"/>
    <n v="4"/>
    <n v="42593"/>
    <n v="0"/>
    <n v="0"/>
    <m/>
    <n v="170372"/>
    <n v="170372"/>
    <n v="11552"/>
    <n v="158820"/>
    <n v="0.93219543117413661"/>
  </r>
  <r>
    <s v="ORD0512"/>
    <x v="180"/>
    <x v="1"/>
    <s v="GJ"/>
    <x v="4"/>
    <x v="0"/>
    <x v="0"/>
    <s v="Furniture"/>
    <n v="7"/>
    <n v="30970"/>
    <n v="0.05"/>
    <n v="0.05"/>
    <m/>
    <n v="216790"/>
    <n v="205950.5"/>
    <n v="92897"/>
    <n v="113053.5"/>
    <n v="0.54893530241490063"/>
  </r>
  <r>
    <s v="ORD0513"/>
    <x v="117"/>
    <x v="3"/>
    <s v="TN"/>
    <x v="4"/>
    <x v="5"/>
    <x v="0"/>
    <s v="Furniture"/>
    <n v="7"/>
    <n v="25845"/>
    <n v="0.05"/>
    <n v="0.05"/>
    <m/>
    <n v="180915"/>
    <n v="171869.25"/>
    <n v="91280"/>
    <n v="80589.25"/>
    <n v="0.46889859588029853"/>
  </r>
  <r>
    <s v="ORD0514"/>
    <x v="199"/>
    <x v="2"/>
    <s v="KA"/>
    <x v="1"/>
    <x v="0"/>
    <x v="0"/>
    <s v="Furniture"/>
    <n v="4"/>
    <n v="34791"/>
    <m/>
    <n v="0"/>
    <m/>
    <n v="139164"/>
    <n v="139164"/>
    <n v="53084"/>
    <n v="86080"/>
    <n v="0.61855077462562158"/>
  </r>
  <r>
    <s v="ORD0515"/>
    <x v="176"/>
    <x v="1"/>
    <s v="MH"/>
    <x v="2"/>
    <x v="4"/>
    <x v="1"/>
    <s v="Electronics"/>
    <n v="2"/>
    <n v="32121"/>
    <n v="0"/>
    <n v="0"/>
    <m/>
    <n v="64242"/>
    <n v="64242"/>
    <n v="56092"/>
    <n v="8150"/>
    <n v="0.12686404532860124"/>
  </r>
  <r>
    <s v="ORD0516"/>
    <x v="215"/>
    <x v="1"/>
    <s v="RJ"/>
    <x v="3"/>
    <x v="0"/>
    <x v="0"/>
    <s v="Furniture"/>
    <n v="4"/>
    <n v="19723"/>
    <m/>
    <n v="0"/>
    <n v="7339"/>
    <n v="78892"/>
    <n v="78892"/>
    <n v="53084"/>
    <n v="25808"/>
    <n v="0.32713076104040967"/>
  </r>
  <r>
    <s v="ORD0517"/>
    <x v="41"/>
    <x v="1"/>
    <s v="TN"/>
    <x v="2"/>
    <x v="1"/>
    <x v="1"/>
    <s v="Electronics"/>
    <n v="2"/>
    <n v="9284"/>
    <n v="0.1"/>
    <n v="0.1"/>
    <n v="26054"/>
    <n v="18568"/>
    <n v="16711.2"/>
    <n v="38530"/>
    <n v="-21818.799999999999"/>
    <n v="-1.3056393317056822"/>
  </r>
  <r>
    <s v="ORD0518"/>
    <x v="244"/>
    <x v="2"/>
    <s v="TN"/>
    <x v="1"/>
    <x v="0"/>
    <x v="0"/>
    <s v="Furniture"/>
    <n v="6"/>
    <n v="18923"/>
    <n v="0.1"/>
    <n v="0.1"/>
    <n v="2796"/>
    <n v="113538"/>
    <n v="102184.2"/>
    <n v="79626"/>
    <n v="22558.199999999997"/>
    <n v="0.22076015665827003"/>
  </r>
  <r>
    <s v="ORD0519"/>
    <x v="86"/>
    <x v="0"/>
    <s v="GJ"/>
    <x v="3"/>
    <x v="5"/>
    <x v="0"/>
    <s v="Furniture"/>
    <n v="10"/>
    <n v="25979"/>
    <n v="0.05"/>
    <n v="0.05"/>
    <m/>
    <n v="259790"/>
    <n v="246800.5"/>
    <n v="130400"/>
    <n v="116400.5"/>
    <n v="0.47163802342377753"/>
  </r>
  <r>
    <s v="ORD0520"/>
    <x v="233"/>
    <x v="0"/>
    <s v="GJ"/>
    <x v="1"/>
    <x v="0"/>
    <x v="0"/>
    <s v="Furniture"/>
    <n v="7"/>
    <n v="16285"/>
    <m/>
    <n v="0"/>
    <m/>
    <n v="113995"/>
    <n v="113995"/>
    <n v="92897"/>
    <n v="21098"/>
    <n v="0.18507829290758365"/>
  </r>
  <r>
    <s v="ORD0521"/>
    <x v="75"/>
    <x v="2"/>
    <s v="GJ"/>
    <x v="0"/>
    <x v="5"/>
    <x v="0"/>
    <s v="Furniture"/>
    <n v="9"/>
    <n v="48493"/>
    <m/>
    <n v="0"/>
    <m/>
    <n v="436437"/>
    <n v="436437"/>
    <n v="117360"/>
    <n v="319077"/>
    <n v="0.73109520961788299"/>
  </r>
  <r>
    <s v="ORD0522"/>
    <x v="274"/>
    <x v="1"/>
    <s v="GJ"/>
    <x v="1"/>
    <x v="3"/>
    <x v="1"/>
    <s v="Electronics"/>
    <n v="8"/>
    <n v="44958"/>
    <n v="0"/>
    <n v="0"/>
    <m/>
    <n v="359664"/>
    <n v="359664"/>
    <n v="59072"/>
    <n v="300592"/>
    <n v="0.83575781840829222"/>
  </r>
  <r>
    <s v="ORD0523"/>
    <x v="6"/>
    <x v="0"/>
    <s v="TN"/>
    <x v="4"/>
    <x v="3"/>
    <x v="1"/>
    <s v="Electronics"/>
    <n v="9"/>
    <n v="49284"/>
    <m/>
    <n v="0"/>
    <n v="12577"/>
    <n v="443556"/>
    <n v="443556"/>
    <n v="66456"/>
    <n v="377100"/>
    <n v="0.85017449882314744"/>
  </r>
  <r>
    <s v="ORD0524"/>
    <x v="273"/>
    <x v="0"/>
    <s v="GJ"/>
    <x v="2"/>
    <x v="2"/>
    <x v="1"/>
    <s v="Electronics"/>
    <n v="9"/>
    <n v="34811"/>
    <n v="0.1"/>
    <n v="0.1"/>
    <m/>
    <n v="313299"/>
    <n v="281969.09999999998"/>
    <n v="25992"/>
    <n v="255977.09999999998"/>
    <n v="0.9078196866252366"/>
  </r>
  <r>
    <s v="ORD0525"/>
    <x v="275"/>
    <x v="3"/>
    <s v="GJ"/>
    <x v="4"/>
    <x v="4"/>
    <x v="1"/>
    <s v="Electronics"/>
    <n v="10"/>
    <n v="48454"/>
    <n v="0.1"/>
    <n v="0.1"/>
    <n v="17638"/>
    <n v="484540"/>
    <n v="436086"/>
    <n v="280460"/>
    <n v="155626"/>
    <n v="0.35686997518838026"/>
  </r>
  <r>
    <s v="ORD0526"/>
    <x v="276"/>
    <x v="2"/>
    <s v="MH"/>
    <x v="2"/>
    <x v="0"/>
    <x v="0"/>
    <s v="Furniture"/>
    <n v="2"/>
    <n v="3191"/>
    <n v="0.1"/>
    <n v="0.1"/>
    <m/>
    <n v="6382"/>
    <n v="5743.8"/>
    <n v="26542"/>
    <n v="-20798.2"/>
    <n v="-3.6209826247432013"/>
  </r>
  <r>
    <s v="ORD0527"/>
    <x v="277"/>
    <x v="1"/>
    <s v="GJ"/>
    <x v="1"/>
    <x v="2"/>
    <x v="1"/>
    <s v="Electronics"/>
    <n v="1"/>
    <n v="15108"/>
    <n v="0"/>
    <n v="0"/>
    <n v="10590"/>
    <n v="15108"/>
    <n v="15108"/>
    <n v="2888"/>
    <n v="12220"/>
    <n v="0.80884299708763574"/>
  </r>
  <r>
    <s v="ORD0528"/>
    <x v="13"/>
    <x v="2"/>
    <s v="RJ"/>
    <x v="1"/>
    <x v="0"/>
    <x v="0"/>
    <s v="Furniture"/>
    <n v="7"/>
    <n v="35886"/>
    <n v="0"/>
    <n v="0"/>
    <n v="25495"/>
    <n v="251202"/>
    <n v="251202"/>
    <n v="92897"/>
    <n v="158305"/>
    <n v="0.63019004625759345"/>
  </r>
  <r>
    <s v="ORD0529"/>
    <x v="59"/>
    <x v="2"/>
    <s v="DL"/>
    <x v="2"/>
    <x v="5"/>
    <x v="0"/>
    <s v="Furniture"/>
    <n v="3"/>
    <n v="14116"/>
    <n v="0.1"/>
    <n v="0.1"/>
    <m/>
    <n v="42348"/>
    <n v="38113.199999999997"/>
    <n v="39120"/>
    <n v="-1006.8000000000029"/>
    <n v="-2.6416044834860441E-2"/>
  </r>
  <r>
    <s v="ORD0530"/>
    <x v="48"/>
    <x v="2"/>
    <s v="RJ"/>
    <x v="0"/>
    <x v="4"/>
    <x v="1"/>
    <s v="Electronics"/>
    <n v="5"/>
    <n v="15187"/>
    <n v="0.05"/>
    <n v="0.05"/>
    <m/>
    <n v="75935"/>
    <n v="72138.25"/>
    <n v="140230"/>
    <n v="-68091.75"/>
    <n v="-0.94390631876986208"/>
  </r>
  <r>
    <s v="ORD0531"/>
    <x v="237"/>
    <x v="3"/>
    <s v="DL"/>
    <x v="0"/>
    <x v="2"/>
    <x v="1"/>
    <s v="Electronics"/>
    <n v="4"/>
    <n v="17291"/>
    <n v="0.05"/>
    <n v="0.05"/>
    <n v="16722"/>
    <n v="69164"/>
    <n v="65705.8"/>
    <n v="11552"/>
    <n v="54153.8"/>
    <n v="0.8241859927129721"/>
  </r>
  <r>
    <s v="ORD0532"/>
    <x v="199"/>
    <x v="3"/>
    <s v="KA"/>
    <x v="1"/>
    <x v="3"/>
    <x v="1"/>
    <s v="Electronics"/>
    <n v="5"/>
    <n v="20592"/>
    <m/>
    <n v="0"/>
    <n v="13321"/>
    <n v="102960"/>
    <n v="102960"/>
    <n v="36920"/>
    <n v="66040"/>
    <n v="0.64141414141414144"/>
  </r>
  <r>
    <s v="ORD0533"/>
    <x v="275"/>
    <x v="3"/>
    <s v="GJ"/>
    <x v="1"/>
    <x v="4"/>
    <x v="1"/>
    <s v="Electronics"/>
    <n v="9"/>
    <n v="14405"/>
    <n v="0"/>
    <n v="0"/>
    <n v="9746"/>
    <n v="129645"/>
    <n v="129645"/>
    <n v="252414"/>
    <n v="-122769"/>
    <n v="-0.94696286011801456"/>
  </r>
  <r>
    <s v="ORD0534"/>
    <x v="57"/>
    <x v="3"/>
    <s v="DL"/>
    <x v="2"/>
    <x v="2"/>
    <x v="1"/>
    <s v="Electronics"/>
    <n v="7"/>
    <n v="15343"/>
    <m/>
    <n v="0"/>
    <m/>
    <n v="107401"/>
    <n v="107401"/>
    <n v="20216"/>
    <n v="87185"/>
    <n v="0.81177084012253142"/>
  </r>
  <r>
    <s v="ORD0535"/>
    <x v="136"/>
    <x v="2"/>
    <s v="MH"/>
    <x v="3"/>
    <x v="4"/>
    <x v="1"/>
    <s v="Electronics"/>
    <n v="2"/>
    <n v="15716"/>
    <n v="0"/>
    <n v="0"/>
    <m/>
    <n v="31432"/>
    <n v="31432"/>
    <n v="56092"/>
    <n v="-24660"/>
    <n v="-0.78455077627895142"/>
  </r>
  <r>
    <s v="ORD0536"/>
    <x v="139"/>
    <x v="3"/>
    <s v="TN"/>
    <x v="4"/>
    <x v="3"/>
    <x v="1"/>
    <s v="Electronics"/>
    <n v="2"/>
    <n v="13117"/>
    <m/>
    <n v="0"/>
    <n v="9693"/>
    <n v="26234"/>
    <n v="26234"/>
    <n v="14768"/>
    <n v="11466"/>
    <n v="0.43706640237859268"/>
  </r>
  <r>
    <s v="ORD0537"/>
    <x v="195"/>
    <x v="2"/>
    <s v="KA"/>
    <x v="4"/>
    <x v="4"/>
    <x v="1"/>
    <s v="Electronics"/>
    <n v="1"/>
    <n v="18590"/>
    <n v="0"/>
    <n v="0"/>
    <m/>
    <n v="18590"/>
    <n v="18590"/>
    <n v="28046"/>
    <n v="-9456"/>
    <n v="-0.50866057019903177"/>
  </r>
  <r>
    <s v="ORD0538"/>
    <x v="122"/>
    <x v="3"/>
    <s v="RJ"/>
    <x v="4"/>
    <x v="3"/>
    <x v="1"/>
    <s v="Electronics"/>
    <n v="10"/>
    <n v="15079"/>
    <m/>
    <n v="0"/>
    <m/>
    <n v="150790"/>
    <n v="150790"/>
    <n v="73840"/>
    <n v="76950"/>
    <n v="0.51031235493069838"/>
  </r>
  <r>
    <s v="ORD0539"/>
    <x v="201"/>
    <x v="0"/>
    <s v="TN"/>
    <x v="1"/>
    <x v="0"/>
    <x v="0"/>
    <s v="Furniture"/>
    <n v="2"/>
    <n v="24950"/>
    <m/>
    <n v="0"/>
    <n v="12233"/>
    <n v="49900"/>
    <n v="49900"/>
    <n v="26542"/>
    <n v="23358"/>
    <n v="0.46809619238476952"/>
  </r>
  <r>
    <s v="ORD0540"/>
    <x v="88"/>
    <x v="0"/>
    <s v="GJ"/>
    <x v="2"/>
    <x v="3"/>
    <x v="1"/>
    <s v="Electronics"/>
    <n v="2"/>
    <n v="25251"/>
    <m/>
    <n v="0"/>
    <m/>
    <n v="50502"/>
    <n v="50502"/>
    <n v="14768"/>
    <n v="35734"/>
    <n v="0.70757593758663018"/>
  </r>
  <r>
    <s v="ORD0541"/>
    <x v="232"/>
    <x v="0"/>
    <s v="KA"/>
    <x v="4"/>
    <x v="3"/>
    <x v="1"/>
    <s v="Electronics"/>
    <n v="3"/>
    <n v="19442"/>
    <m/>
    <n v="0"/>
    <n v="17424"/>
    <n v="58326"/>
    <n v="58326"/>
    <n v="22152"/>
    <n v="36174"/>
    <n v="0.62020368274868842"/>
  </r>
  <r>
    <s v="ORD0542"/>
    <x v="71"/>
    <x v="1"/>
    <s v="KA"/>
    <x v="4"/>
    <x v="1"/>
    <x v="1"/>
    <s v="Electronics"/>
    <n v="7"/>
    <n v="39304"/>
    <m/>
    <n v="0"/>
    <n v="512"/>
    <n v="275128"/>
    <n v="275128"/>
    <n v="134855"/>
    <n v="140273"/>
    <n v="0.50984632607368208"/>
  </r>
  <r>
    <s v="ORD0543"/>
    <x v="278"/>
    <x v="2"/>
    <s v="DL"/>
    <x v="1"/>
    <x v="5"/>
    <x v="0"/>
    <s v="Furniture"/>
    <n v="3"/>
    <n v="37200"/>
    <n v="0.1"/>
    <n v="0.1"/>
    <m/>
    <n v="111600"/>
    <n v="100440"/>
    <n v="39120"/>
    <n v="61320"/>
    <n v="0.61051373954599764"/>
  </r>
  <r>
    <s v="ORD0544"/>
    <x v="279"/>
    <x v="0"/>
    <s v="GJ"/>
    <x v="2"/>
    <x v="3"/>
    <x v="1"/>
    <s v="Electronics"/>
    <n v="6"/>
    <n v="20565"/>
    <n v="0.05"/>
    <n v="0.05"/>
    <m/>
    <n v="123390"/>
    <n v="117220.5"/>
    <n v="44304"/>
    <n v="72916.5"/>
    <n v="0.62204563195004292"/>
  </r>
  <r>
    <s v="ORD0545"/>
    <x v="142"/>
    <x v="1"/>
    <s v="MH"/>
    <x v="1"/>
    <x v="5"/>
    <x v="0"/>
    <s v="Furniture"/>
    <n v="9"/>
    <n v="17888"/>
    <n v="0.1"/>
    <n v="0.1"/>
    <n v="22499"/>
    <n v="160992"/>
    <n v="144892.79999999999"/>
    <n v="117360"/>
    <n v="27532.799999999988"/>
    <n v="0.19002186444046903"/>
  </r>
  <r>
    <s v="ORD0546"/>
    <x v="267"/>
    <x v="2"/>
    <s v="KA"/>
    <x v="0"/>
    <x v="0"/>
    <x v="0"/>
    <s v="Furniture"/>
    <n v="10"/>
    <n v="22044"/>
    <n v="0"/>
    <n v="0"/>
    <n v="4760"/>
    <n v="220440"/>
    <n v="220440"/>
    <n v="132710"/>
    <n v="87730"/>
    <n v="0.39797677372527673"/>
  </r>
  <r>
    <s v="ORD0547"/>
    <x v="278"/>
    <x v="0"/>
    <s v="GJ"/>
    <x v="1"/>
    <x v="0"/>
    <x v="0"/>
    <s v="Furniture"/>
    <n v="7"/>
    <n v="6637"/>
    <n v="0.05"/>
    <n v="0.05"/>
    <m/>
    <n v="46459"/>
    <n v="44136.05"/>
    <n v="92897"/>
    <n v="-48760.95"/>
    <n v="-1.1047873563674138"/>
  </r>
  <r>
    <s v="ORD0548"/>
    <x v="154"/>
    <x v="0"/>
    <s v="MH"/>
    <x v="4"/>
    <x v="2"/>
    <x v="1"/>
    <s v="Electronics"/>
    <n v="5"/>
    <n v="41109"/>
    <n v="0.05"/>
    <n v="0.05"/>
    <n v="4334"/>
    <n v="205545"/>
    <n v="195267.75"/>
    <n v="14440"/>
    <n v="180827.75"/>
    <n v="0.92605025663480012"/>
  </r>
  <r>
    <s v="ORD0549"/>
    <x v="201"/>
    <x v="2"/>
    <s v="MH"/>
    <x v="4"/>
    <x v="5"/>
    <x v="0"/>
    <s v="Furniture"/>
    <n v="6"/>
    <n v="5896"/>
    <n v="0.1"/>
    <n v="0.1"/>
    <m/>
    <n v="35376"/>
    <n v="31838.400000000001"/>
    <n v="78240"/>
    <n v="-46401.599999999999"/>
    <n v="-1.4574099200964872"/>
  </r>
  <r>
    <s v="ORD0550"/>
    <x v="194"/>
    <x v="1"/>
    <s v="KA"/>
    <x v="4"/>
    <x v="4"/>
    <x v="1"/>
    <s v="Electronics"/>
    <n v="1"/>
    <n v="23401"/>
    <n v="0.05"/>
    <n v="0.05"/>
    <m/>
    <n v="23401"/>
    <n v="22230.95"/>
    <n v="28046"/>
    <n v="-5815.0499999999993"/>
    <n v="-0.26157451660860193"/>
  </r>
  <r>
    <s v="ORD0551"/>
    <x v="18"/>
    <x v="0"/>
    <s v="KA"/>
    <x v="4"/>
    <x v="0"/>
    <x v="0"/>
    <s v="Furniture"/>
    <n v="2"/>
    <n v="37022"/>
    <n v="0.05"/>
    <n v="0.05"/>
    <m/>
    <n v="74044"/>
    <n v="70341.8"/>
    <n v="26542"/>
    <n v="43799.8"/>
    <n v="0.62267101495838895"/>
  </r>
  <r>
    <s v="ORD0552"/>
    <x v="56"/>
    <x v="1"/>
    <s v="RJ"/>
    <x v="1"/>
    <x v="1"/>
    <x v="1"/>
    <s v="Electronics"/>
    <n v="9"/>
    <n v="26996"/>
    <n v="0"/>
    <n v="0"/>
    <m/>
    <n v="242964"/>
    <n v="242964"/>
    <n v="173385"/>
    <n v="69579"/>
    <n v="0.2863757593717588"/>
  </r>
  <r>
    <s v="ORD0553"/>
    <x v="164"/>
    <x v="2"/>
    <s v="MH"/>
    <x v="3"/>
    <x v="0"/>
    <x v="0"/>
    <s v="Furniture"/>
    <n v="9"/>
    <n v="36262"/>
    <n v="0.05"/>
    <n v="0.05"/>
    <m/>
    <n v="326358"/>
    <n v="310040.09999999998"/>
    <n v="119439"/>
    <n v="190601.09999999998"/>
    <n v="0.61476273553001692"/>
  </r>
  <r>
    <s v="ORD0554"/>
    <x v="164"/>
    <x v="0"/>
    <s v="RJ"/>
    <x v="1"/>
    <x v="1"/>
    <x v="1"/>
    <s v="Electronics"/>
    <n v="2"/>
    <n v="906"/>
    <m/>
    <n v="0"/>
    <n v="29735"/>
    <n v="1812"/>
    <n v="1812"/>
    <n v="38530"/>
    <n v="-36718"/>
    <n v="-20.263796909492275"/>
  </r>
  <r>
    <s v="ORD0555"/>
    <x v="242"/>
    <x v="0"/>
    <s v="TN"/>
    <x v="0"/>
    <x v="3"/>
    <x v="1"/>
    <s v="Electronics"/>
    <n v="2"/>
    <n v="20900"/>
    <n v="0.1"/>
    <n v="0.1"/>
    <m/>
    <n v="41800"/>
    <n v="37620"/>
    <n v="14768"/>
    <n v="22852"/>
    <n v="0.60744284954811267"/>
  </r>
  <r>
    <s v="ORD0556"/>
    <x v="280"/>
    <x v="3"/>
    <s v="MH"/>
    <x v="0"/>
    <x v="3"/>
    <x v="1"/>
    <s v="Electronics"/>
    <n v="3"/>
    <n v="29459"/>
    <n v="0"/>
    <n v="0"/>
    <m/>
    <n v="88377"/>
    <n v="88377"/>
    <n v="22152"/>
    <n v="66225"/>
    <n v="0.74934654944159684"/>
  </r>
  <r>
    <s v="ORD0557"/>
    <x v="176"/>
    <x v="1"/>
    <s v="GJ"/>
    <x v="1"/>
    <x v="3"/>
    <x v="1"/>
    <s v="Electronics"/>
    <n v="3"/>
    <n v="17653"/>
    <n v="0"/>
    <n v="0"/>
    <m/>
    <n v="52959"/>
    <n v="52959"/>
    <n v="22152"/>
    <n v="30807"/>
    <n v="0.58171415623406786"/>
  </r>
  <r>
    <s v="ORD0558"/>
    <x v="277"/>
    <x v="1"/>
    <s v="GJ"/>
    <x v="4"/>
    <x v="1"/>
    <x v="1"/>
    <s v="Electronics"/>
    <n v="10"/>
    <n v="21770"/>
    <n v="0.05"/>
    <n v="0.05"/>
    <m/>
    <n v="217700"/>
    <n v="206815"/>
    <n v="192650"/>
    <n v="14165"/>
    <n v="6.8491163600319122E-2"/>
  </r>
  <r>
    <s v="ORD0559"/>
    <x v="168"/>
    <x v="0"/>
    <s v="GJ"/>
    <x v="1"/>
    <x v="5"/>
    <x v="0"/>
    <s v="Furniture"/>
    <n v="7"/>
    <n v="12865"/>
    <m/>
    <n v="0"/>
    <m/>
    <n v="90055"/>
    <n v="90055"/>
    <n v="91280"/>
    <n v="-1225"/>
    <n v="-1.3602798289933929E-2"/>
  </r>
  <r>
    <s v="ORD0560"/>
    <x v="26"/>
    <x v="3"/>
    <s v="MH"/>
    <x v="0"/>
    <x v="5"/>
    <x v="0"/>
    <s v="Furniture"/>
    <n v="10"/>
    <n v="36940"/>
    <n v="0.1"/>
    <n v="0.1"/>
    <m/>
    <n v="369400"/>
    <n v="332460"/>
    <n v="130400"/>
    <n v="202060"/>
    <n v="0.60777236359261266"/>
  </r>
  <r>
    <s v="ORD0561"/>
    <x v="277"/>
    <x v="3"/>
    <s v="DL"/>
    <x v="0"/>
    <x v="3"/>
    <x v="1"/>
    <s v="Electronics"/>
    <n v="7"/>
    <n v="39208"/>
    <n v="0"/>
    <n v="0"/>
    <n v="2472"/>
    <n v="274456"/>
    <n v="274456"/>
    <n v="51688"/>
    <n v="222768"/>
    <n v="0.81167108753315653"/>
  </r>
  <r>
    <s v="ORD0562"/>
    <x v="230"/>
    <x v="2"/>
    <s v="MH"/>
    <x v="2"/>
    <x v="2"/>
    <x v="1"/>
    <s v="Electronics"/>
    <n v="2"/>
    <n v="20118"/>
    <n v="0"/>
    <n v="0"/>
    <n v="14407"/>
    <n v="40236"/>
    <n v="40236"/>
    <n v="5776"/>
    <n v="34460"/>
    <n v="0.8564469629187792"/>
  </r>
  <r>
    <s v="ORD0563"/>
    <x v="127"/>
    <x v="2"/>
    <s v="DL"/>
    <x v="2"/>
    <x v="1"/>
    <x v="1"/>
    <s v="Electronics"/>
    <n v="2"/>
    <n v="15154"/>
    <n v="0"/>
    <n v="0"/>
    <m/>
    <n v="30308"/>
    <n v="30308"/>
    <n v="38530"/>
    <n v="-8222"/>
    <n v="-0.27128150983238747"/>
  </r>
  <r>
    <s v="ORD0564"/>
    <x v="204"/>
    <x v="3"/>
    <s v="GJ"/>
    <x v="0"/>
    <x v="5"/>
    <x v="0"/>
    <s v="Furniture"/>
    <n v="3"/>
    <n v="8350"/>
    <n v="0.05"/>
    <n v="0.05"/>
    <n v="23727"/>
    <n v="25050"/>
    <n v="23797.5"/>
    <n v="39120"/>
    <n v="-15322.5"/>
    <n v="-0.64387015442798612"/>
  </r>
  <r>
    <s v="ORD0565"/>
    <x v="108"/>
    <x v="0"/>
    <s v="RJ"/>
    <x v="3"/>
    <x v="4"/>
    <x v="1"/>
    <s v="Electronics"/>
    <n v="7"/>
    <n v="32701"/>
    <n v="0.1"/>
    <n v="0.1"/>
    <m/>
    <n v="228907"/>
    <n v="206016.3"/>
    <n v="196322"/>
    <n v="9694.2999999999884"/>
    <n v="4.7055985375914378E-2"/>
  </r>
  <r>
    <s v="ORD0566"/>
    <x v="158"/>
    <x v="1"/>
    <s v="KA"/>
    <x v="3"/>
    <x v="5"/>
    <x v="0"/>
    <s v="Furniture"/>
    <n v="3"/>
    <n v="17006"/>
    <n v="0.05"/>
    <n v="0.05"/>
    <m/>
    <n v="51018"/>
    <n v="48467.1"/>
    <n v="39120"/>
    <n v="9347.0999999999985"/>
    <n v="0.19285453431296692"/>
  </r>
  <r>
    <s v="ORD0567"/>
    <x v="281"/>
    <x v="2"/>
    <s v="KA"/>
    <x v="4"/>
    <x v="0"/>
    <x v="0"/>
    <s v="Furniture"/>
    <n v="8"/>
    <n v="40449"/>
    <n v="0"/>
    <n v="0"/>
    <m/>
    <n v="323592"/>
    <n v="323592"/>
    <n v="106168"/>
    <n v="217424"/>
    <n v="0.67190783455709657"/>
  </r>
  <r>
    <s v="ORD0568"/>
    <x v="282"/>
    <x v="2"/>
    <s v="DL"/>
    <x v="0"/>
    <x v="4"/>
    <x v="1"/>
    <s v="Electronics"/>
    <n v="7"/>
    <n v="15509"/>
    <m/>
    <n v="0"/>
    <n v="9519"/>
    <n v="108563"/>
    <n v="108563"/>
    <n v="196322"/>
    <n v="-87759"/>
    <n v="-0.80836933393513444"/>
  </r>
  <r>
    <s v="ORD0569"/>
    <x v="260"/>
    <x v="0"/>
    <s v="RJ"/>
    <x v="4"/>
    <x v="2"/>
    <x v="1"/>
    <s v="Electronics"/>
    <n v="10"/>
    <n v="8605"/>
    <m/>
    <n v="0"/>
    <n v="3838"/>
    <n v="86050"/>
    <n v="86050"/>
    <n v="28880"/>
    <n v="57170"/>
    <n v="0.66438117373619987"/>
  </r>
  <r>
    <s v="ORD0570"/>
    <x v="94"/>
    <x v="2"/>
    <s v="KA"/>
    <x v="0"/>
    <x v="1"/>
    <x v="1"/>
    <s v="Electronics"/>
    <n v="9"/>
    <n v="5624"/>
    <n v="0"/>
    <n v="0"/>
    <m/>
    <n v="50616"/>
    <n v="50616"/>
    <n v="173385"/>
    <n v="-122769"/>
    <n v="-2.4254978662873401"/>
  </r>
  <r>
    <s v="ORD0571"/>
    <x v="283"/>
    <x v="0"/>
    <s v="TN"/>
    <x v="2"/>
    <x v="1"/>
    <x v="1"/>
    <s v="Electronics"/>
    <n v="10"/>
    <n v="10467"/>
    <m/>
    <n v="0"/>
    <n v="23843"/>
    <n v="104670"/>
    <n v="104670"/>
    <n v="192650"/>
    <n v="-87980"/>
    <n v="-0.84054647941148375"/>
  </r>
  <r>
    <s v="ORD0572"/>
    <x v="129"/>
    <x v="2"/>
    <s v="RJ"/>
    <x v="2"/>
    <x v="2"/>
    <x v="1"/>
    <s v="Electronics"/>
    <n v="6"/>
    <n v="41863"/>
    <n v="0.1"/>
    <n v="0.1"/>
    <n v="25959"/>
    <n v="251178"/>
    <n v="226060.2"/>
    <n v="17328"/>
    <n v="208732.2"/>
    <n v="0.92334785158997468"/>
  </r>
  <r>
    <s v="ORD0573"/>
    <x v="52"/>
    <x v="0"/>
    <s v="KA"/>
    <x v="2"/>
    <x v="0"/>
    <x v="0"/>
    <s v="Furniture"/>
    <n v="9"/>
    <n v="28273"/>
    <n v="0.1"/>
    <n v="0.1"/>
    <m/>
    <n v="254457"/>
    <n v="229011.3"/>
    <n v="119439"/>
    <n v="109572.29999999999"/>
    <n v="0.47845804988662127"/>
  </r>
  <r>
    <s v="ORD0574"/>
    <x v="257"/>
    <x v="1"/>
    <s v="MH"/>
    <x v="2"/>
    <x v="1"/>
    <x v="1"/>
    <s v="Electronics"/>
    <n v="9"/>
    <n v="17369"/>
    <n v="0"/>
    <n v="0"/>
    <m/>
    <n v="156321"/>
    <n v="156321"/>
    <n v="173385"/>
    <n v="-17064"/>
    <n v="-0.10915999769704646"/>
  </r>
  <r>
    <s v="ORD0575"/>
    <x v="280"/>
    <x v="1"/>
    <s v="GJ"/>
    <x v="2"/>
    <x v="5"/>
    <x v="0"/>
    <s v="Furniture"/>
    <n v="3"/>
    <n v="17526"/>
    <n v="0.1"/>
    <n v="0.1"/>
    <n v="11573"/>
    <n v="52578"/>
    <n v="47320.2"/>
    <n v="39120"/>
    <n v="8200.1999999999971"/>
    <n v="0.17329174432906028"/>
  </r>
  <r>
    <s v="ORD0576"/>
    <x v="283"/>
    <x v="1"/>
    <s v="KA"/>
    <x v="2"/>
    <x v="3"/>
    <x v="1"/>
    <s v="Electronics"/>
    <n v="8"/>
    <n v="9503"/>
    <n v="0.1"/>
    <n v="0.1"/>
    <m/>
    <n v="76024"/>
    <n v="68421.600000000006"/>
    <n v="59072"/>
    <n v="9349.6000000000058"/>
    <n v="0.13664690682474548"/>
  </r>
  <r>
    <s v="ORD0577"/>
    <x v="284"/>
    <x v="0"/>
    <s v="GJ"/>
    <x v="2"/>
    <x v="0"/>
    <x v="0"/>
    <s v="Furniture"/>
    <n v="3"/>
    <n v="28966"/>
    <n v="0.05"/>
    <n v="0.05"/>
    <m/>
    <n v="86898"/>
    <n v="82553.100000000006"/>
    <n v="39813"/>
    <n v="42740.100000000006"/>
    <n v="0.51772858923529219"/>
  </r>
  <r>
    <s v="ORD0578"/>
    <x v="134"/>
    <x v="2"/>
    <s v="MH"/>
    <x v="3"/>
    <x v="5"/>
    <x v="0"/>
    <s v="Furniture"/>
    <n v="4"/>
    <n v="15511"/>
    <m/>
    <n v="0"/>
    <m/>
    <n v="62044"/>
    <n v="62044"/>
    <n v="52160"/>
    <n v="9884"/>
    <n v="0.15930629875572175"/>
  </r>
  <r>
    <s v="ORD0579"/>
    <x v="267"/>
    <x v="2"/>
    <s v="DL"/>
    <x v="2"/>
    <x v="1"/>
    <x v="1"/>
    <s v="Electronics"/>
    <n v="2"/>
    <n v="36822"/>
    <n v="0.05"/>
    <n v="0.05"/>
    <n v="13736"/>
    <n v="73644"/>
    <n v="69961.8"/>
    <n v="38530"/>
    <n v="31431.800000000003"/>
    <n v="0.44927088782735725"/>
  </r>
  <r>
    <s v="ORD0580"/>
    <x v="285"/>
    <x v="2"/>
    <s v="KA"/>
    <x v="2"/>
    <x v="4"/>
    <x v="1"/>
    <s v="Electronics"/>
    <n v="1"/>
    <n v="45159"/>
    <n v="0.05"/>
    <n v="0.05"/>
    <n v="15897"/>
    <n v="45159"/>
    <n v="42901.05"/>
    <n v="28046"/>
    <n v="14855.050000000003"/>
    <n v="0.34626308680090584"/>
  </r>
  <r>
    <s v="ORD0581"/>
    <x v="58"/>
    <x v="1"/>
    <s v="KA"/>
    <x v="1"/>
    <x v="4"/>
    <x v="1"/>
    <s v="Electronics"/>
    <n v="1"/>
    <n v="19446"/>
    <n v="0"/>
    <n v="0"/>
    <n v="27308"/>
    <n v="19446"/>
    <n v="19446"/>
    <n v="28046"/>
    <n v="-8600"/>
    <n v="-0.44225033425897359"/>
  </r>
  <r>
    <s v="ORD0582"/>
    <x v="63"/>
    <x v="0"/>
    <s v="GJ"/>
    <x v="0"/>
    <x v="2"/>
    <x v="1"/>
    <s v="Electronics"/>
    <n v="5"/>
    <n v="13096"/>
    <n v="0.1"/>
    <n v="0.1"/>
    <n v="7595"/>
    <n v="65480"/>
    <n v="58932"/>
    <n v="14440"/>
    <n v="44492"/>
    <n v="0.7549718319418991"/>
  </r>
  <r>
    <s v="ORD0583"/>
    <x v="106"/>
    <x v="2"/>
    <s v="MH"/>
    <x v="4"/>
    <x v="1"/>
    <x v="1"/>
    <s v="Electronics"/>
    <n v="8"/>
    <n v="28213"/>
    <n v="0"/>
    <n v="0"/>
    <m/>
    <n v="225704"/>
    <n v="225704"/>
    <n v="154120"/>
    <n v="71584"/>
    <n v="0.31715875660156667"/>
  </r>
  <r>
    <s v="ORD0584"/>
    <x v="220"/>
    <x v="2"/>
    <s v="GJ"/>
    <x v="2"/>
    <x v="2"/>
    <x v="1"/>
    <s v="Electronics"/>
    <n v="4"/>
    <n v="37659"/>
    <n v="0.05"/>
    <n v="0.05"/>
    <m/>
    <n v="150636"/>
    <n v="143104.20000000001"/>
    <n v="11552"/>
    <n v="131552.20000000001"/>
    <n v="0.9192756047691123"/>
  </r>
  <r>
    <s v="ORD0585"/>
    <x v="286"/>
    <x v="1"/>
    <s v="DL"/>
    <x v="3"/>
    <x v="5"/>
    <x v="0"/>
    <s v="Furniture"/>
    <n v="5"/>
    <n v="27298"/>
    <n v="0"/>
    <n v="0"/>
    <m/>
    <n v="136490"/>
    <n v="136490"/>
    <n v="65200"/>
    <n v="71290"/>
    <n v="0.52230932669060004"/>
  </r>
  <r>
    <s v="ORD0586"/>
    <x v="287"/>
    <x v="2"/>
    <s v="TN"/>
    <x v="0"/>
    <x v="2"/>
    <x v="1"/>
    <s v="Electronics"/>
    <n v="9"/>
    <n v="1076"/>
    <n v="0.05"/>
    <n v="0.05"/>
    <n v="6734"/>
    <n v="9684"/>
    <n v="9199.7999999999993"/>
    <n v="25992"/>
    <n v="-16792.2"/>
    <n v="-1.8252788104089221"/>
  </r>
  <r>
    <s v="ORD0587"/>
    <x v="158"/>
    <x v="1"/>
    <s v="MH"/>
    <x v="4"/>
    <x v="3"/>
    <x v="1"/>
    <s v="Electronics"/>
    <n v="7"/>
    <n v="11358"/>
    <n v="0.1"/>
    <n v="0.1"/>
    <n v="4870"/>
    <n v="79506"/>
    <n v="71555.399999999994"/>
    <n v="51688"/>
    <n v="19867.399999999994"/>
    <n v="0.2776506035882686"/>
  </r>
  <r>
    <s v="ORD0588"/>
    <x v="190"/>
    <x v="2"/>
    <s v="GJ"/>
    <x v="4"/>
    <x v="5"/>
    <x v="0"/>
    <s v="Furniture"/>
    <n v="1"/>
    <n v="26987"/>
    <n v="0.05"/>
    <n v="0.05"/>
    <m/>
    <n v="26987"/>
    <n v="25637.65"/>
    <n v="13040"/>
    <n v="12597.650000000001"/>
    <n v="0.4913730392606187"/>
  </r>
  <r>
    <s v="ORD0589"/>
    <x v="288"/>
    <x v="0"/>
    <s v="GJ"/>
    <x v="1"/>
    <x v="5"/>
    <x v="0"/>
    <s v="Furniture"/>
    <n v="8"/>
    <n v="25913"/>
    <m/>
    <n v="0"/>
    <m/>
    <n v="207304"/>
    <n v="207304"/>
    <n v="104320"/>
    <n v="102984"/>
    <n v="0.4967776791571798"/>
  </r>
  <r>
    <s v="ORD0590"/>
    <x v="228"/>
    <x v="0"/>
    <s v="RJ"/>
    <x v="0"/>
    <x v="1"/>
    <x v="1"/>
    <s v="Electronics"/>
    <n v="3"/>
    <n v="46330"/>
    <m/>
    <n v="0"/>
    <m/>
    <n v="138990"/>
    <n v="138990"/>
    <n v="57795"/>
    <n v="81195"/>
    <n v="0.58417871789337361"/>
  </r>
  <r>
    <s v="ORD0591"/>
    <x v="77"/>
    <x v="3"/>
    <s v="KA"/>
    <x v="1"/>
    <x v="1"/>
    <x v="1"/>
    <s v="Electronics"/>
    <n v="9"/>
    <n v="32123"/>
    <n v="0.1"/>
    <n v="0.1"/>
    <n v="4843"/>
    <n v="289107"/>
    <n v="260196.3"/>
    <n v="173385"/>
    <n v="86811.299999999988"/>
    <n v="0.33363771890684069"/>
  </r>
  <r>
    <s v="ORD0592"/>
    <x v="175"/>
    <x v="1"/>
    <s v="DL"/>
    <x v="4"/>
    <x v="3"/>
    <x v="1"/>
    <s v="Electronics"/>
    <n v="8"/>
    <n v="20341"/>
    <m/>
    <n v="0"/>
    <m/>
    <n v="162728"/>
    <n v="162728"/>
    <n v="59072"/>
    <n v="103656"/>
    <n v="0.63698933189125406"/>
  </r>
  <r>
    <s v="ORD0593"/>
    <x v="244"/>
    <x v="0"/>
    <s v="MH"/>
    <x v="2"/>
    <x v="1"/>
    <x v="1"/>
    <s v="Electronics"/>
    <n v="8"/>
    <n v="5419"/>
    <n v="0.1"/>
    <n v="0.1"/>
    <n v="19953"/>
    <n v="43352"/>
    <n v="39016.800000000003"/>
    <n v="154120"/>
    <n v="-115103.2"/>
    <n v="-2.9500932931455166"/>
  </r>
  <r>
    <s v="ORD0594"/>
    <x v="8"/>
    <x v="0"/>
    <s v="TN"/>
    <x v="3"/>
    <x v="3"/>
    <x v="1"/>
    <s v="Electronics"/>
    <n v="10"/>
    <n v="32160"/>
    <m/>
    <n v="0"/>
    <m/>
    <n v="321600"/>
    <n v="321600"/>
    <n v="73840"/>
    <n v="247760"/>
    <n v="0.77039800995024876"/>
  </r>
  <r>
    <s v="ORD0595"/>
    <x v="140"/>
    <x v="1"/>
    <s v="TN"/>
    <x v="3"/>
    <x v="1"/>
    <x v="1"/>
    <s v="Electronics"/>
    <n v="3"/>
    <n v="6717"/>
    <n v="0.1"/>
    <n v="0.1"/>
    <n v="28924"/>
    <n v="20151"/>
    <n v="18135.900000000001"/>
    <n v="57795"/>
    <n v="-39659.1"/>
    <n v="-2.1867731957057548"/>
  </r>
  <r>
    <s v="ORD0596"/>
    <x v="221"/>
    <x v="2"/>
    <s v="DL"/>
    <x v="1"/>
    <x v="0"/>
    <x v="0"/>
    <s v="Furniture"/>
    <n v="1"/>
    <n v="29973"/>
    <m/>
    <n v="0"/>
    <n v="24582"/>
    <n v="29973"/>
    <n v="29973"/>
    <n v="13271"/>
    <n v="16702"/>
    <n v="0.55723484469355755"/>
  </r>
  <r>
    <s v="ORD0597"/>
    <x v="132"/>
    <x v="0"/>
    <s v="DL"/>
    <x v="2"/>
    <x v="5"/>
    <x v="0"/>
    <s v="Furniture"/>
    <n v="4"/>
    <n v="19634"/>
    <n v="0.1"/>
    <n v="0.1"/>
    <m/>
    <n v="78536"/>
    <n v="70682.399999999994"/>
    <n v="52160"/>
    <n v="18522.399999999994"/>
    <n v="0.26205109051192371"/>
  </r>
  <r>
    <s v="ORD0598"/>
    <x v="184"/>
    <x v="1"/>
    <s v="MH"/>
    <x v="1"/>
    <x v="2"/>
    <x v="1"/>
    <s v="Electronics"/>
    <n v="6"/>
    <n v="26190"/>
    <n v="0.1"/>
    <n v="0.1"/>
    <n v="22208"/>
    <n v="157140"/>
    <n v="141426"/>
    <n v="17328"/>
    <n v="124098"/>
    <n v="0.87747656017988207"/>
  </r>
  <r>
    <s v="ORD0599"/>
    <x v="176"/>
    <x v="1"/>
    <s v="TN"/>
    <x v="3"/>
    <x v="0"/>
    <x v="0"/>
    <s v="Furniture"/>
    <n v="3"/>
    <n v="7424"/>
    <n v="0.1"/>
    <n v="0.1"/>
    <n v="9732"/>
    <n v="22272"/>
    <n v="20044.8"/>
    <n v="39813"/>
    <n v="-19768.2"/>
    <n v="-0.98620090996168586"/>
  </r>
  <r>
    <s v="ORD0600"/>
    <x v="122"/>
    <x v="1"/>
    <s v="RJ"/>
    <x v="0"/>
    <x v="3"/>
    <x v="1"/>
    <s v="Electronics"/>
    <n v="10"/>
    <n v="31661"/>
    <m/>
    <n v="0"/>
    <n v="10543"/>
    <n v="316610"/>
    <n v="316610"/>
    <n v="73840"/>
    <n v="242770"/>
    <n v="0.76677931840434599"/>
  </r>
  <r>
    <s v="ORD0601"/>
    <x v="58"/>
    <x v="3"/>
    <s v="DL"/>
    <x v="0"/>
    <x v="4"/>
    <x v="1"/>
    <s v="Electronics"/>
    <n v="3"/>
    <n v="25358"/>
    <n v="0.05"/>
    <n v="0.05"/>
    <n v="15605"/>
    <n v="76074"/>
    <n v="72270.3"/>
    <n v="84138"/>
    <n v="-11867.699999999997"/>
    <n v="-0.1642126848788506"/>
  </r>
  <r>
    <s v="ORD0602"/>
    <x v="275"/>
    <x v="2"/>
    <s v="KA"/>
    <x v="4"/>
    <x v="1"/>
    <x v="1"/>
    <s v="Electronics"/>
    <n v="5"/>
    <n v="41241"/>
    <n v="0.1"/>
    <n v="0.1"/>
    <n v="6943"/>
    <n v="206205"/>
    <n v="185584.5"/>
    <n v="96325"/>
    <n v="89259.5"/>
    <n v="0.48096419690221975"/>
  </r>
  <r>
    <s v="ORD0603"/>
    <x v="36"/>
    <x v="0"/>
    <s v="KA"/>
    <x v="2"/>
    <x v="4"/>
    <x v="1"/>
    <s v="Electronics"/>
    <n v="9"/>
    <n v="30881"/>
    <n v="0.05"/>
    <n v="0.05"/>
    <m/>
    <n v="277929"/>
    <n v="264032.55"/>
    <n v="252414"/>
    <n v="11618.549999999988"/>
    <n v="4.4004233568929241E-2"/>
  </r>
  <r>
    <s v="ORD0604"/>
    <x v="280"/>
    <x v="2"/>
    <s v="RJ"/>
    <x v="1"/>
    <x v="1"/>
    <x v="1"/>
    <s v="Electronics"/>
    <n v="4"/>
    <n v="40245"/>
    <n v="0.05"/>
    <n v="0.05"/>
    <m/>
    <n v="160980"/>
    <n v="152931"/>
    <n v="77060"/>
    <n v="75871"/>
    <n v="0.49611262595549627"/>
  </r>
  <r>
    <s v="ORD0605"/>
    <x v="51"/>
    <x v="0"/>
    <s v="GJ"/>
    <x v="1"/>
    <x v="3"/>
    <x v="1"/>
    <s v="Electronics"/>
    <n v="3"/>
    <n v="39303"/>
    <n v="0"/>
    <n v="0"/>
    <m/>
    <n v="117909"/>
    <n v="117909"/>
    <n v="22152"/>
    <n v="95757"/>
    <n v="0.81212630079128822"/>
  </r>
  <r>
    <s v="ORD0606"/>
    <x v="66"/>
    <x v="0"/>
    <s v="KA"/>
    <x v="3"/>
    <x v="1"/>
    <x v="1"/>
    <s v="Electronics"/>
    <n v="6"/>
    <n v="42092"/>
    <n v="0.1"/>
    <n v="0.1"/>
    <n v="22857"/>
    <n v="252552"/>
    <n v="227296.8"/>
    <n v="115590"/>
    <n v="111706.79999999999"/>
    <n v="0.49145786478296216"/>
  </r>
  <r>
    <s v="ORD0607"/>
    <x v="28"/>
    <x v="1"/>
    <s v="TN"/>
    <x v="2"/>
    <x v="3"/>
    <x v="1"/>
    <s v="Electronics"/>
    <n v="2"/>
    <n v="22759"/>
    <n v="0.1"/>
    <n v="0.1"/>
    <n v="1230"/>
    <n v="45518"/>
    <n v="40966.199999999997"/>
    <n v="14768"/>
    <n v="26198.199999999997"/>
    <n v="0.63950769170682165"/>
  </r>
  <r>
    <s v="ORD0608"/>
    <x v="232"/>
    <x v="3"/>
    <s v="MH"/>
    <x v="4"/>
    <x v="1"/>
    <x v="1"/>
    <s v="Electronics"/>
    <n v="10"/>
    <n v="17906"/>
    <n v="0"/>
    <n v="0"/>
    <m/>
    <n v="179060"/>
    <n v="179060"/>
    <n v="192650"/>
    <n v="-13590"/>
    <n v="-7.5896347592985594E-2"/>
  </r>
  <r>
    <s v="ORD0609"/>
    <x v="148"/>
    <x v="0"/>
    <s v="DL"/>
    <x v="0"/>
    <x v="4"/>
    <x v="1"/>
    <s v="Electronics"/>
    <n v="5"/>
    <n v="23831"/>
    <n v="0"/>
    <n v="0"/>
    <n v="1041"/>
    <n v="119155"/>
    <n v="119155"/>
    <n v="140230"/>
    <n v="-21075"/>
    <n v="-0.17687046284251606"/>
  </r>
  <r>
    <s v="ORD0610"/>
    <x v="34"/>
    <x v="0"/>
    <s v="GJ"/>
    <x v="4"/>
    <x v="1"/>
    <x v="1"/>
    <s v="Electronics"/>
    <n v="7"/>
    <n v="10906"/>
    <n v="0"/>
    <n v="0"/>
    <n v="3186"/>
    <n v="76342"/>
    <n v="76342"/>
    <n v="134855"/>
    <n v="-58513"/>
    <n v="-0.7664588300018339"/>
  </r>
  <r>
    <s v="ORD0611"/>
    <x v="81"/>
    <x v="1"/>
    <s v="KA"/>
    <x v="3"/>
    <x v="2"/>
    <x v="1"/>
    <s v="Electronics"/>
    <n v="6"/>
    <n v="7982"/>
    <m/>
    <n v="0"/>
    <m/>
    <n v="47892"/>
    <n v="47892"/>
    <n v="17328"/>
    <n v="30564"/>
    <n v="0.63818591831621152"/>
  </r>
  <r>
    <s v="ORD0612"/>
    <x v="238"/>
    <x v="0"/>
    <s v="TN"/>
    <x v="0"/>
    <x v="3"/>
    <x v="1"/>
    <s v="Electronics"/>
    <n v="2"/>
    <n v="28936"/>
    <n v="0.05"/>
    <n v="0.05"/>
    <m/>
    <n v="57872"/>
    <n v="54978.400000000001"/>
    <n v="14768"/>
    <n v="40210.400000000001"/>
    <n v="0.73138541681824132"/>
  </r>
  <r>
    <s v="ORD0613"/>
    <x v="289"/>
    <x v="2"/>
    <s v="RJ"/>
    <x v="2"/>
    <x v="4"/>
    <x v="1"/>
    <s v="Electronics"/>
    <n v="8"/>
    <n v="9705"/>
    <m/>
    <n v="0"/>
    <n v="13949"/>
    <n v="77640"/>
    <n v="77640"/>
    <n v="224368"/>
    <n v="-146728"/>
    <n v="-1.8898505924781042"/>
  </r>
  <r>
    <s v="ORD0614"/>
    <x v="46"/>
    <x v="0"/>
    <s v="GJ"/>
    <x v="1"/>
    <x v="5"/>
    <x v="0"/>
    <s v="Furniture"/>
    <n v="2"/>
    <n v="31180"/>
    <n v="0.05"/>
    <n v="0.05"/>
    <m/>
    <n v="62360"/>
    <n v="59242"/>
    <n v="26080"/>
    <n v="33162"/>
    <n v="0.55977178353195367"/>
  </r>
  <r>
    <s v="ORD0615"/>
    <x v="77"/>
    <x v="2"/>
    <s v="RJ"/>
    <x v="3"/>
    <x v="2"/>
    <x v="1"/>
    <s v="Electronics"/>
    <n v="8"/>
    <n v="10158"/>
    <m/>
    <n v="0"/>
    <n v="17293"/>
    <n v="81264"/>
    <n v="81264"/>
    <n v="23104"/>
    <n v="58160"/>
    <n v="0.71569206536719832"/>
  </r>
  <r>
    <s v="ORD0616"/>
    <x v="72"/>
    <x v="1"/>
    <s v="DL"/>
    <x v="0"/>
    <x v="5"/>
    <x v="0"/>
    <s v="Furniture"/>
    <n v="6"/>
    <n v="1645"/>
    <n v="0.05"/>
    <n v="0.05"/>
    <m/>
    <n v="9870"/>
    <n v="9376.5"/>
    <n v="78240"/>
    <n v="-68863.5"/>
    <n v="-7.3442649176131818"/>
  </r>
  <r>
    <s v="ORD0617"/>
    <x v="126"/>
    <x v="2"/>
    <s v="TN"/>
    <x v="0"/>
    <x v="3"/>
    <x v="1"/>
    <s v="Electronics"/>
    <n v="3"/>
    <n v="20713"/>
    <n v="0.05"/>
    <n v="0.05"/>
    <n v="29473"/>
    <n v="62139"/>
    <n v="59032.05"/>
    <n v="22152"/>
    <n v="36880.050000000003"/>
    <n v="0.62474621836781885"/>
  </r>
  <r>
    <s v="ORD0618"/>
    <x v="31"/>
    <x v="1"/>
    <s v="RJ"/>
    <x v="3"/>
    <x v="5"/>
    <x v="0"/>
    <s v="Furniture"/>
    <n v="4"/>
    <n v="29905"/>
    <n v="0.05"/>
    <n v="0.05"/>
    <m/>
    <n v="119620"/>
    <n v="113639"/>
    <n v="52160"/>
    <n v="61479"/>
    <n v="0.54100264873854931"/>
  </r>
  <r>
    <s v="ORD0619"/>
    <x v="9"/>
    <x v="3"/>
    <s v="TN"/>
    <x v="1"/>
    <x v="2"/>
    <x v="1"/>
    <s v="Electronics"/>
    <n v="9"/>
    <n v="35349"/>
    <n v="0"/>
    <n v="0"/>
    <n v="21570"/>
    <n v="318141"/>
    <n v="318141"/>
    <n v="25992"/>
    <n v="292149"/>
    <n v="0.91830037624826732"/>
  </r>
  <r>
    <s v="ORD0620"/>
    <x v="269"/>
    <x v="1"/>
    <s v="TN"/>
    <x v="3"/>
    <x v="5"/>
    <x v="0"/>
    <s v="Furniture"/>
    <n v="3"/>
    <n v="25830"/>
    <n v="0.05"/>
    <n v="0.05"/>
    <n v="1462"/>
    <n v="77490"/>
    <n v="73615.5"/>
    <n v="39120"/>
    <n v="34495.5"/>
    <n v="0.46859017462355074"/>
  </r>
  <r>
    <s v="ORD0621"/>
    <x v="255"/>
    <x v="1"/>
    <s v="GJ"/>
    <x v="0"/>
    <x v="5"/>
    <x v="0"/>
    <s v="Furniture"/>
    <n v="6"/>
    <n v="22052"/>
    <n v="0"/>
    <n v="0"/>
    <n v="28958"/>
    <n v="132312"/>
    <n v="132312"/>
    <n v="78240"/>
    <n v="54072"/>
    <n v="0.4086704153818248"/>
  </r>
  <r>
    <s v="ORD0622"/>
    <x v="14"/>
    <x v="0"/>
    <s v="GJ"/>
    <x v="3"/>
    <x v="5"/>
    <x v="0"/>
    <s v="Furniture"/>
    <n v="3"/>
    <n v="758"/>
    <n v="0.1"/>
    <n v="0.1"/>
    <n v="17818"/>
    <n v="2274"/>
    <n v="2046.6"/>
    <n v="39120"/>
    <n v="-37073.4"/>
    <n v="-18.114629141014365"/>
  </r>
  <r>
    <s v="ORD0623"/>
    <x v="290"/>
    <x v="3"/>
    <s v="MH"/>
    <x v="0"/>
    <x v="0"/>
    <x v="0"/>
    <s v="Furniture"/>
    <n v="7"/>
    <n v="38917"/>
    <n v="0.1"/>
    <n v="0.1"/>
    <n v="18377"/>
    <n v="272419"/>
    <n v="245177.1"/>
    <n v="92897"/>
    <n v="152280.1"/>
    <n v="0.6211024602216112"/>
  </r>
  <r>
    <s v="ORD0624"/>
    <x v="291"/>
    <x v="2"/>
    <s v="KA"/>
    <x v="4"/>
    <x v="2"/>
    <x v="1"/>
    <s v="Electronics"/>
    <n v="6"/>
    <n v="36716"/>
    <m/>
    <n v="0"/>
    <n v="2153"/>
    <n v="220296"/>
    <n v="220296"/>
    <n v="17328"/>
    <n v="202968"/>
    <n v="0.92134219413879503"/>
  </r>
  <r>
    <s v="ORD0625"/>
    <x v="257"/>
    <x v="0"/>
    <s v="RJ"/>
    <x v="2"/>
    <x v="3"/>
    <x v="1"/>
    <s v="Electronics"/>
    <n v="10"/>
    <n v="34387"/>
    <m/>
    <n v="0"/>
    <n v="8369"/>
    <n v="343870"/>
    <n v="343870"/>
    <n v="73840"/>
    <n v="270030"/>
    <n v="0.78526768837060512"/>
  </r>
  <r>
    <s v="ORD0626"/>
    <x v="127"/>
    <x v="1"/>
    <s v="GJ"/>
    <x v="3"/>
    <x v="2"/>
    <x v="1"/>
    <s v="Electronics"/>
    <n v="1"/>
    <n v="47038"/>
    <n v="0"/>
    <n v="0"/>
    <m/>
    <n v="47038"/>
    <n v="47038"/>
    <n v="2888"/>
    <n v="44150"/>
    <n v="0.9386028317530507"/>
  </r>
  <r>
    <s v="ORD0627"/>
    <x v="250"/>
    <x v="3"/>
    <s v="GJ"/>
    <x v="2"/>
    <x v="5"/>
    <x v="0"/>
    <s v="Furniture"/>
    <n v="3"/>
    <n v="35065"/>
    <m/>
    <n v="0"/>
    <m/>
    <n v="105195"/>
    <n v="105195"/>
    <n v="39120"/>
    <n v="66075"/>
    <n v="0.62811920718665337"/>
  </r>
  <r>
    <s v="ORD0628"/>
    <x v="64"/>
    <x v="2"/>
    <s v="MH"/>
    <x v="3"/>
    <x v="4"/>
    <x v="1"/>
    <s v="Electronics"/>
    <n v="8"/>
    <n v="11913"/>
    <n v="0.1"/>
    <n v="0.1"/>
    <n v="4451"/>
    <n v="95304"/>
    <n v="85773.6"/>
    <n v="224368"/>
    <n v="-138594.4"/>
    <n v="-1.6158165216336959"/>
  </r>
  <r>
    <s v="ORD0629"/>
    <x v="47"/>
    <x v="0"/>
    <s v="TN"/>
    <x v="4"/>
    <x v="5"/>
    <x v="0"/>
    <s v="Furniture"/>
    <n v="8"/>
    <n v="42115"/>
    <n v="0"/>
    <n v="0"/>
    <n v="15430"/>
    <n v="336920"/>
    <n v="336920"/>
    <n v="104320"/>
    <n v="232600"/>
    <n v="0.69037160156713762"/>
  </r>
  <r>
    <s v="ORD0630"/>
    <x v="234"/>
    <x v="1"/>
    <s v="GJ"/>
    <x v="0"/>
    <x v="2"/>
    <x v="1"/>
    <s v="Electronics"/>
    <n v="1"/>
    <n v="41528"/>
    <n v="0.1"/>
    <n v="0.1"/>
    <n v="10061"/>
    <n v="41528"/>
    <n v="37375.199999999997"/>
    <n v="2888"/>
    <n v="34487.199999999997"/>
    <n v="0.92272951047753593"/>
  </r>
  <r>
    <s v="ORD0631"/>
    <x v="76"/>
    <x v="3"/>
    <s v="TN"/>
    <x v="4"/>
    <x v="4"/>
    <x v="1"/>
    <s v="Electronics"/>
    <n v="10"/>
    <n v="4446"/>
    <n v="0.05"/>
    <n v="0.05"/>
    <n v="3843"/>
    <n v="44460"/>
    <n v="42237"/>
    <n v="280460"/>
    <n v="-238223"/>
    <n v="-5.6401496318393827"/>
  </r>
  <r>
    <s v="ORD0632"/>
    <x v="162"/>
    <x v="0"/>
    <s v="DL"/>
    <x v="0"/>
    <x v="4"/>
    <x v="1"/>
    <s v="Electronics"/>
    <n v="7"/>
    <n v="34200"/>
    <n v="0.1"/>
    <n v="0.1"/>
    <m/>
    <n v="239400"/>
    <n v="215460"/>
    <n v="196322"/>
    <n v="19138"/>
    <n v="8.8823911630929175E-2"/>
  </r>
  <r>
    <s v="ORD0633"/>
    <x v="20"/>
    <x v="0"/>
    <s v="KA"/>
    <x v="1"/>
    <x v="5"/>
    <x v="0"/>
    <s v="Furniture"/>
    <n v="7"/>
    <n v="2491"/>
    <n v="0.05"/>
    <n v="0.05"/>
    <n v="29734"/>
    <n v="17437"/>
    <n v="16565.150000000001"/>
    <n v="91280"/>
    <n v="-74714.850000000006"/>
    <n v="-4.5103636248388934"/>
  </r>
  <r>
    <s v="ORD0634"/>
    <x v="292"/>
    <x v="3"/>
    <s v="RJ"/>
    <x v="3"/>
    <x v="1"/>
    <x v="1"/>
    <s v="Electronics"/>
    <n v="10"/>
    <n v="46148"/>
    <n v="0.1"/>
    <n v="0.1"/>
    <n v="6210"/>
    <n v="461480"/>
    <n v="415332"/>
    <n v="192650"/>
    <n v="222682"/>
    <n v="0.53615420916279022"/>
  </r>
  <r>
    <s v="ORD0635"/>
    <x v="249"/>
    <x v="2"/>
    <s v="DL"/>
    <x v="4"/>
    <x v="4"/>
    <x v="1"/>
    <s v="Electronics"/>
    <n v="5"/>
    <n v="19018"/>
    <n v="0.1"/>
    <n v="0.1"/>
    <n v="10074"/>
    <n v="95090"/>
    <n v="85581"/>
    <n v="140230"/>
    <n v="-54649"/>
    <n v="-0.63856463467358404"/>
  </r>
  <r>
    <s v="ORD0636"/>
    <x v="170"/>
    <x v="1"/>
    <s v="MH"/>
    <x v="0"/>
    <x v="3"/>
    <x v="1"/>
    <s v="Electronics"/>
    <n v="9"/>
    <n v="35260"/>
    <n v="0.05"/>
    <n v="0.05"/>
    <n v="24855"/>
    <n v="317340"/>
    <n v="301473"/>
    <n v="66456"/>
    <n v="235017"/>
    <n v="0.77956234886706277"/>
  </r>
  <r>
    <s v="ORD0637"/>
    <x v="189"/>
    <x v="0"/>
    <s v="MH"/>
    <x v="4"/>
    <x v="0"/>
    <x v="0"/>
    <s v="Furniture"/>
    <n v="2"/>
    <n v="20597"/>
    <m/>
    <n v="0"/>
    <m/>
    <n v="41194"/>
    <n v="41194"/>
    <n v="26542"/>
    <n v="14652"/>
    <n v="0.35568286643685976"/>
  </r>
  <r>
    <s v="ORD0638"/>
    <x v="252"/>
    <x v="0"/>
    <s v="RJ"/>
    <x v="4"/>
    <x v="0"/>
    <x v="0"/>
    <s v="Furniture"/>
    <n v="3"/>
    <n v="43736"/>
    <m/>
    <n v="0"/>
    <m/>
    <n v="131208"/>
    <n v="131208"/>
    <n v="39813"/>
    <n v="91395"/>
    <n v="0.6965657581854765"/>
  </r>
  <r>
    <s v="ORD0639"/>
    <x v="185"/>
    <x v="3"/>
    <s v="DL"/>
    <x v="0"/>
    <x v="4"/>
    <x v="1"/>
    <s v="Electronics"/>
    <n v="8"/>
    <n v="12034"/>
    <n v="0"/>
    <n v="0"/>
    <n v="25624"/>
    <n v="96272"/>
    <n v="96272"/>
    <n v="224368"/>
    <n v="-128096"/>
    <n v="-1.3305634036895462"/>
  </r>
  <r>
    <s v="ORD0640"/>
    <x v="169"/>
    <x v="2"/>
    <s v="RJ"/>
    <x v="4"/>
    <x v="3"/>
    <x v="1"/>
    <s v="Electronics"/>
    <n v="10"/>
    <n v="18702"/>
    <n v="0.1"/>
    <n v="0.1"/>
    <n v="27276"/>
    <n v="187020"/>
    <n v="168318"/>
    <n v="73840"/>
    <n v="94478"/>
    <n v="0.5613065744602479"/>
  </r>
  <r>
    <s v="ORD0641"/>
    <x v="187"/>
    <x v="3"/>
    <s v="MH"/>
    <x v="3"/>
    <x v="1"/>
    <x v="1"/>
    <s v="Electronics"/>
    <n v="10"/>
    <n v="44730"/>
    <n v="0"/>
    <n v="0"/>
    <m/>
    <n v="447300"/>
    <n v="447300"/>
    <n v="192650"/>
    <n v="254650"/>
    <n v="0.56930471719204112"/>
  </r>
  <r>
    <s v="ORD0642"/>
    <x v="40"/>
    <x v="3"/>
    <s v="DL"/>
    <x v="2"/>
    <x v="3"/>
    <x v="1"/>
    <s v="Electronics"/>
    <n v="1"/>
    <n v="16000"/>
    <n v="0.1"/>
    <n v="0.1"/>
    <m/>
    <n v="16000"/>
    <n v="14400"/>
    <n v="7384"/>
    <n v="7016"/>
    <n v="0.48722222222222222"/>
  </r>
  <r>
    <s v="ORD0643"/>
    <x v="83"/>
    <x v="2"/>
    <s v="MH"/>
    <x v="0"/>
    <x v="3"/>
    <x v="1"/>
    <s v="Electronics"/>
    <n v="5"/>
    <n v="34048"/>
    <m/>
    <n v="0"/>
    <n v="18205"/>
    <n v="170240"/>
    <n v="170240"/>
    <n v="36920"/>
    <n v="133320"/>
    <n v="0.78312969924812026"/>
  </r>
  <r>
    <s v="ORD0644"/>
    <x v="57"/>
    <x v="3"/>
    <s v="TN"/>
    <x v="3"/>
    <x v="4"/>
    <x v="1"/>
    <s v="Electronics"/>
    <n v="9"/>
    <n v="15524"/>
    <n v="0"/>
    <n v="0"/>
    <n v="2462"/>
    <n v="139716"/>
    <n v="139716"/>
    <n v="252414"/>
    <n v="-112698"/>
    <n v="-0.80662200463797995"/>
  </r>
  <r>
    <s v="ORD0645"/>
    <x v="50"/>
    <x v="0"/>
    <s v="GJ"/>
    <x v="4"/>
    <x v="4"/>
    <x v="1"/>
    <s v="Electronics"/>
    <n v="1"/>
    <n v="47529"/>
    <m/>
    <n v="0"/>
    <n v="220"/>
    <n v="47529"/>
    <n v="47529"/>
    <n v="28046"/>
    <n v="19483"/>
    <n v="0.40991815523154285"/>
  </r>
  <r>
    <s v="ORD0646"/>
    <x v="78"/>
    <x v="1"/>
    <s v="KA"/>
    <x v="0"/>
    <x v="0"/>
    <x v="0"/>
    <s v="Furniture"/>
    <n v="9"/>
    <n v="41869"/>
    <n v="0"/>
    <n v="0"/>
    <n v="4623"/>
    <n v="376821"/>
    <n v="376821"/>
    <n v="119439"/>
    <n v="257382"/>
    <n v="0.68303518116028561"/>
  </r>
  <r>
    <s v="ORD0647"/>
    <x v="35"/>
    <x v="0"/>
    <s v="KA"/>
    <x v="1"/>
    <x v="5"/>
    <x v="0"/>
    <s v="Furniture"/>
    <n v="10"/>
    <n v="41985"/>
    <n v="0.1"/>
    <n v="0.1"/>
    <m/>
    <n v="419850"/>
    <n v="377865"/>
    <n v="130400"/>
    <n v="247465"/>
    <n v="0.65490320617151632"/>
  </r>
  <r>
    <s v="ORD0648"/>
    <x v="293"/>
    <x v="2"/>
    <s v="KA"/>
    <x v="1"/>
    <x v="2"/>
    <x v="1"/>
    <s v="Electronics"/>
    <n v="7"/>
    <n v="38872"/>
    <n v="0.1"/>
    <n v="0.1"/>
    <m/>
    <n v="272104"/>
    <n v="244893.6"/>
    <n v="20216"/>
    <n v="224677.6"/>
    <n v="0.91744986394091144"/>
  </r>
  <r>
    <s v="ORD0649"/>
    <x v="294"/>
    <x v="0"/>
    <s v="TN"/>
    <x v="0"/>
    <x v="0"/>
    <x v="0"/>
    <s v="Furniture"/>
    <n v="9"/>
    <n v="2209"/>
    <m/>
    <n v="0"/>
    <n v="18635"/>
    <n v="19881"/>
    <n v="19881"/>
    <n v="119439"/>
    <n v="-99558"/>
    <n v="-5.0076957899502039"/>
  </r>
  <r>
    <s v="ORD0650"/>
    <x v="51"/>
    <x v="2"/>
    <s v="GJ"/>
    <x v="1"/>
    <x v="3"/>
    <x v="1"/>
    <s v="Electronics"/>
    <n v="6"/>
    <n v="18059"/>
    <m/>
    <n v="0"/>
    <m/>
    <n v="108354"/>
    <n v="108354"/>
    <n v="44304"/>
    <n v="64050"/>
    <n v="0.59111800210421395"/>
  </r>
  <r>
    <s v="ORD0651"/>
    <x v="170"/>
    <x v="2"/>
    <s v="KA"/>
    <x v="3"/>
    <x v="2"/>
    <x v="1"/>
    <s v="Electronics"/>
    <n v="7"/>
    <n v="49514"/>
    <n v="0.05"/>
    <n v="0.05"/>
    <n v="920"/>
    <n v="346598"/>
    <n v="329268.09999999998"/>
    <n v="20216"/>
    <n v="309052.09999999998"/>
    <n v="0.93860322333077517"/>
  </r>
  <r>
    <s v="ORD0652"/>
    <x v="82"/>
    <x v="0"/>
    <s v="TN"/>
    <x v="1"/>
    <x v="1"/>
    <x v="1"/>
    <s v="Electronics"/>
    <n v="2"/>
    <n v="6010"/>
    <n v="0.05"/>
    <n v="0.05"/>
    <n v="16740"/>
    <n v="12020"/>
    <n v="11419"/>
    <n v="38530"/>
    <n v="-27111"/>
    <n v="-2.3742008932480951"/>
  </r>
  <r>
    <s v="ORD0653"/>
    <x v="295"/>
    <x v="2"/>
    <s v="DL"/>
    <x v="4"/>
    <x v="5"/>
    <x v="0"/>
    <s v="Furniture"/>
    <n v="6"/>
    <n v="12179"/>
    <n v="0.1"/>
    <n v="0.1"/>
    <m/>
    <n v="73074"/>
    <n v="65766.600000000006"/>
    <n v="78240"/>
    <n v="-12473.399999999994"/>
    <n v="-0.18966162155258129"/>
  </r>
  <r>
    <s v="ORD0654"/>
    <x v="0"/>
    <x v="3"/>
    <s v="GJ"/>
    <x v="0"/>
    <x v="0"/>
    <x v="0"/>
    <s v="Furniture"/>
    <n v="1"/>
    <n v="35993"/>
    <n v="0.05"/>
    <n v="0.05"/>
    <n v="9193"/>
    <n v="35993"/>
    <n v="34193.35"/>
    <n v="13271"/>
    <n v="20922.349999999999"/>
    <n v="0.61188359724917274"/>
  </r>
  <r>
    <s v="ORD0655"/>
    <x v="276"/>
    <x v="0"/>
    <s v="KA"/>
    <x v="0"/>
    <x v="3"/>
    <x v="1"/>
    <s v="Electronics"/>
    <n v="1"/>
    <n v="23160"/>
    <n v="0"/>
    <n v="0"/>
    <m/>
    <n v="23160"/>
    <n v="23160"/>
    <n v="7384"/>
    <n v="15776"/>
    <n v="0.68117443868739203"/>
  </r>
  <r>
    <s v="ORD0656"/>
    <x v="131"/>
    <x v="0"/>
    <s v="GJ"/>
    <x v="2"/>
    <x v="1"/>
    <x v="1"/>
    <s v="Electronics"/>
    <n v="3"/>
    <n v="32595"/>
    <n v="0.1"/>
    <n v="0.1"/>
    <n v="23054"/>
    <n v="97785"/>
    <n v="88006.5"/>
    <n v="57795"/>
    <n v="30211.5"/>
    <n v="0.34328714356325951"/>
  </r>
  <r>
    <s v="ORD0657"/>
    <x v="59"/>
    <x v="3"/>
    <s v="KA"/>
    <x v="3"/>
    <x v="2"/>
    <x v="1"/>
    <s v="Electronics"/>
    <n v="5"/>
    <n v="4042"/>
    <m/>
    <n v="0"/>
    <n v="4476"/>
    <n v="20210"/>
    <n v="20210"/>
    <n v="14440"/>
    <n v="5770"/>
    <n v="0.28550222662048491"/>
  </r>
  <r>
    <s v="ORD0658"/>
    <x v="282"/>
    <x v="2"/>
    <s v="GJ"/>
    <x v="3"/>
    <x v="3"/>
    <x v="1"/>
    <s v="Electronics"/>
    <n v="5"/>
    <n v="44980"/>
    <m/>
    <n v="0"/>
    <m/>
    <n v="224900"/>
    <n v="224900"/>
    <n v="36920"/>
    <n v="187980"/>
    <n v="0.83583815028901731"/>
  </r>
  <r>
    <s v="ORD0659"/>
    <x v="143"/>
    <x v="1"/>
    <s v="DL"/>
    <x v="2"/>
    <x v="4"/>
    <x v="1"/>
    <s v="Electronics"/>
    <n v="3"/>
    <n v="8437"/>
    <n v="0"/>
    <n v="0"/>
    <m/>
    <n v="25311"/>
    <n v="25311"/>
    <n v="84138"/>
    <n v="-58827"/>
    <n v="-2.324167358065663"/>
  </r>
  <r>
    <s v="ORD0660"/>
    <x v="77"/>
    <x v="1"/>
    <s v="GJ"/>
    <x v="0"/>
    <x v="3"/>
    <x v="1"/>
    <s v="Electronics"/>
    <n v="9"/>
    <n v="23526"/>
    <n v="0.1"/>
    <n v="0.1"/>
    <m/>
    <n v="211734"/>
    <n v="190560.6"/>
    <n v="66456"/>
    <n v="124104.6"/>
    <n v="0.65126054388997512"/>
  </r>
  <r>
    <s v="ORD0661"/>
    <x v="217"/>
    <x v="0"/>
    <s v="TN"/>
    <x v="0"/>
    <x v="0"/>
    <x v="0"/>
    <s v="Furniture"/>
    <n v="9"/>
    <n v="19065"/>
    <n v="0.05"/>
    <n v="0.05"/>
    <m/>
    <n v="171585"/>
    <n v="163005.75"/>
    <n v="119439"/>
    <n v="43566.75"/>
    <n v="0.26727124656645546"/>
  </r>
  <r>
    <s v="ORD0662"/>
    <x v="215"/>
    <x v="1"/>
    <s v="MH"/>
    <x v="0"/>
    <x v="4"/>
    <x v="1"/>
    <s v="Electronics"/>
    <n v="8"/>
    <n v="43535"/>
    <n v="0.05"/>
    <n v="0.05"/>
    <m/>
    <n v="348280"/>
    <n v="330866"/>
    <n v="224368"/>
    <n v="106498"/>
    <n v="0.32187653007561973"/>
  </r>
  <r>
    <s v="ORD0663"/>
    <x v="151"/>
    <x v="0"/>
    <s v="DL"/>
    <x v="2"/>
    <x v="0"/>
    <x v="0"/>
    <s v="Furniture"/>
    <n v="1"/>
    <n v="7472"/>
    <n v="0.1"/>
    <n v="0.1"/>
    <m/>
    <n v="7472"/>
    <n v="6724.8"/>
    <n v="13271"/>
    <n v="-6546.2"/>
    <n v="-0.97344158934094693"/>
  </r>
  <r>
    <s v="ORD0664"/>
    <x v="84"/>
    <x v="1"/>
    <s v="GJ"/>
    <x v="1"/>
    <x v="4"/>
    <x v="1"/>
    <s v="Electronics"/>
    <n v="2"/>
    <n v="19558"/>
    <n v="0.1"/>
    <n v="0.1"/>
    <n v="12634"/>
    <n v="39116"/>
    <n v="35204.400000000001"/>
    <n v="56092"/>
    <n v="-20887.599999999999"/>
    <n v="-0.59332356182749879"/>
  </r>
  <r>
    <s v="ORD0665"/>
    <x v="105"/>
    <x v="0"/>
    <s v="DL"/>
    <x v="0"/>
    <x v="0"/>
    <x v="0"/>
    <s v="Furniture"/>
    <n v="9"/>
    <n v="42899"/>
    <m/>
    <n v="0"/>
    <m/>
    <n v="386091"/>
    <n v="386091"/>
    <n v="119439"/>
    <n v="266652"/>
    <n v="0.69064546959136575"/>
  </r>
  <r>
    <s v="ORD0666"/>
    <x v="124"/>
    <x v="3"/>
    <s v="RJ"/>
    <x v="1"/>
    <x v="2"/>
    <x v="1"/>
    <s v="Electronics"/>
    <n v="7"/>
    <n v="43661"/>
    <n v="0.05"/>
    <n v="0.05"/>
    <m/>
    <n v="305627"/>
    <n v="290345.65000000002"/>
    <n v="20216"/>
    <n v="270129.65000000002"/>
    <n v="0.93037264377820028"/>
  </r>
  <r>
    <s v="ORD0667"/>
    <x v="294"/>
    <x v="0"/>
    <s v="DL"/>
    <x v="3"/>
    <x v="4"/>
    <x v="1"/>
    <s v="Electronics"/>
    <n v="7"/>
    <n v="36190"/>
    <n v="0.1"/>
    <n v="0.1"/>
    <n v="4048"/>
    <n v="253330"/>
    <n v="227997"/>
    <n v="196322"/>
    <n v="31675"/>
    <n v="0.13892726658684104"/>
  </r>
  <r>
    <s v="ORD0668"/>
    <x v="113"/>
    <x v="0"/>
    <s v="GJ"/>
    <x v="4"/>
    <x v="1"/>
    <x v="1"/>
    <s v="Electronics"/>
    <n v="8"/>
    <n v="34983"/>
    <n v="0"/>
    <n v="0"/>
    <n v="17797"/>
    <n v="279864"/>
    <n v="279864"/>
    <n v="154120"/>
    <n v="125744"/>
    <n v="0.44930394763170683"/>
  </r>
  <r>
    <s v="ORD0669"/>
    <x v="250"/>
    <x v="2"/>
    <s v="RJ"/>
    <x v="4"/>
    <x v="2"/>
    <x v="1"/>
    <s v="Electronics"/>
    <n v="1"/>
    <n v="29692"/>
    <m/>
    <n v="0"/>
    <n v="20806"/>
    <n v="29692"/>
    <n v="29692"/>
    <n v="2888"/>
    <n v="26804"/>
    <n v="0.9027347433652162"/>
  </r>
  <r>
    <s v="ORD0670"/>
    <x v="5"/>
    <x v="0"/>
    <s v="DL"/>
    <x v="1"/>
    <x v="4"/>
    <x v="1"/>
    <s v="Electronics"/>
    <n v="8"/>
    <n v="38788"/>
    <m/>
    <n v="0"/>
    <m/>
    <n v="310304"/>
    <n v="310304"/>
    <n v="224368"/>
    <n v="85936"/>
    <n v="0.27694132205836858"/>
  </r>
  <r>
    <s v="ORD0671"/>
    <x v="210"/>
    <x v="2"/>
    <s v="DL"/>
    <x v="0"/>
    <x v="3"/>
    <x v="1"/>
    <s v="Electronics"/>
    <n v="6"/>
    <n v="3488"/>
    <n v="0.05"/>
    <n v="0.05"/>
    <m/>
    <n v="20928"/>
    <n v="19881.599999999999"/>
    <n v="44304"/>
    <n v="-24422.400000000001"/>
    <n v="-1.228392081120232"/>
  </r>
  <r>
    <s v="ORD0672"/>
    <x v="89"/>
    <x v="0"/>
    <s v="DL"/>
    <x v="0"/>
    <x v="1"/>
    <x v="1"/>
    <s v="Electronics"/>
    <n v="8"/>
    <n v="44250"/>
    <n v="0.05"/>
    <n v="0.05"/>
    <m/>
    <n v="354000"/>
    <n v="336300"/>
    <n v="154120"/>
    <n v="182180"/>
    <n v="0.54171870353850726"/>
  </r>
  <r>
    <s v="ORD0673"/>
    <x v="238"/>
    <x v="2"/>
    <s v="GJ"/>
    <x v="1"/>
    <x v="3"/>
    <x v="1"/>
    <s v="Electronics"/>
    <n v="8"/>
    <n v="18843"/>
    <n v="0.05"/>
    <n v="0.05"/>
    <m/>
    <n v="150744"/>
    <n v="143206.79999999999"/>
    <n v="59072"/>
    <n v="84134.799999999988"/>
    <n v="0.58750562124144945"/>
  </r>
  <r>
    <s v="ORD0674"/>
    <x v="77"/>
    <x v="3"/>
    <s v="RJ"/>
    <x v="4"/>
    <x v="1"/>
    <x v="1"/>
    <s v="Electronics"/>
    <n v="2"/>
    <n v="28149"/>
    <n v="0.05"/>
    <n v="0.05"/>
    <m/>
    <n v="56298"/>
    <n v="53483.1"/>
    <n v="38530"/>
    <n v="14953.099999999999"/>
    <n v="0.27958551392869896"/>
  </r>
  <r>
    <s v="ORD0675"/>
    <x v="107"/>
    <x v="3"/>
    <s v="DL"/>
    <x v="2"/>
    <x v="0"/>
    <x v="0"/>
    <s v="Furniture"/>
    <n v="4"/>
    <n v="49259"/>
    <n v="0.1"/>
    <n v="0.1"/>
    <m/>
    <n v="197036"/>
    <n v="177332.4"/>
    <n v="53084"/>
    <n v="124248.4"/>
    <n v="0.70065255982550279"/>
  </r>
  <r>
    <s v="ORD0676"/>
    <x v="257"/>
    <x v="0"/>
    <s v="DL"/>
    <x v="4"/>
    <x v="2"/>
    <x v="1"/>
    <s v="Electronics"/>
    <n v="9"/>
    <n v="4369"/>
    <m/>
    <n v="0"/>
    <m/>
    <n v="39321"/>
    <n v="39321"/>
    <n v="25992"/>
    <n v="13329"/>
    <n v="0.33897917143511103"/>
  </r>
  <r>
    <s v="ORD0677"/>
    <x v="296"/>
    <x v="0"/>
    <s v="KA"/>
    <x v="2"/>
    <x v="2"/>
    <x v="1"/>
    <s v="Electronics"/>
    <n v="10"/>
    <n v="31979"/>
    <n v="0.05"/>
    <n v="0.05"/>
    <m/>
    <n v="319790"/>
    <n v="303800.5"/>
    <n v="28880"/>
    <n v="274920.5"/>
    <n v="0.90493761531004724"/>
  </r>
  <r>
    <s v="ORD0678"/>
    <x v="37"/>
    <x v="1"/>
    <s v="MH"/>
    <x v="0"/>
    <x v="5"/>
    <x v="0"/>
    <s v="Furniture"/>
    <n v="7"/>
    <n v="6059"/>
    <m/>
    <n v="0"/>
    <m/>
    <n v="42413"/>
    <n v="42413"/>
    <n v="91280"/>
    <n v="-48867"/>
    <n v="-1.152170325136161"/>
  </r>
  <r>
    <s v="ORD0679"/>
    <x v="122"/>
    <x v="0"/>
    <s v="TN"/>
    <x v="2"/>
    <x v="2"/>
    <x v="1"/>
    <s v="Electronics"/>
    <n v="10"/>
    <n v="9719"/>
    <n v="0"/>
    <n v="0"/>
    <n v="3475"/>
    <n v="97190"/>
    <n v="97190"/>
    <n v="28880"/>
    <n v="68310"/>
    <n v="0.70285008745755739"/>
  </r>
  <r>
    <s v="ORD0680"/>
    <x v="147"/>
    <x v="1"/>
    <s v="TN"/>
    <x v="4"/>
    <x v="0"/>
    <x v="0"/>
    <s v="Furniture"/>
    <n v="5"/>
    <n v="15993"/>
    <n v="0"/>
    <n v="0"/>
    <n v="23580"/>
    <n v="79965"/>
    <n v="79965"/>
    <n v="66355"/>
    <n v="13610"/>
    <n v="0.17019946226474084"/>
  </r>
  <r>
    <s v="ORD0681"/>
    <x v="16"/>
    <x v="3"/>
    <s v="MH"/>
    <x v="4"/>
    <x v="4"/>
    <x v="1"/>
    <s v="Electronics"/>
    <n v="6"/>
    <n v="17953"/>
    <n v="0.05"/>
    <n v="0.05"/>
    <n v="1257"/>
    <n v="107718"/>
    <n v="102332.1"/>
    <n v="168276"/>
    <n v="-65943.899999999994"/>
    <n v="-0.64441069810939078"/>
  </r>
  <r>
    <s v="ORD0682"/>
    <x v="120"/>
    <x v="1"/>
    <s v="RJ"/>
    <x v="1"/>
    <x v="2"/>
    <x v="1"/>
    <s v="Electronics"/>
    <n v="9"/>
    <n v="6758"/>
    <n v="0"/>
    <n v="0"/>
    <n v="7489"/>
    <n v="60822"/>
    <n v="60822"/>
    <n v="25992"/>
    <n v="34830"/>
    <n v="0.57265463154779517"/>
  </r>
  <r>
    <s v="ORD0683"/>
    <x v="297"/>
    <x v="1"/>
    <s v="MH"/>
    <x v="3"/>
    <x v="4"/>
    <x v="1"/>
    <s v="Electronics"/>
    <n v="9"/>
    <n v="26636"/>
    <n v="0.1"/>
    <n v="0.1"/>
    <m/>
    <n v="239724"/>
    <n v="215751.6"/>
    <n v="252414"/>
    <n v="-36662.399999999994"/>
    <n v="-0.16992875139744035"/>
  </r>
  <r>
    <s v="ORD0684"/>
    <x v="68"/>
    <x v="2"/>
    <s v="TN"/>
    <x v="0"/>
    <x v="4"/>
    <x v="1"/>
    <s v="Electronics"/>
    <n v="4"/>
    <n v="34128"/>
    <m/>
    <n v="0"/>
    <n v="15614"/>
    <n v="136512"/>
    <n v="136512"/>
    <n v="112184"/>
    <n v="24328"/>
    <n v="0.17821143928738867"/>
  </r>
  <r>
    <s v="ORD0685"/>
    <x v="89"/>
    <x v="3"/>
    <s v="DL"/>
    <x v="1"/>
    <x v="0"/>
    <x v="0"/>
    <s v="Furniture"/>
    <n v="9"/>
    <n v="48730"/>
    <n v="0.1"/>
    <n v="0.1"/>
    <n v="27728"/>
    <n v="438570"/>
    <n v="394713"/>
    <n v="119439"/>
    <n v="275274"/>
    <n v="0.6974029231365575"/>
  </r>
  <r>
    <s v="ORD0686"/>
    <x v="47"/>
    <x v="0"/>
    <s v="TN"/>
    <x v="3"/>
    <x v="1"/>
    <x v="1"/>
    <s v="Electronics"/>
    <n v="4"/>
    <n v="46807"/>
    <n v="0.05"/>
    <n v="0.05"/>
    <m/>
    <n v="187228"/>
    <n v="177866.6"/>
    <n v="77060"/>
    <n v="100806.6"/>
    <n v="0.56675396055245897"/>
  </r>
  <r>
    <s v="ORD0687"/>
    <x v="18"/>
    <x v="2"/>
    <s v="RJ"/>
    <x v="4"/>
    <x v="2"/>
    <x v="1"/>
    <s v="Electronics"/>
    <n v="6"/>
    <n v="14767"/>
    <n v="0.05"/>
    <n v="0.05"/>
    <n v="6820"/>
    <n v="88602"/>
    <n v="84171.9"/>
    <n v="17328"/>
    <n v="66843.899999999994"/>
    <n v="0.79413557256043876"/>
  </r>
  <r>
    <s v="ORD0688"/>
    <x v="240"/>
    <x v="0"/>
    <s v="TN"/>
    <x v="3"/>
    <x v="3"/>
    <x v="1"/>
    <s v="Electronics"/>
    <n v="8"/>
    <n v="27672"/>
    <n v="0"/>
    <n v="0"/>
    <n v="16345"/>
    <n v="221376"/>
    <n v="221376"/>
    <n v="59072"/>
    <n v="162304"/>
    <n v="0.73315987279560568"/>
  </r>
  <r>
    <s v="ORD0689"/>
    <x v="3"/>
    <x v="0"/>
    <s v="KA"/>
    <x v="4"/>
    <x v="2"/>
    <x v="1"/>
    <s v="Electronics"/>
    <n v="2"/>
    <n v="6334"/>
    <m/>
    <n v="0"/>
    <m/>
    <n v="12668"/>
    <n v="12668"/>
    <n v="5776"/>
    <n v="6892"/>
    <n v="0.54404799494790024"/>
  </r>
  <r>
    <s v="ORD0690"/>
    <x v="298"/>
    <x v="1"/>
    <s v="KA"/>
    <x v="0"/>
    <x v="3"/>
    <x v="1"/>
    <s v="Electronics"/>
    <n v="5"/>
    <n v="34095"/>
    <m/>
    <n v="0"/>
    <n v="6452"/>
    <n v="170475"/>
    <n v="170475"/>
    <n v="36920"/>
    <n v="133555"/>
    <n v="0.78342865522803928"/>
  </r>
  <r>
    <s v="ORD0691"/>
    <x v="272"/>
    <x v="3"/>
    <s v="KA"/>
    <x v="2"/>
    <x v="5"/>
    <x v="0"/>
    <s v="Furniture"/>
    <n v="5"/>
    <n v="17438"/>
    <n v="0.05"/>
    <n v="0.05"/>
    <n v="7877"/>
    <n v="87190"/>
    <n v="82830.5"/>
    <n v="65200"/>
    <n v="17630.5"/>
    <n v="0.21285033894519531"/>
  </r>
  <r>
    <s v="ORD0692"/>
    <x v="191"/>
    <x v="2"/>
    <s v="TN"/>
    <x v="3"/>
    <x v="3"/>
    <x v="1"/>
    <s v="Electronics"/>
    <n v="6"/>
    <n v="17236"/>
    <n v="0.1"/>
    <n v="0.1"/>
    <n v="22011"/>
    <n v="103416"/>
    <n v="93074.4"/>
    <n v="44304"/>
    <n v="48770.399999999994"/>
    <n v="0.52399370825919911"/>
  </r>
  <r>
    <s v="ORD0693"/>
    <x v="43"/>
    <x v="2"/>
    <s v="RJ"/>
    <x v="0"/>
    <x v="0"/>
    <x v="0"/>
    <s v="Furniture"/>
    <n v="10"/>
    <n v="22469"/>
    <m/>
    <n v="0"/>
    <n v="22091"/>
    <n v="224690"/>
    <n v="224690"/>
    <n v="132710"/>
    <n v="91980"/>
    <n v="0.40936401263963684"/>
  </r>
  <r>
    <s v="ORD0694"/>
    <x v="25"/>
    <x v="3"/>
    <s v="RJ"/>
    <x v="2"/>
    <x v="0"/>
    <x v="0"/>
    <s v="Furniture"/>
    <n v="9"/>
    <n v="37581"/>
    <m/>
    <n v="0"/>
    <m/>
    <n v="338229"/>
    <n v="338229"/>
    <n v="119439"/>
    <n v="218790"/>
    <n v="0.64686942870067321"/>
  </r>
  <r>
    <s v="ORD0695"/>
    <x v="81"/>
    <x v="3"/>
    <s v="TN"/>
    <x v="4"/>
    <x v="5"/>
    <x v="0"/>
    <s v="Furniture"/>
    <n v="10"/>
    <n v="32506"/>
    <m/>
    <n v="0"/>
    <n v="26273"/>
    <n v="325060"/>
    <n v="325060"/>
    <n v="130400"/>
    <n v="194660"/>
    <n v="0.59884329046945184"/>
  </r>
  <r>
    <s v="ORD0696"/>
    <x v="98"/>
    <x v="0"/>
    <s v="KA"/>
    <x v="2"/>
    <x v="3"/>
    <x v="1"/>
    <s v="Electronics"/>
    <n v="6"/>
    <n v="45144"/>
    <m/>
    <n v="0"/>
    <n v="1792"/>
    <n v="270864"/>
    <n v="270864"/>
    <n v="44304"/>
    <n v="226560"/>
    <n v="0.83643452064504697"/>
  </r>
  <r>
    <s v="ORD0697"/>
    <x v="175"/>
    <x v="3"/>
    <s v="KA"/>
    <x v="2"/>
    <x v="3"/>
    <x v="1"/>
    <s v="Electronics"/>
    <n v="1"/>
    <n v="46238"/>
    <n v="0"/>
    <n v="0"/>
    <n v="287"/>
    <n v="46238"/>
    <n v="46238"/>
    <n v="7384"/>
    <n v="38854"/>
    <n v="0.84030451144080631"/>
  </r>
  <r>
    <s v="ORD0698"/>
    <x v="289"/>
    <x v="0"/>
    <s v="MH"/>
    <x v="3"/>
    <x v="4"/>
    <x v="1"/>
    <s v="Electronics"/>
    <n v="8"/>
    <n v="45974"/>
    <n v="0.05"/>
    <n v="0.05"/>
    <n v="26925"/>
    <n v="367792"/>
    <n v="349402.4"/>
    <n v="224368"/>
    <n v="125034.40000000002"/>
    <n v="0.35785214984213048"/>
  </r>
  <r>
    <s v="ORD0699"/>
    <x v="93"/>
    <x v="2"/>
    <s v="TN"/>
    <x v="0"/>
    <x v="4"/>
    <x v="1"/>
    <s v="Electronics"/>
    <n v="8"/>
    <n v="7517"/>
    <n v="0.05"/>
    <n v="0.05"/>
    <m/>
    <n v="60136"/>
    <n v="57129.2"/>
    <n v="224368"/>
    <n v="-167238.79999999999"/>
    <n v="-2.9273786434957954"/>
  </r>
  <r>
    <s v="ORD0700"/>
    <x v="237"/>
    <x v="1"/>
    <s v="DL"/>
    <x v="0"/>
    <x v="5"/>
    <x v="0"/>
    <s v="Furniture"/>
    <n v="7"/>
    <n v="31262"/>
    <m/>
    <n v="0"/>
    <n v="10397"/>
    <n v="218834"/>
    <n v="218834"/>
    <n v="91280"/>
    <n v="127554"/>
    <n v="0.58288017401317893"/>
  </r>
  <r>
    <s v="ORD0701"/>
    <x v="193"/>
    <x v="3"/>
    <s v="TN"/>
    <x v="3"/>
    <x v="4"/>
    <x v="1"/>
    <s v="Electronics"/>
    <n v="4"/>
    <n v="28211"/>
    <m/>
    <n v="0"/>
    <n v="24400"/>
    <n v="112844"/>
    <n v="112844"/>
    <n v="112184"/>
    <n v="660"/>
    <n v="5.848782389847932E-3"/>
  </r>
  <r>
    <s v="ORD0702"/>
    <x v="98"/>
    <x v="0"/>
    <s v="DL"/>
    <x v="4"/>
    <x v="0"/>
    <x v="0"/>
    <s v="Furniture"/>
    <n v="6"/>
    <n v="38479"/>
    <n v="0.05"/>
    <n v="0.05"/>
    <m/>
    <n v="230874"/>
    <n v="219330.3"/>
    <n v="79626"/>
    <n v="139704.29999999999"/>
    <n v="0.6369585050492339"/>
  </r>
  <r>
    <s v="ORD0703"/>
    <x v="202"/>
    <x v="2"/>
    <s v="DL"/>
    <x v="4"/>
    <x v="2"/>
    <x v="1"/>
    <s v="Electronics"/>
    <n v="9"/>
    <n v="14005"/>
    <m/>
    <n v="0"/>
    <m/>
    <n v="126045"/>
    <n v="126045"/>
    <n v="25992"/>
    <n v="100053"/>
    <n v="0.79378793288111393"/>
  </r>
  <r>
    <s v="ORD0704"/>
    <x v="24"/>
    <x v="2"/>
    <s v="KA"/>
    <x v="4"/>
    <x v="4"/>
    <x v="1"/>
    <s v="Electronics"/>
    <n v="7"/>
    <n v="37424"/>
    <n v="0.1"/>
    <n v="0.1"/>
    <n v="10441"/>
    <n v="261968"/>
    <n v="235771.2"/>
    <n v="196322"/>
    <n v="39449.200000000012"/>
    <n v="0.16731984228777735"/>
  </r>
  <r>
    <s v="ORD0705"/>
    <x v="299"/>
    <x v="0"/>
    <s v="MH"/>
    <x v="0"/>
    <x v="3"/>
    <x v="1"/>
    <s v="Electronics"/>
    <n v="9"/>
    <n v="27340"/>
    <n v="0.05"/>
    <n v="0.05"/>
    <n v="28882"/>
    <n v="246060"/>
    <n v="233757"/>
    <n v="66456"/>
    <n v="167301"/>
    <n v="0.71570477033842839"/>
  </r>
  <r>
    <s v="ORD0706"/>
    <x v="122"/>
    <x v="2"/>
    <s v="MH"/>
    <x v="3"/>
    <x v="1"/>
    <x v="1"/>
    <s v="Electronics"/>
    <n v="5"/>
    <n v="28075"/>
    <n v="0"/>
    <n v="0"/>
    <n v="7707"/>
    <n v="140375"/>
    <n v="140375"/>
    <n v="96325"/>
    <n v="44050"/>
    <n v="0.31380231522707036"/>
  </r>
  <r>
    <s v="ORD0707"/>
    <x v="197"/>
    <x v="1"/>
    <s v="RJ"/>
    <x v="2"/>
    <x v="2"/>
    <x v="1"/>
    <s v="Electronics"/>
    <n v="8"/>
    <n v="45451"/>
    <m/>
    <n v="0"/>
    <m/>
    <n v="363608"/>
    <n v="363608"/>
    <n v="23104"/>
    <n v="340504"/>
    <n v="0.93645904380541678"/>
  </r>
  <r>
    <s v="ORD0708"/>
    <x v="129"/>
    <x v="3"/>
    <s v="MH"/>
    <x v="3"/>
    <x v="2"/>
    <x v="1"/>
    <s v="Electronics"/>
    <n v="4"/>
    <n v="43914"/>
    <n v="0"/>
    <n v="0"/>
    <n v="2490"/>
    <n v="175656"/>
    <n v="175656"/>
    <n v="11552"/>
    <n v="164104"/>
    <n v="0.93423509586919884"/>
  </r>
  <r>
    <s v="ORD0709"/>
    <x v="300"/>
    <x v="0"/>
    <s v="KA"/>
    <x v="3"/>
    <x v="2"/>
    <x v="1"/>
    <s v="Electronics"/>
    <n v="10"/>
    <n v="48039"/>
    <n v="0.05"/>
    <n v="0.05"/>
    <n v="13142"/>
    <n v="480390"/>
    <n v="456370.5"/>
    <n v="28880"/>
    <n v="427490.5"/>
    <n v="0.93671808322404715"/>
  </r>
  <r>
    <s v="ORD0710"/>
    <x v="107"/>
    <x v="2"/>
    <s v="DL"/>
    <x v="2"/>
    <x v="4"/>
    <x v="1"/>
    <s v="Electronics"/>
    <n v="1"/>
    <n v="8580"/>
    <n v="0.05"/>
    <n v="0.05"/>
    <n v="876"/>
    <n v="8580"/>
    <n v="8151"/>
    <n v="28046"/>
    <n v="-19895"/>
    <n v="-2.4408048092258618"/>
  </r>
  <r>
    <s v="ORD0711"/>
    <x v="49"/>
    <x v="0"/>
    <s v="KA"/>
    <x v="2"/>
    <x v="5"/>
    <x v="0"/>
    <s v="Furniture"/>
    <n v="9"/>
    <n v="49110"/>
    <m/>
    <n v="0"/>
    <n v="21880"/>
    <n v="441990"/>
    <n v="441990"/>
    <n v="117360"/>
    <n v="324630"/>
    <n v="0.73447363062512727"/>
  </r>
  <r>
    <s v="ORD0712"/>
    <x v="0"/>
    <x v="0"/>
    <s v="KA"/>
    <x v="3"/>
    <x v="4"/>
    <x v="1"/>
    <s v="Electronics"/>
    <n v="3"/>
    <n v="22762"/>
    <n v="0.1"/>
    <n v="0.1"/>
    <n v="4883"/>
    <n v="68286"/>
    <n v="61457.4"/>
    <n v="84138"/>
    <n v="-22680.6"/>
    <n v="-0.36904587567973912"/>
  </r>
  <r>
    <s v="ORD0713"/>
    <x v="185"/>
    <x v="0"/>
    <s v="DL"/>
    <x v="4"/>
    <x v="0"/>
    <x v="0"/>
    <s v="Furniture"/>
    <n v="1"/>
    <n v="14124"/>
    <m/>
    <n v="0"/>
    <m/>
    <n v="14124"/>
    <n v="14124"/>
    <n v="13271"/>
    <n v="853"/>
    <n v="6.0393656188048712E-2"/>
  </r>
  <r>
    <s v="ORD0714"/>
    <x v="218"/>
    <x v="0"/>
    <s v="RJ"/>
    <x v="2"/>
    <x v="3"/>
    <x v="1"/>
    <s v="Electronics"/>
    <n v="7"/>
    <n v="31096"/>
    <n v="0.05"/>
    <n v="0.05"/>
    <n v="14137"/>
    <n v="217672"/>
    <n v="206788.4"/>
    <n v="51688"/>
    <n v="155100.4"/>
    <n v="0.75004400633691248"/>
  </r>
  <r>
    <s v="ORD0715"/>
    <x v="93"/>
    <x v="2"/>
    <s v="DL"/>
    <x v="2"/>
    <x v="4"/>
    <x v="1"/>
    <s v="Electronics"/>
    <n v="9"/>
    <n v="47380"/>
    <n v="0"/>
    <n v="0"/>
    <m/>
    <n v="426420"/>
    <n v="426420"/>
    <n v="252414"/>
    <n v="174006"/>
    <n v="0.40806247361756015"/>
  </r>
  <r>
    <s v="ORD0716"/>
    <x v="109"/>
    <x v="3"/>
    <s v="TN"/>
    <x v="2"/>
    <x v="0"/>
    <x v="0"/>
    <s v="Furniture"/>
    <n v="5"/>
    <n v="37779"/>
    <n v="0.1"/>
    <n v="0.1"/>
    <m/>
    <n v="188895"/>
    <n v="170005.5"/>
    <n v="66355"/>
    <n v="103650.5"/>
    <n v="0.60968909829387874"/>
  </r>
  <r>
    <s v="ORD0717"/>
    <x v="299"/>
    <x v="2"/>
    <s v="MH"/>
    <x v="2"/>
    <x v="1"/>
    <x v="1"/>
    <s v="Electronics"/>
    <n v="10"/>
    <n v="29831"/>
    <n v="0.05"/>
    <n v="0.05"/>
    <n v="16276"/>
    <n v="298310"/>
    <n v="283394.5"/>
    <n v="192650"/>
    <n v="90744.5"/>
    <n v="0.32020557914850145"/>
  </r>
  <r>
    <s v="ORD0718"/>
    <x v="263"/>
    <x v="1"/>
    <s v="DL"/>
    <x v="3"/>
    <x v="1"/>
    <x v="1"/>
    <s v="Electronics"/>
    <n v="10"/>
    <n v="43930"/>
    <n v="0.05"/>
    <n v="0.05"/>
    <n v="811"/>
    <n v="439300"/>
    <n v="417335"/>
    <n v="192650"/>
    <n v="224685"/>
    <n v="0.53838043777780442"/>
  </r>
  <r>
    <s v="ORD0719"/>
    <x v="99"/>
    <x v="1"/>
    <s v="MH"/>
    <x v="1"/>
    <x v="0"/>
    <x v="0"/>
    <s v="Furniture"/>
    <n v="4"/>
    <n v="25445"/>
    <m/>
    <n v="0"/>
    <n v="27335"/>
    <n v="101780"/>
    <n v="101780"/>
    <n v="53084"/>
    <n v="48696"/>
    <n v="0.4784437021025742"/>
  </r>
  <r>
    <s v="ORD0720"/>
    <x v="301"/>
    <x v="1"/>
    <s v="DL"/>
    <x v="2"/>
    <x v="5"/>
    <x v="0"/>
    <s v="Furniture"/>
    <n v="2"/>
    <n v="49359"/>
    <n v="0"/>
    <n v="0"/>
    <n v="8922"/>
    <n v="98718"/>
    <n v="98718"/>
    <n v="26080"/>
    <n v="72638"/>
    <n v="0.73581312425292245"/>
  </r>
  <r>
    <s v="ORD0721"/>
    <x v="194"/>
    <x v="1"/>
    <s v="DL"/>
    <x v="3"/>
    <x v="3"/>
    <x v="1"/>
    <s v="Electronics"/>
    <n v="8"/>
    <n v="16854"/>
    <m/>
    <n v="0"/>
    <n v="3772"/>
    <n v="134832"/>
    <n v="134832"/>
    <n v="59072"/>
    <n v="75760"/>
    <n v="0.56188441912899012"/>
  </r>
  <r>
    <s v="ORD0722"/>
    <x v="119"/>
    <x v="1"/>
    <s v="RJ"/>
    <x v="0"/>
    <x v="5"/>
    <x v="0"/>
    <s v="Furniture"/>
    <n v="9"/>
    <n v="3440"/>
    <n v="0"/>
    <n v="0"/>
    <n v="16932"/>
    <n v="30960"/>
    <n v="30960"/>
    <n v="117360"/>
    <n v="-86400"/>
    <n v="-2.7906976744186047"/>
  </r>
  <r>
    <s v="ORD0723"/>
    <x v="218"/>
    <x v="0"/>
    <s v="RJ"/>
    <x v="4"/>
    <x v="3"/>
    <x v="1"/>
    <s v="Electronics"/>
    <n v="5"/>
    <n v="11162"/>
    <n v="0.1"/>
    <n v="0.1"/>
    <m/>
    <n v="55810"/>
    <n v="50229"/>
    <n v="36920"/>
    <n v="13309"/>
    <n v="0.26496645364231819"/>
  </r>
  <r>
    <s v="ORD0724"/>
    <x v="207"/>
    <x v="1"/>
    <s v="RJ"/>
    <x v="0"/>
    <x v="5"/>
    <x v="0"/>
    <s v="Furniture"/>
    <n v="8"/>
    <n v="3753"/>
    <m/>
    <n v="0"/>
    <m/>
    <n v="30024"/>
    <n v="30024"/>
    <n v="104320"/>
    <n v="-74296"/>
    <n v="-2.4745536903810286"/>
  </r>
  <r>
    <s v="ORD0725"/>
    <x v="273"/>
    <x v="2"/>
    <s v="TN"/>
    <x v="1"/>
    <x v="4"/>
    <x v="1"/>
    <s v="Electronics"/>
    <n v="3"/>
    <n v="28854"/>
    <n v="0.1"/>
    <n v="0.1"/>
    <m/>
    <n v="86562"/>
    <n v="77905.8"/>
    <n v="84138"/>
    <n v="-6232.1999999999971"/>
    <n v="-7.9996611292098882E-2"/>
  </r>
  <r>
    <s v="ORD0726"/>
    <x v="97"/>
    <x v="0"/>
    <s v="TN"/>
    <x v="4"/>
    <x v="3"/>
    <x v="1"/>
    <s v="Electronics"/>
    <n v="2"/>
    <n v="9628"/>
    <n v="0.1"/>
    <n v="0.1"/>
    <m/>
    <n v="19256"/>
    <n v="17330.400000000001"/>
    <n v="14768"/>
    <n v="2562.4000000000015"/>
    <n v="0.14785579098001209"/>
  </r>
  <r>
    <s v="ORD0727"/>
    <x v="162"/>
    <x v="1"/>
    <s v="GJ"/>
    <x v="2"/>
    <x v="2"/>
    <x v="1"/>
    <s v="Electronics"/>
    <n v="4"/>
    <n v="19288"/>
    <n v="0.05"/>
    <n v="0.05"/>
    <m/>
    <n v="77152"/>
    <n v="73294.399999999994"/>
    <n v="11552"/>
    <n v="61742.399999999994"/>
    <n v="0.84238905018664456"/>
  </r>
  <r>
    <s v="ORD0728"/>
    <x v="138"/>
    <x v="1"/>
    <s v="RJ"/>
    <x v="1"/>
    <x v="3"/>
    <x v="1"/>
    <s v="Electronics"/>
    <n v="9"/>
    <n v="16078"/>
    <n v="0.1"/>
    <n v="0.1"/>
    <n v="14851"/>
    <n v="144702"/>
    <n v="130231.8"/>
    <n v="66456"/>
    <n v="63775.8"/>
    <n v="0.48970988652541086"/>
  </r>
  <r>
    <s v="ORD0729"/>
    <x v="12"/>
    <x v="2"/>
    <s v="GJ"/>
    <x v="3"/>
    <x v="5"/>
    <x v="0"/>
    <s v="Furniture"/>
    <n v="8"/>
    <n v="47249"/>
    <m/>
    <n v="0"/>
    <n v="12629"/>
    <n v="377992"/>
    <n v="377992"/>
    <n v="104320"/>
    <n v="273672"/>
    <n v="0.72401532307562066"/>
  </r>
  <r>
    <s v="ORD0730"/>
    <x v="130"/>
    <x v="3"/>
    <s v="GJ"/>
    <x v="4"/>
    <x v="2"/>
    <x v="1"/>
    <s v="Electronics"/>
    <n v="3"/>
    <n v="23956"/>
    <m/>
    <n v="0"/>
    <n v="9892"/>
    <n v="71868"/>
    <n v="71868"/>
    <n v="8664"/>
    <n v="63204"/>
    <n v="0.87944565035899147"/>
  </r>
  <r>
    <s v="ORD0731"/>
    <x v="74"/>
    <x v="2"/>
    <s v="DL"/>
    <x v="1"/>
    <x v="5"/>
    <x v="0"/>
    <s v="Furniture"/>
    <n v="3"/>
    <n v="27927"/>
    <n v="0"/>
    <n v="0"/>
    <m/>
    <n v="83781"/>
    <n v="83781"/>
    <n v="39120"/>
    <n v="44661"/>
    <n v="0.53306835678733844"/>
  </r>
  <r>
    <s v="ORD0732"/>
    <x v="144"/>
    <x v="2"/>
    <s v="GJ"/>
    <x v="4"/>
    <x v="5"/>
    <x v="0"/>
    <s v="Furniture"/>
    <n v="9"/>
    <n v="48289"/>
    <n v="0.1"/>
    <n v="0.1"/>
    <m/>
    <n v="434601"/>
    <n v="391140.9"/>
    <n v="117360"/>
    <n v="273780.90000000002"/>
    <n v="0.69995467106610432"/>
  </r>
  <r>
    <s v="ORD0733"/>
    <x v="14"/>
    <x v="1"/>
    <s v="TN"/>
    <x v="0"/>
    <x v="4"/>
    <x v="1"/>
    <s v="Electronics"/>
    <n v="7"/>
    <n v="8244"/>
    <n v="0"/>
    <n v="0"/>
    <n v="8482"/>
    <n v="57708"/>
    <n v="57708"/>
    <n v="196322"/>
    <n v="-138614"/>
    <n v="-2.4019893255701117"/>
  </r>
  <r>
    <s v="ORD0734"/>
    <x v="285"/>
    <x v="0"/>
    <s v="MH"/>
    <x v="2"/>
    <x v="1"/>
    <x v="1"/>
    <s v="Electronics"/>
    <n v="6"/>
    <n v="36957"/>
    <n v="0"/>
    <n v="0"/>
    <n v="364"/>
    <n v="221742"/>
    <n v="221742"/>
    <n v="115590"/>
    <n v="106152"/>
    <n v="0.47871851070162619"/>
  </r>
  <r>
    <s v="ORD0735"/>
    <x v="265"/>
    <x v="1"/>
    <s v="KA"/>
    <x v="0"/>
    <x v="4"/>
    <x v="1"/>
    <s v="Electronics"/>
    <n v="5"/>
    <n v="12291"/>
    <n v="0.05"/>
    <n v="0.05"/>
    <n v="1332"/>
    <n v="61455"/>
    <n v="58382.25"/>
    <n v="140230"/>
    <n v="-81847.75"/>
    <n v="-1.4019286683880803"/>
  </r>
  <r>
    <s v="ORD0736"/>
    <x v="132"/>
    <x v="3"/>
    <s v="GJ"/>
    <x v="0"/>
    <x v="1"/>
    <x v="1"/>
    <s v="Electronics"/>
    <n v="1"/>
    <n v="22408"/>
    <m/>
    <n v="0"/>
    <m/>
    <n v="22408"/>
    <n v="22408"/>
    <n v="19265"/>
    <n v="3143"/>
    <n v="0.1402624062834702"/>
  </r>
  <r>
    <s v="ORD0737"/>
    <x v="171"/>
    <x v="1"/>
    <s v="TN"/>
    <x v="0"/>
    <x v="2"/>
    <x v="1"/>
    <s v="Electronics"/>
    <n v="8"/>
    <n v="37224"/>
    <n v="0"/>
    <n v="0"/>
    <m/>
    <n v="297792"/>
    <n v="297792"/>
    <n v="23104"/>
    <n v="274688"/>
    <n v="0.9224156458199011"/>
  </r>
  <r>
    <s v="ORD0738"/>
    <x v="302"/>
    <x v="1"/>
    <s v="GJ"/>
    <x v="4"/>
    <x v="1"/>
    <x v="1"/>
    <s v="Electronics"/>
    <n v="9"/>
    <n v="17229"/>
    <n v="0"/>
    <n v="0"/>
    <n v="6422"/>
    <n v="155061"/>
    <n v="155061"/>
    <n v="173385"/>
    <n v="-18324"/>
    <n v="-0.11817284810493935"/>
  </r>
  <r>
    <s v="ORD0739"/>
    <x v="162"/>
    <x v="0"/>
    <s v="MH"/>
    <x v="4"/>
    <x v="3"/>
    <x v="1"/>
    <s v="Electronics"/>
    <n v="6"/>
    <n v="42273"/>
    <n v="0"/>
    <n v="0"/>
    <n v="23361"/>
    <n v="253638"/>
    <n v="253638"/>
    <n v="44304"/>
    <n v="209334"/>
    <n v="0.82532585811274339"/>
  </r>
  <r>
    <s v="ORD0740"/>
    <x v="261"/>
    <x v="2"/>
    <s v="TN"/>
    <x v="0"/>
    <x v="2"/>
    <x v="1"/>
    <s v="Electronics"/>
    <n v="7"/>
    <n v="47523"/>
    <n v="0.05"/>
    <n v="0.05"/>
    <n v="19718"/>
    <n v="332661"/>
    <n v="316027.95"/>
    <n v="20216"/>
    <n v="295811.95"/>
    <n v="0.93603097447551709"/>
  </r>
  <r>
    <s v="ORD0741"/>
    <x v="303"/>
    <x v="3"/>
    <s v="KA"/>
    <x v="1"/>
    <x v="1"/>
    <x v="1"/>
    <s v="Electronics"/>
    <n v="5"/>
    <n v="44059"/>
    <n v="0.05"/>
    <n v="0.05"/>
    <m/>
    <n v="220295"/>
    <n v="209280.25"/>
    <n v="96325"/>
    <n v="112955.25"/>
    <n v="0.53973201006783966"/>
  </r>
  <r>
    <s v="ORD0742"/>
    <x v="147"/>
    <x v="0"/>
    <s v="DL"/>
    <x v="0"/>
    <x v="3"/>
    <x v="1"/>
    <s v="Electronics"/>
    <n v="6"/>
    <n v="47577"/>
    <n v="0.1"/>
    <n v="0.1"/>
    <n v="24762"/>
    <n v="285462"/>
    <n v="256915.8"/>
    <n v="44304"/>
    <n v="212611.8"/>
    <n v="0.82755439719939372"/>
  </r>
  <r>
    <s v="ORD0743"/>
    <x v="214"/>
    <x v="1"/>
    <s v="MH"/>
    <x v="1"/>
    <x v="3"/>
    <x v="1"/>
    <s v="Electronics"/>
    <n v="4"/>
    <n v="3957"/>
    <n v="0"/>
    <n v="0"/>
    <m/>
    <n v="15828"/>
    <n v="15828"/>
    <n v="29536"/>
    <n v="-13708"/>
    <n v="-0.86606014657568864"/>
  </r>
  <r>
    <s v="ORD0744"/>
    <x v="275"/>
    <x v="0"/>
    <s v="MH"/>
    <x v="2"/>
    <x v="5"/>
    <x v="0"/>
    <s v="Furniture"/>
    <n v="2"/>
    <n v="25914"/>
    <n v="0"/>
    <n v="0"/>
    <n v="28320"/>
    <n v="51828"/>
    <n v="51828"/>
    <n v="26080"/>
    <n v="25748"/>
    <n v="0.49679709809369454"/>
  </r>
  <r>
    <s v="ORD0745"/>
    <x v="185"/>
    <x v="3"/>
    <s v="GJ"/>
    <x v="0"/>
    <x v="4"/>
    <x v="1"/>
    <s v="Electronics"/>
    <n v="2"/>
    <n v="18910"/>
    <n v="0.05"/>
    <n v="0.05"/>
    <m/>
    <n v="37820"/>
    <n v="35929"/>
    <n v="56092"/>
    <n v="-20163"/>
    <n v="-0.56119012496868825"/>
  </r>
  <r>
    <s v="ORD0746"/>
    <x v="181"/>
    <x v="1"/>
    <s v="KA"/>
    <x v="1"/>
    <x v="4"/>
    <x v="1"/>
    <s v="Electronics"/>
    <n v="5"/>
    <n v="5963"/>
    <n v="0.1"/>
    <n v="0.1"/>
    <m/>
    <n v="29815"/>
    <n v="26833.5"/>
    <n v="140230"/>
    <n v="-113396.5"/>
    <n v="-4.225930273725008"/>
  </r>
  <r>
    <s v="ORD0747"/>
    <x v="39"/>
    <x v="0"/>
    <s v="MH"/>
    <x v="4"/>
    <x v="5"/>
    <x v="0"/>
    <s v="Furniture"/>
    <n v="7"/>
    <n v="19365"/>
    <n v="0.1"/>
    <n v="0.1"/>
    <n v="29739"/>
    <n v="135555"/>
    <n v="121999.5"/>
    <n v="91280"/>
    <n v="30719.5"/>
    <n v="0.25180021229595201"/>
  </r>
  <r>
    <s v="ORD0748"/>
    <x v="95"/>
    <x v="3"/>
    <s v="KA"/>
    <x v="1"/>
    <x v="4"/>
    <x v="1"/>
    <s v="Electronics"/>
    <n v="3"/>
    <n v="43744"/>
    <n v="0.05"/>
    <n v="0.05"/>
    <m/>
    <n v="131232"/>
    <n v="124670.39999999999"/>
    <n v="84138"/>
    <n v="40532.399999999994"/>
    <n v="0.32511646710045045"/>
  </r>
  <r>
    <s v="ORD0749"/>
    <x v="149"/>
    <x v="3"/>
    <s v="GJ"/>
    <x v="0"/>
    <x v="0"/>
    <x v="0"/>
    <s v="Furniture"/>
    <n v="10"/>
    <n v="41031"/>
    <n v="0.05"/>
    <n v="0.05"/>
    <n v="4978"/>
    <n v="410310"/>
    <n v="389794.5"/>
    <n v="132710"/>
    <n v="257084.5"/>
    <n v="0.65953855172404952"/>
  </r>
  <r>
    <s v="ORD0750"/>
    <x v="39"/>
    <x v="0"/>
    <s v="DL"/>
    <x v="3"/>
    <x v="1"/>
    <x v="1"/>
    <s v="Electronics"/>
    <n v="7"/>
    <n v="42463"/>
    <m/>
    <n v="0"/>
    <m/>
    <n v="297241"/>
    <n v="297241"/>
    <n v="134855"/>
    <n v="162386"/>
    <n v="0.54631090596519327"/>
  </r>
  <r>
    <s v="ORD0751"/>
    <x v="57"/>
    <x v="0"/>
    <s v="MH"/>
    <x v="4"/>
    <x v="1"/>
    <x v="1"/>
    <s v="Electronics"/>
    <n v="5"/>
    <n v="7391"/>
    <n v="0.05"/>
    <n v="0.05"/>
    <m/>
    <n v="36955"/>
    <n v="35107.25"/>
    <n v="96325"/>
    <n v="-61217.75"/>
    <n v="-1.7437352683562513"/>
  </r>
  <r>
    <s v="ORD0752"/>
    <x v="214"/>
    <x v="3"/>
    <s v="RJ"/>
    <x v="3"/>
    <x v="3"/>
    <x v="1"/>
    <s v="Electronics"/>
    <n v="2"/>
    <n v="39354"/>
    <m/>
    <n v="0"/>
    <m/>
    <n v="78708"/>
    <n v="78708"/>
    <n v="14768"/>
    <n v="63940"/>
    <n v="0.81236977181480918"/>
  </r>
  <r>
    <s v="ORD0753"/>
    <x v="58"/>
    <x v="2"/>
    <s v="MH"/>
    <x v="3"/>
    <x v="2"/>
    <x v="1"/>
    <s v="Electronics"/>
    <n v="1"/>
    <n v="19759"/>
    <n v="0.1"/>
    <n v="0.1"/>
    <m/>
    <n v="19759"/>
    <n v="17783.099999999999"/>
    <n v="2888"/>
    <n v="14895.099999999999"/>
    <n v="0.83759861891346277"/>
  </r>
  <r>
    <s v="ORD0754"/>
    <x v="122"/>
    <x v="3"/>
    <s v="DL"/>
    <x v="0"/>
    <x v="1"/>
    <x v="1"/>
    <s v="Electronics"/>
    <n v="2"/>
    <n v="20593"/>
    <n v="0.1"/>
    <n v="0.1"/>
    <n v="20710"/>
    <n v="41186"/>
    <n v="37067.4"/>
    <n v="38530"/>
    <n v="-1462.5999999999985"/>
    <n v="-3.9457852452559353E-2"/>
  </r>
  <r>
    <s v="ORD0755"/>
    <x v="130"/>
    <x v="2"/>
    <s v="TN"/>
    <x v="4"/>
    <x v="0"/>
    <x v="0"/>
    <s v="Furniture"/>
    <n v="9"/>
    <n v="19603"/>
    <n v="0"/>
    <n v="0"/>
    <m/>
    <n v="176427"/>
    <n v="176427"/>
    <n v="119439"/>
    <n v="56988"/>
    <n v="0.3230117839106259"/>
  </r>
  <r>
    <s v="ORD0756"/>
    <x v="23"/>
    <x v="3"/>
    <s v="GJ"/>
    <x v="4"/>
    <x v="3"/>
    <x v="1"/>
    <s v="Electronics"/>
    <n v="10"/>
    <n v="15876"/>
    <n v="0.1"/>
    <n v="0.1"/>
    <n v="10882"/>
    <n v="158760"/>
    <n v="142884"/>
    <n v="73840"/>
    <n v="69044"/>
    <n v="0.48321715517482711"/>
  </r>
  <r>
    <s v="ORD0757"/>
    <x v="190"/>
    <x v="0"/>
    <s v="KA"/>
    <x v="0"/>
    <x v="4"/>
    <x v="1"/>
    <s v="Electronics"/>
    <n v="9"/>
    <n v="47087"/>
    <m/>
    <n v="0"/>
    <m/>
    <n v="423783"/>
    <n v="423783"/>
    <n v="252414"/>
    <n v="171369"/>
    <n v="0.40437912799711173"/>
  </r>
  <r>
    <s v="ORD0758"/>
    <x v="76"/>
    <x v="3"/>
    <s v="MH"/>
    <x v="1"/>
    <x v="1"/>
    <x v="1"/>
    <s v="Electronics"/>
    <n v="6"/>
    <n v="30060"/>
    <n v="0"/>
    <n v="0"/>
    <n v="10388"/>
    <n v="180360"/>
    <n v="180360"/>
    <n v="115590"/>
    <n v="64770"/>
    <n v="0.35911510312707917"/>
  </r>
  <r>
    <s v="ORD0759"/>
    <x v="110"/>
    <x v="3"/>
    <s v="DL"/>
    <x v="2"/>
    <x v="5"/>
    <x v="0"/>
    <s v="Furniture"/>
    <n v="10"/>
    <n v="14684"/>
    <n v="0.1"/>
    <n v="0.1"/>
    <m/>
    <n v="146840"/>
    <n v="132156"/>
    <n v="130400"/>
    <n v="1756"/>
    <n v="1.3287327098277794E-2"/>
  </r>
  <r>
    <s v="ORD0760"/>
    <x v="80"/>
    <x v="3"/>
    <s v="MH"/>
    <x v="3"/>
    <x v="4"/>
    <x v="1"/>
    <s v="Electronics"/>
    <n v="2"/>
    <n v="16097"/>
    <n v="0.1"/>
    <n v="0.1"/>
    <n v="14465"/>
    <n v="32194"/>
    <n v="28974.6"/>
    <n v="56092"/>
    <n v="-27117.4"/>
    <n v="-0.93590248010326293"/>
  </r>
  <r>
    <s v="ORD0761"/>
    <x v="39"/>
    <x v="3"/>
    <s v="TN"/>
    <x v="2"/>
    <x v="3"/>
    <x v="1"/>
    <s v="Electronics"/>
    <n v="1"/>
    <n v="7027"/>
    <n v="0.1"/>
    <n v="0.1"/>
    <n v="21442"/>
    <n v="7027"/>
    <n v="6324.3"/>
    <n v="7384"/>
    <n v="-1059.6999999999998"/>
    <n v="-0.16756004617111772"/>
  </r>
  <r>
    <s v="ORD0762"/>
    <x v="129"/>
    <x v="3"/>
    <s v="MH"/>
    <x v="2"/>
    <x v="1"/>
    <x v="1"/>
    <s v="Electronics"/>
    <n v="10"/>
    <n v="35425"/>
    <n v="0.05"/>
    <n v="0.05"/>
    <n v="22984"/>
    <n v="354250"/>
    <n v="336537.5"/>
    <n v="192650"/>
    <n v="143887.5"/>
    <n v="0.42755265015042898"/>
  </r>
  <r>
    <s v="ORD0763"/>
    <x v="282"/>
    <x v="0"/>
    <s v="KA"/>
    <x v="4"/>
    <x v="4"/>
    <x v="1"/>
    <s v="Electronics"/>
    <n v="8"/>
    <n v="33197"/>
    <n v="0.1"/>
    <n v="0.1"/>
    <n v="18763"/>
    <n v="265576"/>
    <n v="239018.4"/>
    <n v="224368"/>
    <n v="14650.399999999994"/>
    <n v="6.1294025899261292E-2"/>
  </r>
  <r>
    <s v="ORD0764"/>
    <x v="58"/>
    <x v="0"/>
    <s v="KA"/>
    <x v="4"/>
    <x v="5"/>
    <x v="0"/>
    <s v="Furniture"/>
    <n v="9"/>
    <n v="34064"/>
    <n v="0"/>
    <n v="0"/>
    <n v="13579"/>
    <n v="306576"/>
    <n v="306576"/>
    <n v="117360"/>
    <n v="189216"/>
    <n v="0.61719116956317521"/>
  </r>
  <r>
    <s v="ORD0765"/>
    <x v="202"/>
    <x v="0"/>
    <s v="DL"/>
    <x v="3"/>
    <x v="0"/>
    <x v="0"/>
    <s v="Furniture"/>
    <n v="8"/>
    <n v="9936"/>
    <m/>
    <n v="0"/>
    <m/>
    <n v="79488"/>
    <n v="79488"/>
    <n v="106168"/>
    <n v="-26680"/>
    <n v="-0.33564814814814814"/>
  </r>
  <r>
    <s v="ORD0766"/>
    <x v="169"/>
    <x v="3"/>
    <s v="GJ"/>
    <x v="0"/>
    <x v="4"/>
    <x v="1"/>
    <s v="Electronics"/>
    <n v="3"/>
    <n v="18189"/>
    <n v="0.05"/>
    <n v="0.05"/>
    <n v="5308"/>
    <n v="54567"/>
    <n v="51838.65"/>
    <n v="84138"/>
    <n v="-32299.35"/>
    <n v="-0.62307467497706825"/>
  </r>
  <r>
    <s v="ORD0767"/>
    <x v="213"/>
    <x v="1"/>
    <s v="KA"/>
    <x v="4"/>
    <x v="2"/>
    <x v="1"/>
    <s v="Electronics"/>
    <n v="1"/>
    <n v="39688"/>
    <n v="0.1"/>
    <n v="0.1"/>
    <n v="12303"/>
    <n v="39688"/>
    <n v="35719.199999999997"/>
    <n v="2888"/>
    <n v="32831.199999999997"/>
    <n v="0.9191471253555511"/>
  </r>
  <r>
    <s v="ORD0768"/>
    <x v="163"/>
    <x v="0"/>
    <s v="RJ"/>
    <x v="1"/>
    <x v="2"/>
    <x v="1"/>
    <s v="Electronics"/>
    <n v="7"/>
    <n v="34475"/>
    <m/>
    <n v="0"/>
    <m/>
    <n v="241325"/>
    <n v="241325"/>
    <n v="20216"/>
    <n v="221109"/>
    <n v="0.91622915155910079"/>
  </r>
  <r>
    <s v="ORD0769"/>
    <x v="25"/>
    <x v="2"/>
    <s v="MH"/>
    <x v="1"/>
    <x v="5"/>
    <x v="0"/>
    <s v="Furniture"/>
    <n v="3"/>
    <n v="3302"/>
    <m/>
    <n v="0"/>
    <n v="4879"/>
    <n v="9906"/>
    <n v="9906"/>
    <n v="39120"/>
    <n v="-29214"/>
    <n v="-2.9491217443973348"/>
  </r>
  <r>
    <s v="ORD0770"/>
    <x v="58"/>
    <x v="1"/>
    <s v="KA"/>
    <x v="4"/>
    <x v="5"/>
    <x v="0"/>
    <s v="Furniture"/>
    <n v="3"/>
    <n v="37551"/>
    <n v="0"/>
    <n v="0"/>
    <n v="3455"/>
    <n v="112653"/>
    <n v="112653"/>
    <n v="39120"/>
    <n v="73533"/>
    <n v="0.6527389417059466"/>
  </r>
  <r>
    <s v="ORD0771"/>
    <x v="230"/>
    <x v="0"/>
    <s v="DL"/>
    <x v="2"/>
    <x v="3"/>
    <x v="1"/>
    <s v="Electronics"/>
    <n v="9"/>
    <n v="49167"/>
    <n v="0"/>
    <n v="0"/>
    <m/>
    <n v="442503"/>
    <n v="442503"/>
    <n v="66456"/>
    <n v="376047"/>
    <n v="0.84981796733581472"/>
  </r>
  <r>
    <s v="ORD0772"/>
    <x v="304"/>
    <x v="1"/>
    <s v="RJ"/>
    <x v="1"/>
    <x v="3"/>
    <x v="1"/>
    <s v="Electronics"/>
    <n v="9"/>
    <n v="41949"/>
    <n v="0.1"/>
    <n v="0.1"/>
    <n v="17291"/>
    <n v="377541"/>
    <n v="339786.9"/>
    <n v="66456"/>
    <n v="273330.90000000002"/>
    <n v="0.80441859294752094"/>
  </r>
  <r>
    <s v="ORD0773"/>
    <x v="140"/>
    <x v="3"/>
    <s v="TN"/>
    <x v="2"/>
    <x v="2"/>
    <x v="1"/>
    <s v="Electronics"/>
    <n v="1"/>
    <n v="15580"/>
    <m/>
    <n v="0"/>
    <m/>
    <n v="15580"/>
    <n v="15580"/>
    <n v="2888"/>
    <n v="12692"/>
    <n v="0.81463414634146336"/>
  </r>
  <r>
    <s v="ORD0774"/>
    <x v="76"/>
    <x v="3"/>
    <s v="MH"/>
    <x v="4"/>
    <x v="4"/>
    <x v="1"/>
    <s v="Electronics"/>
    <n v="6"/>
    <n v="43296"/>
    <n v="0.05"/>
    <n v="0.05"/>
    <m/>
    <n v="259776"/>
    <n v="246787.20000000001"/>
    <n v="168276"/>
    <n v="78511.200000000012"/>
    <n v="0.31813319329365547"/>
  </r>
  <r>
    <s v="ORD0775"/>
    <x v="115"/>
    <x v="1"/>
    <s v="KA"/>
    <x v="0"/>
    <x v="4"/>
    <x v="1"/>
    <s v="Electronics"/>
    <n v="9"/>
    <n v="25615"/>
    <m/>
    <n v="0"/>
    <m/>
    <n v="230535"/>
    <n v="230535"/>
    <n v="252414"/>
    <n v="-21879"/>
    <n v="-9.4905328908842471E-2"/>
  </r>
  <r>
    <s v="ORD0776"/>
    <x v="305"/>
    <x v="1"/>
    <s v="GJ"/>
    <x v="1"/>
    <x v="1"/>
    <x v="1"/>
    <s v="Electronics"/>
    <n v="2"/>
    <n v="9925"/>
    <n v="0.05"/>
    <n v="0.05"/>
    <m/>
    <n v="19850"/>
    <n v="18857.5"/>
    <n v="38530"/>
    <n v="-19672.5"/>
    <n v="-1.0432188784303327"/>
  </r>
  <r>
    <s v="ORD0777"/>
    <x v="123"/>
    <x v="1"/>
    <s v="RJ"/>
    <x v="3"/>
    <x v="2"/>
    <x v="1"/>
    <s v="Electronics"/>
    <n v="2"/>
    <n v="21934"/>
    <m/>
    <n v="0"/>
    <m/>
    <n v="43868"/>
    <n v="43868"/>
    <n v="5776"/>
    <n v="38092"/>
    <n v="0.86833226953588039"/>
  </r>
  <r>
    <s v="ORD0778"/>
    <x v="110"/>
    <x v="2"/>
    <s v="MH"/>
    <x v="3"/>
    <x v="2"/>
    <x v="1"/>
    <s v="Electronics"/>
    <n v="6"/>
    <n v="29234"/>
    <n v="0.05"/>
    <n v="0.05"/>
    <m/>
    <n v="175404"/>
    <n v="166633.79999999999"/>
    <n v="17328"/>
    <n v="149305.79999999999"/>
    <n v="0.89601149346651154"/>
  </r>
  <r>
    <s v="ORD0779"/>
    <x v="91"/>
    <x v="1"/>
    <s v="TN"/>
    <x v="2"/>
    <x v="4"/>
    <x v="1"/>
    <s v="Electronics"/>
    <n v="8"/>
    <n v="21051"/>
    <m/>
    <n v="0"/>
    <n v="24734"/>
    <n v="168408"/>
    <n v="168408"/>
    <n v="224368"/>
    <n v="-55960"/>
    <n v="-0.33228825233955633"/>
  </r>
  <r>
    <s v="ORD0780"/>
    <x v="59"/>
    <x v="0"/>
    <s v="GJ"/>
    <x v="4"/>
    <x v="4"/>
    <x v="1"/>
    <s v="Electronics"/>
    <n v="3"/>
    <n v="13518"/>
    <n v="0.1"/>
    <n v="0.1"/>
    <m/>
    <n v="40554"/>
    <n v="36498.6"/>
    <n v="84138"/>
    <n v="-47639.4"/>
    <n v="-1.3052391050615642"/>
  </r>
  <r>
    <s v="ORD0781"/>
    <x v="306"/>
    <x v="2"/>
    <s v="GJ"/>
    <x v="3"/>
    <x v="5"/>
    <x v="0"/>
    <s v="Furniture"/>
    <n v="4"/>
    <n v="40240"/>
    <m/>
    <n v="0"/>
    <m/>
    <n v="160960"/>
    <n v="160960"/>
    <n v="52160"/>
    <n v="108800"/>
    <n v="0.67594433399602383"/>
  </r>
  <r>
    <s v="ORD0782"/>
    <x v="214"/>
    <x v="3"/>
    <s v="MH"/>
    <x v="0"/>
    <x v="3"/>
    <x v="1"/>
    <s v="Electronics"/>
    <n v="1"/>
    <n v="20843"/>
    <m/>
    <n v="0"/>
    <n v="19757"/>
    <n v="20843"/>
    <n v="20843"/>
    <n v="7384"/>
    <n v="13459"/>
    <n v="0.64573238017559853"/>
  </r>
  <r>
    <s v="ORD0783"/>
    <x v="5"/>
    <x v="2"/>
    <s v="GJ"/>
    <x v="2"/>
    <x v="2"/>
    <x v="1"/>
    <s v="Electronics"/>
    <n v="8"/>
    <n v="10195"/>
    <n v="0.1"/>
    <n v="0.1"/>
    <m/>
    <n v="81560"/>
    <n v="73404"/>
    <n v="23104"/>
    <n v="50300"/>
    <n v="0.68524876028554305"/>
  </r>
  <r>
    <s v="ORD0784"/>
    <x v="307"/>
    <x v="1"/>
    <s v="RJ"/>
    <x v="3"/>
    <x v="1"/>
    <x v="1"/>
    <s v="Electronics"/>
    <n v="7"/>
    <n v="10941"/>
    <m/>
    <n v="0"/>
    <m/>
    <n v="76587"/>
    <n v="76587"/>
    <n v="134855"/>
    <n v="-58268"/>
    <n v="-0.76080797002102185"/>
  </r>
  <r>
    <s v="ORD0785"/>
    <x v="287"/>
    <x v="1"/>
    <s v="GJ"/>
    <x v="1"/>
    <x v="3"/>
    <x v="1"/>
    <s v="Electronics"/>
    <n v="8"/>
    <n v="17310"/>
    <n v="0.1"/>
    <n v="0.1"/>
    <n v="26701"/>
    <n v="138480"/>
    <n v="124632"/>
    <n v="59072"/>
    <n v="65560"/>
    <n v="0.52602862828166119"/>
  </r>
  <r>
    <s v="ORD0786"/>
    <x v="248"/>
    <x v="2"/>
    <s v="GJ"/>
    <x v="2"/>
    <x v="4"/>
    <x v="1"/>
    <s v="Electronics"/>
    <n v="7"/>
    <n v="19564"/>
    <n v="0.05"/>
    <n v="0.05"/>
    <m/>
    <n v="136948"/>
    <n v="130100.6"/>
    <n v="196322"/>
    <n v="-66221.399999999994"/>
    <n v="-0.5090014957655844"/>
  </r>
  <r>
    <s v="ORD0787"/>
    <x v="174"/>
    <x v="2"/>
    <s v="GJ"/>
    <x v="0"/>
    <x v="5"/>
    <x v="0"/>
    <s v="Furniture"/>
    <n v="3"/>
    <n v="31783"/>
    <n v="0"/>
    <n v="0"/>
    <n v="19147"/>
    <n v="95349"/>
    <n v="95349"/>
    <n v="39120"/>
    <n v="56229"/>
    <n v="0.5897177736525816"/>
  </r>
  <r>
    <s v="ORD0788"/>
    <x v="201"/>
    <x v="3"/>
    <s v="GJ"/>
    <x v="1"/>
    <x v="4"/>
    <x v="1"/>
    <s v="Electronics"/>
    <n v="10"/>
    <n v="11659"/>
    <n v="0.05"/>
    <n v="0.05"/>
    <n v="19492"/>
    <n v="116590"/>
    <n v="110760.5"/>
    <n v="280460"/>
    <n v="-169699.5"/>
    <n v="-1.532130136646187"/>
  </r>
  <r>
    <s v="ORD0789"/>
    <x v="121"/>
    <x v="3"/>
    <s v="GJ"/>
    <x v="3"/>
    <x v="2"/>
    <x v="1"/>
    <s v="Electronics"/>
    <n v="3"/>
    <n v="21762"/>
    <n v="0.05"/>
    <n v="0.05"/>
    <m/>
    <n v="65286"/>
    <n v="62021.7"/>
    <n v="8664"/>
    <n v="53357.7"/>
    <n v="0.86030695708115057"/>
  </r>
  <r>
    <s v="ORD0790"/>
    <x v="5"/>
    <x v="2"/>
    <s v="MH"/>
    <x v="0"/>
    <x v="0"/>
    <x v="0"/>
    <s v="Furniture"/>
    <n v="10"/>
    <n v="10699"/>
    <m/>
    <n v="0"/>
    <m/>
    <n v="106990"/>
    <n v="106990"/>
    <n v="132710"/>
    <n v="-25720"/>
    <n v="-0.24039629871950649"/>
  </r>
  <r>
    <s v="ORD0791"/>
    <x v="266"/>
    <x v="3"/>
    <s v="TN"/>
    <x v="4"/>
    <x v="0"/>
    <x v="0"/>
    <s v="Furniture"/>
    <n v="10"/>
    <n v="36708"/>
    <n v="0"/>
    <n v="0"/>
    <m/>
    <n v="367080"/>
    <n v="367080"/>
    <n v="132710"/>
    <n v="234370"/>
    <n v="0.63847117794486219"/>
  </r>
  <r>
    <s v="ORD0792"/>
    <x v="143"/>
    <x v="2"/>
    <s v="TN"/>
    <x v="0"/>
    <x v="0"/>
    <x v="0"/>
    <s v="Furniture"/>
    <n v="6"/>
    <n v="19365"/>
    <m/>
    <n v="0"/>
    <m/>
    <n v="116190"/>
    <n v="116190"/>
    <n v="79626"/>
    <n v="36564"/>
    <n v="0.3146914536534986"/>
  </r>
  <r>
    <s v="ORD0793"/>
    <x v="308"/>
    <x v="2"/>
    <s v="MH"/>
    <x v="3"/>
    <x v="0"/>
    <x v="0"/>
    <s v="Furniture"/>
    <n v="2"/>
    <n v="9405"/>
    <n v="0.1"/>
    <n v="0.1"/>
    <n v="27331"/>
    <n v="18810"/>
    <n v="16929"/>
    <n v="26542"/>
    <n v="-9613"/>
    <n v="-0.56784216433339241"/>
  </r>
  <r>
    <s v="ORD0794"/>
    <x v="188"/>
    <x v="0"/>
    <s v="KA"/>
    <x v="2"/>
    <x v="5"/>
    <x v="0"/>
    <s v="Furniture"/>
    <n v="4"/>
    <n v="33620"/>
    <n v="0.1"/>
    <n v="0.1"/>
    <n v="9915"/>
    <n v="134480"/>
    <n v="121032"/>
    <n v="52160"/>
    <n v="68872"/>
    <n v="0.56903959283495276"/>
  </r>
  <r>
    <s v="ORD0795"/>
    <x v="226"/>
    <x v="2"/>
    <s v="TN"/>
    <x v="3"/>
    <x v="5"/>
    <x v="0"/>
    <s v="Furniture"/>
    <n v="9"/>
    <n v="46255"/>
    <m/>
    <n v="0"/>
    <m/>
    <n v="416295"/>
    <n v="416295"/>
    <n v="117360"/>
    <n v="298935"/>
    <n v="0.71808453140201056"/>
  </r>
  <r>
    <s v="ORD0796"/>
    <x v="288"/>
    <x v="1"/>
    <s v="KA"/>
    <x v="4"/>
    <x v="3"/>
    <x v="1"/>
    <s v="Electronics"/>
    <n v="7"/>
    <n v="4233"/>
    <m/>
    <n v="0"/>
    <m/>
    <n v="29631"/>
    <n v="29631"/>
    <n v="51688"/>
    <n v="-22057"/>
    <n v="-0.74438932199385777"/>
  </r>
  <r>
    <s v="ORD0797"/>
    <x v="78"/>
    <x v="0"/>
    <s v="DL"/>
    <x v="4"/>
    <x v="1"/>
    <x v="1"/>
    <s v="Electronics"/>
    <n v="7"/>
    <n v="2295"/>
    <n v="0"/>
    <n v="0"/>
    <n v="27047"/>
    <n v="16065"/>
    <n v="16065"/>
    <n v="134855"/>
    <n v="-118790"/>
    <n v="-7.3943355119825709"/>
  </r>
  <r>
    <s v="ORD0798"/>
    <x v="183"/>
    <x v="1"/>
    <s v="MH"/>
    <x v="4"/>
    <x v="4"/>
    <x v="1"/>
    <s v="Electronics"/>
    <n v="5"/>
    <n v="36696"/>
    <n v="0.1"/>
    <n v="0.1"/>
    <n v="23486"/>
    <n v="183480"/>
    <n v="165132"/>
    <n v="140230"/>
    <n v="24902"/>
    <n v="0.15080057166388103"/>
  </r>
  <r>
    <s v="ORD0799"/>
    <x v="140"/>
    <x v="1"/>
    <s v="MH"/>
    <x v="4"/>
    <x v="5"/>
    <x v="0"/>
    <s v="Furniture"/>
    <n v="5"/>
    <n v="36881"/>
    <m/>
    <n v="0"/>
    <n v="3005"/>
    <n v="184405"/>
    <n v="184405"/>
    <n v="65200"/>
    <n v="119205"/>
    <n v="0.64643041132290335"/>
  </r>
  <r>
    <s v="ORD0800"/>
    <x v="209"/>
    <x v="2"/>
    <s v="KA"/>
    <x v="1"/>
    <x v="5"/>
    <x v="0"/>
    <s v="Furniture"/>
    <n v="2"/>
    <n v="25578"/>
    <n v="0"/>
    <n v="0"/>
    <m/>
    <n v="51156"/>
    <n v="51156"/>
    <n v="26080"/>
    <n v="25076"/>
    <n v="0.49018687934944094"/>
  </r>
  <r>
    <s v="ORD0801"/>
    <x v="294"/>
    <x v="2"/>
    <s v="MH"/>
    <x v="0"/>
    <x v="1"/>
    <x v="1"/>
    <s v="Electronics"/>
    <n v="7"/>
    <n v="20366"/>
    <m/>
    <n v="0"/>
    <m/>
    <n v="142562"/>
    <n v="142562"/>
    <n v="134855"/>
    <n v="7707"/>
    <n v="5.4060689384267897E-2"/>
  </r>
  <r>
    <s v="ORD0802"/>
    <x v="266"/>
    <x v="3"/>
    <s v="MH"/>
    <x v="2"/>
    <x v="2"/>
    <x v="1"/>
    <s v="Electronics"/>
    <n v="4"/>
    <n v="10468"/>
    <n v="0.05"/>
    <n v="0.05"/>
    <n v="16772"/>
    <n v="41872"/>
    <n v="39778.400000000001"/>
    <n v="11552"/>
    <n v="28226.400000000001"/>
    <n v="0.70959113488727554"/>
  </r>
  <r>
    <s v="ORD0803"/>
    <x v="66"/>
    <x v="3"/>
    <s v="DL"/>
    <x v="1"/>
    <x v="3"/>
    <x v="1"/>
    <s v="Electronics"/>
    <n v="9"/>
    <n v="41467"/>
    <n v="0.05"/>
    <n v="0.05"/>
    <n v="26386"/>
    <n v="373203"/>
    <n v="354542.85"/>
    <n v="66456"/>
    <n v="288086.84999999998"/>
    <n v="0.81255862302680759"/>
  </r>
  <r>
    <s v="ORD0804"/>
    <x v="119"/>
    <x v="1"/>
    <s v="KA"/>
    <x v="4"/>
    <x v="1"/>
    <x v="1"/>
    <s v="Electronics"/>
    <n v="4"/>
    <n v="28873"/>
    <n v="0.05"/>
    <n v="0.05"/>
    <m/>
    <n v="115492"/>
    <n v="109717.4"/>
    <n v="77060"/>
    <n v="32657.399999999994"/>
    <n v="0.29765014482661817"/>
  </r>
  <r>
    <s v="ORD0805"/>
    <x v="195"/>
    <x v="2"/>
    <s v="MH"/>
    <x v="4"/>
    <x v="0"/>
    <x v="0"/>
    <s v="Furniture"/>
    <n v="10"/>
    <n v="19833"/>
    <n v="0.05"/>
    <n v="0.05"/>
    <m/>
    <n v="198330"/>
    <n v="188413.5"/>
    <n v="132710"/>
    <n v="55703.5"/>
    <n v="0.29564495113142103"/>
  </r>
  <r>
    <s v="ORD0806"/>
    <x v="77"/>
    <x v="1"/>
    <s v="GJ"/>
    <x v="1"/>
    <x v="2"/>
    <x v="1"/>
    <s v="Electronics"/>
    <n v="4"/>
    <n v="49359"/>
    <m/>
    <n v="0"/>
    <n v="27339"/>
    <n v="197436"/>
    <n v="197436"/>
    <n v="11552"/>
    <n v="185884"/>
    <n v="0.94148990052472703"/>
  </r>
  <r>
    <s v="ORD0807"/>
    <x v="292"/>
    <x v="3"/>
    <s v="KA"/>
    <x v="0"/>
    <x v="4"/>
    <x v="1"/>
    <s v="Electronics"/>
    <n v="9"/>
    <n v="20021"/>
    <m/>
    <n v="0"/>
    <n v="14177"/>
    <n v="180189"/>
    <n v="180189"/>
    <n v="252414"/>
    <n v="-72225"/>
    <n v="-0.40082912941411519"/>
  </r>
  <r>
    <s v="ORD0808"/>
    <x v="128"/>
    <x v="3"/>
    <s v="KA"/>
    <x v="0"/>
    <x v="3"/>
    <x v="1"/>
    <s v="Electronics"/>
    <n v="7"/>
    <n v="47465"/>
    <m/>
    <n v="0"/>
    <m/>
    <n v="332255"/>
    <n v="332255"/>
    <n v="51688"/>
    <n v="280567"/>
    <n v="0.84443273991362056"/>
  </r>
  <r>
    <s v="ORD0809"/>
    <x v="112"/>
    <x v="3"/>
    <s v="MH"/>
    <x v="1"/>
    <x v="2"/>
    <x v="1"/>
    <s v="Electronics"/>
    <n v="10"/>
    <n v="4572"/>
    <n v="0.05"/>
    <n v="0.05"/>
    <m/>
    <n v="45720"/>
    <n v="43434"/>
    <n v="28880"/>
    <n v="14554"/>
    <n v="0.33508311461067369"/>
  </r>
  <r>
    <s v="ORD0810"/>
    <x v="157"/>
    <x v="1"/>
    <s v="DL"/>
    <x v="3"/>
    <x v="5"/>
    <x v="0"/>
    <s v="Furniture"/>
    <n v="6"/>
    <n v="35199"/>
    <m/>
    <n v="0"/>
    <n v="29500"/>
    <n v="211194"/>
    <n v="211194"/>
    <n v="78240"/>
    <n v="132954"/>
    <n v="0.62953492996960136"/>
  </r>
  <r>
    <s v="ORD0811"/>
    <x v="37"/>
    <x v="3"/>
    <s v="MH"/>
    <x v="1"/>
    <x v="1"/>
    <x v="1"/>
    <s v="Electronics"/>
    <n v="8"/>
    <n v="17336"/>
    <m/>
    <n v="0"/>
    <n v="26479"/>
    <n v="138688"/>
    <n v="138688"/>
    <n v="154120"/>
    <n v="-15432"/>
    <n v="-0.11127134287032764"/>
  </r>
  <r>
    <s v="ORD0812"/>
    <x v="67"/>
    <x v="1"/>
    <s v="DL"/>
    <x v="3"/>
    <x v="5"/>
    <x v="0"/>
    <s v="Furniture"/>
    <n v="5"/>
    <n v="1843"/>
    <n v="0"/>
    <n v="0"/>
    <m/>
    <n v="9215"/>
    <n v="9215"/>
    <n v="65200"/>
    <n v="-55985"/>
    <n v="-6.0754205100379819"/>
  </r>
  <r>
    <s v="ORD0813"/>
    <x v="281"/>
    <x v="2"/>
    <s v="GJ"/>
    <x v="0"/>
    <x v="3"/>
    <x v="1"/>
    <s v="Electronics"/>
    <n v="10"/>
    <n v="19391"/>
    <n v="0"/>
    <n v="0"/>
    <n v="3739"/>
    <n v="193910"/>
    <n v="193910"/>
    <n v="73840"/>
    <n v="120070"/>
    <n v="0.61920478572533655"/>
  </r>
  <r>
    <s v="ORD0814"/>
    <x v="300"/>
    <x v="3"/>
    <s v="DL"/>
    <x v="3"/>
    <x v="2"/>
    <x v="1"/>
    <s v="Electronics"/>
    <n v="1"/>
    <n v="47334"/>
    <m/>
    <n v="0"/>
    <n v="16080"/>
    <n v="47334"/>
    <n v="47334"/>
    <n v="2888"/>
    <n v="44446"/>
    <n v="0.93898677483415727"/>
  </r>
  <r>
    <s v="ORD0815"/>
    <x v="100"/>
    <x v="1"/>
    <s v="MH"/>
    <x v="0"/>
    <x v="5"/>
    <x v="0"/>
    <s v="Furniture"/>
    <n v="8"/>
    <n v="40115"/>
    <n v="0"/>
    <n v="0"/>
    <n v="15045"/>
    <n v="320920"/>
    <n v="320920"/>
    <n v="104320"/>
    <n v="216600"/>
    <n v="0.67493456313099842"/>
  </r>
  <r>
    <s v="ORD0816"/>
    <x v="52"/>
    <x v="0"/>
    <s v="RJ"/>
    <x v="4"/>
    <x v="1"/>
    <x v="1"/>
    <s v="Electronics"/>
    <n v="7"/>
    <n v="13529"/>
    <n v="0.1"/>
    <n v="0.1"/>
    <n v="5280"/>
    <n v="94703"/>
    <n v="85232.7"/>
    <n v="134855"/>
    <n v="-49622.3"/>
    <n v="-0.58219791230361118"/>
  </r>
  <r>
    <s v="ORD0817"/>
    <x v="148"/>
    <x v="1"/>
    <s v="KA"/>
    <x v="0"/>
    <x v="2"/>
    <x v="1"/>
    <s v="Electronics"/>
    <n v="1"/>
    <n v="7059"/>
    <n v="0"/>
    <n v="0"/>
    <n v="7950"/>
    <n v="7059"/>
    <n v="7059"/>
    <n v="2888"/>
    <n v="4171"/>
    <n v="0.59087689474429805"/>
  </r>
  <r>
    <s v="ORD0818"/>
    <x v="309"/>
    <x v="1"/>
    <s v="DL"/>
    <x v="4"/>
    <x v="2"/>
    <x v="1"/>
    <s v="Electronics"/>
    <n v="1"/>
    <n v="21622"/>
    <n v="0.05"/>
    <n v="0.05"/>
    <m/>
    <n v="21622"/>
    <n v="20540.900000000001"/>
    <n v="2888"/>
    <n v="17652.900000000001"/>
    <n v="0.85940246045694202"/>
  </r>
  <r>
    <s v="ORD0819"/>
    <x v="294"/>
    <x v="3"/>
    <s v="RJ"/>
    <x v="1"/>
    <x v="1"/>
    <x v="1"/>
    <s v="Electronics"/>
    <n v="7"/>
    <n v="33684"/>
    <n v="0.05"/>
    <n v="0.05"/>
    <n v="7770"/>
    <n v="235788"/>
    <n v="223998.6"/>
    <n v="134855"/>
    <n v="89143.6"/>
    <n v="0.39796498728117052"/>
  </r>
  <r>
    <s v="ORD0820"/>
    <x v="269"/>
    <x v="1"/>
    <s v="MH"/>
    <x v="3"/>
    <x v="4"/>
    <x v="1"/>
    <s v="Electronics"/>
    <n v="2"/>
    <n v="47885"/>
    <n v="0"/>
    <n v="0"/>
    <m/>
    <n v="95770"/>
    <n v="95770"/>
    <n v="56092"/>
    <n v="39678"/>
    <n v="0.41430510598308445"/>
  </r>
  <r>
    <s v="ORD0821"/>
    <x v="310"/>
    <x v="3"/>
    <s v="RJ"/>
    <x v="4"/>
    <x v="3"/>
    <x v="1"/>
    <s v="Electronics"/>
    <n v="1"/>
    <n v="41519"/>
    <n v="0.05"/>
    <n v="0.05"/>
    <n v="25425"/>
    <n v="41519"/>
    <n v="39443.050000000003"/>
    <n v="7384"/>
    <n v="32059.050000000003"/>
    <n v="0.81279338185054151"/>
  </r>
  <r>
    <s v="ORD0822"/>
    <x v="174"/>
    <x v="1"/>
    <s v="KA"/>
    <x v="3"/>
    <x v="1"/>
    <x v="1"/>
    <s v="Electronics"/>
    <n v="7"/>
    <n v="5903"/>
    <m/>
    <n v="0"/>
    <m/>
    <n v="41321"/>
    <n v="41321"/>
    <n v="134855"/>
    <n v="-93534"/>
    <n v="-2.2635947823140774"/>
  </r>
  <r>
    <s v="ORD0823"/>
    <x v="311"/>
    <x v="0"/>
    <s v="DL"/>
    <x v="3"/>
    <x v="5"/>
    <x v="0"/>
    <s v="Furniture"/>
    <n v="4"/>
    <n v="6725"/>
    <n v="0.05"/>
    <n v="0.05"/>
    <m/>
    <n v="26900"/>
    <n v="25555"/>
    <n v="52160"/>
    <n v="-26605"/>
    <n v="-1.0410878497358638"/>
  </r>
  <r>
    <s v="ORD0824"/>
    <x v="22"/>
    <x v="2"/>
    <s v="TN"/>
    <x v="2"/>
    <x v="0"/>
    <x v="0"/>
    <s v="Furniture"/>
    <n v="1"/>
    <n v="48214"/>
    <n v="0.1"/>
    <n v="0.1"/>
    <n v="17294"/>
    <n v="48214"/>
    <n v="43392.6"/>
    <n v="13271"/>
    <n v="30121.599999999999"/>
    <n v="0.69416444278517531"/>
  </r>
  <r>
    <s v="ORD0825"/>
    <x v="178"/>
    <x v="1"/>
    <s v="RJ"/>
    <x v="0"/>
    <x v="3"/>
    <x v="1"/>
    <s v="Electronics"/>
    <n v="9"/>
    <n v="652"/>
    <n v="0"/>
    <n v="0"/>
    <n v="1244"/>
    <n v="5868"/>
    <n v="5868"/>
    <n v="66456"/>
    <n v="-60588"/>
    <n v="-10.325153374233128"/>
  </r>
  <r>
    <s v="ORD0826"/>
    <x v="59"/>
    <x v="3"/>
    <s v="GJ"/>
    <x v="1"/>
    <x v="3"/>
    <x v="1"/>
    <s v="Electronics"/>
    <n v="8"/>
    <n v="40293"/>
    <n v="0.05"/>
    <n v="0.05"/>
    <n v="5853"/>
    <n v="322344"/>
    <n v="306226.8"/>
    <n v="59072"/>
    <n v="247154.8"/>
    <n v="0.80709722336516598"/>
  </r>
  <r>
    <s v="ORD0827"/>
    <x v="48"/>
    <x v="1"/>
    <s v="DL"/>
    <x v="4"/>
    <x v="4"/>
    <x v="1"/>
    <s v="Electronics"/>
    <n v="8"/>
    <n v="6512"/>
    <n v="0"/>
    <n v="0"/>
    <n v="235"/>
    <n v="52096"/>
    <n v="52096"/>
    <n v="224368"/>
    <n v="-172272"/>
    <n v="-3.3068181818181817"/>
  </r>
  <r>
    <s v="ORD0828"/>
    <x v="214"/>
    <x v="3"/>
    <s v="GJ"/>
    <x v="3"/>
    <x v="5"/>
    <x v="0"/>
    <s v="Furniture"/>
    <n v="8"/>
    <n v="3310"/>
    <n v="0"/>
    <n v="0"/>
    <m/>
    <n v="26480"/>
    <n v="26480"/>
    <n v="104320"/>
    <n v="-77840"/>
    <n v="-2.9395770392749245"/>
  </r>
  <r>
    <s v="ORD0829"/>
    <x v="312"/>
    <x v="2"/>
    <s v="TN"/>
    <x v="4"/>
    <x v="2"/>
    <x v="1"/>
    <s v="Electronics"/>
    <n v="1"/>
    <n v="34254"/>
    <n v="0.05"/>
    <n v="0.05"/>
    <n v="17442"/>
    <n v="34254"/>
    <n v="32541.3"/>
    <n v="2888"/>
    <n v="29653.3"/>
    <n v="0.91125124073100949"/>
  </r>
  <r>
    <s v="ORD0830"/>
    <x v="313"/>
    <x v="2"/>
    <s v="KA"/>
    <x v="2"/>
    <x v="4"/>
    <x v="1"/>
    <s v="Electronics"/>
    <n v="5"/>
    <n v="37544"/>
    <n v="0.1"/>
    <n v="0.1"/>
    <n v="8995"/>
    <n v="187720"/>
    <n v="168948"/>
    <n v="140230"/>
    <n v="28718"/>
    <n v="0.16998129602007719"/>
  </r>
  <r>
    <s v="ORD0831"/>
    <x v="166"/>
    <x v="0"/>
    <s v="MH"/>
    <x v="0"/>
    <x v="0"/>
    <x v="0"/>
    <s v="Furniture"/>
    <n v="4"/>
    <n v="43026"/>
    <m/>
    <n v="0"/>
    <m/>
    <n v="172104"/>
    <n v="172104"/>
    <n v="53084"/>
    <n v="119020"/>
    <n v="0.69155859247896623"/>
  </r>
  <r>
    <s v="ORD0832"/>
    <x v="314"/>
    <x v="3"/>
    <s v="MH"/>
    <x v="1"/>
    <x v="5"/>
    <x v="0"/>
    <s v="Furniture"/>
    <n v="2"/>
    <n v="15739"/>
    <n v="0.1"/>
    <n v="0.1"/>
    <m/>
    <n v="31478"/>
    <n v="28330.2"/>
    <n v="26080"/>
    <n v="2250.2000000000007"/>
    <n v="7.9427607288335436E-2"/>
  </r>
  <r>
    <s v="ORD0833"/>
    <x v="315"/>
    <x v="3"/>
    <s v="RJ"/>
    <x v="4"/>
    <x v="2"/>
    <x v="1"/>
    <s v="Electronics"/>
    <n v="3"/>
    <n v="41413"/>
    <n v="0.1"/>
    <n v="0.1"/>
    <m/>
    <n v="124239"/>
    <n v="111815.1"/>
    <n v="8664"/>
    <n v="103151.1"/>
    <n v="0.92251493760681702"/>
  </r>
  <r>
    <s v="ORD0834"/>
    <x v="257"/>
    <x v="0"/>
    <s v="TN"/>
    <x v="4"/>
    <x v="3"/>
    <x v="1"/>
    <s v="Electronics"/>
    <n v="9"/>
    <n v="38417"/>
    <m/>
    <n v="0"/>
    <m/>
    <n v="345753"/>
    <n v="345753"/>
    <n v="66456"/>
    <n v="279297"/>
    <n v="0.8077934247859021"/>
  </r>
  <r>
    <s v="ORD0835"/>
    <x v="252"/>
    <x v="2"/>
    <s v="DL"/>
    <x v="0"/>
    <x v="2"/>
    <x v="1"/>
    <s v="Electronics"/>
    <n v="10"/>
    <n v="26923"/>
    <n v="0"/>
    <n v="0"/>
    <m/>
    <n v="269230"/>
    <n v="269230"/>
    <n v="28880"/>
    <n v="240350"/>
    <n v="0.89273112208892025"/>
  </r>
  <r>
    <s v="ORD0836"/>
    <x v="179"/>
    <x v="2"/>
    <s v="RJ"/>
    <x v="2"/>
    <x v="3"/>
    <x v="1"/>
    <s v="Electronics"/>
    <n v="9"/>
    <n v="15085"/>
    <n v="0.05"/>
    <n v="0.05"/>
    <n v="21094"/>
    <n v="135765"/>
    <n v="128976.75"/>
    <n v="66456"/>
    <n v="62520.75"/>
    <n v="0.48474434345725104"/>
  </r>
  <r>
    <s v="ORD0837"/>
    <x v="137"/>
    <x v="2"/>
    <s v="KA"/>
    <x v="1"/>
    <x v="1"/>
    <x v="1"/>
    <s v="Electronics"/>
    <n v="8"/>
    <n v="12795"/>
    <n v="0.05"/>
    <n v="0.05"/>
    <n v="8445"/>
    <n v="102360"/>
    <n v="97242"/>
    <n v="154120"/>
    <n v="-56878"/>
    <n v="-0.58491186935686224"/>
  </r>
  <r>
    <s v="ORD0838"/>
    <x v="228"/>
    <x v="1"/>
    <s v="TN"/>
    <x v="2"/>
    <x v="3"/>
    <x v="1"/>
    <s v="Electronics"/>
    <n v="7"/>
    <n v="21745"/>
    <m/>
    <n v="0"/>
    <m/>
    <n v="152215"/>
    <n v="152215"/>
    <n v="51688"/>
    <n v="100527"/>
    <n v="0.66042768452517819"/>
  </r>
  <r>
    <s v="ORD0839"/>
    <x v="316"/>
    <x v="0"/>
    <s v="DL"/>
    <x v="4"/>
    <x v="5"/>
    <x v="0"/>
    <s v="Furniture"/>
    <n v="9"/>
    <n v="41137"/>
    <n v="0"/>
    <n v="0"/>
    <n v="1660"/>
    <n v="370233"/>
    <n v="370233"/>
    <n v="117360"/>
    <n v="252873"/>
    <n v="0.68301042856795591"/>
  </r>
  <r>
    <s v="ORD0840"/>
    <x v="248"/>
    <x v="3"/>
    <s v="MH"/>
    <x v="4"/>
    <x v="4"/>
    <x v="1"/>
    <s v="Electronics"/>
    <n v="9"/>
    <n v="24382"/>
    <m/>
    <n v="0"/>
    <n v="14503"/>
    <n v="219438"/>
    <n v="219438"/>
    <n v="252414"/>
    <n v="-32976"/>
    <n v="-0.15027479287999343"/>
  </r>
  <r>
    <s v="ORD0841"/>
    <x v="289"/>
    <x v="2"/>
    <s v="GJ"/>
    <x v="4"/>
    <x v="1"/>
    <x v="1"/>
    <s v="Electronics"/>
    <n v="7"/>
    <n v="35425"/>
    <n v="0"/>
    <n v="0"/>
    <m/>
    <n v="247975"/>
    <n v="247975"/>
    <n v="134855"/>
    <n v="113120"/>
    <n v="0.45617501764290758"/>
  </r>
  <r>
    <s v="ORD0842"/>
    <x v="187"/>
    <x v="2"/>
    <s v="RJ"/>
    <x v="4"/>
    <x v="4"/>
    <x v="1"/>
    <s v="Electronics"/>
    <n v="4"/>
    <n v="5929"/>
    <n v="0.1"/>
    <n v="0.1"/>
    <m/>
    <n v="23716"/>
    <n v="21344.400000000001"/>
    <n v="112184"/>
    <n v="-90839.6"/>
    <n v="-4.2558985026517497"/>
  </r>
  <r>
    <s v="ORD0843"/>
    <x v="183"/>
    <x v="2"/>
    <s v="DL"/>
    <x v="2"/>
    <x v="4"/>
    <x v="1"/>
    <s v="Electronics"/>
    <n v="1"/>
    <n v="20963"/>
    <n v="0.05"/>
    <n v="0.05"/>
    <m/>
    <n v="20963"/>
    <n v="19914.849999999999"/>
    <n v="28046"/>
    <n v="-8131.1500000000015"/>
    <n v="-0.40829581945131405"/>
  </r>
  <r>
    <s v="ORD0844"/>
    <x v="260"/>
    <x v="2"/>
    <s v="DL"/>
    <x v="4"/>
    <x v="3"/>
    <x v="1"/>
    <s v="Electronics"/>
    <n v="3"/>
    <n v="5275"/>
    <n v="0.05"/>
    <n v="0.05"/>
    <n v="20097"/>
    <n v="15825"/>
    <n v="15033.75"/>
    <n v="22152"/>
    <n v="-7118.25"/>
    <n v="-0.47348465951608881"/>
  </r>
  <r>
    <s v="ORD0845"/>
    <x v="36"/>
    <x v="2"/>
    <s v="KA"/>
    <x v="0"/>
    <x v="2"/>
    <x v="1"/>
    <s v="Electronics"/>
    <n v="8"/>
    <n v="3760"/>
    <m/>
    <n v="0"/>
    <n v="14902"/>
    <n v="30080"/>
    <n v="30080"/>
    <n v="23104"/>
    <n v="6976"/>
    <n v="0.23191489361702128"/>
  </r>
  <r>
    <s v="ORD0846"/>
    <x v="263"/>
    <x v="2"/>
    <s v="TN"/>
    <x v="4"/>
    <x v="5"/>
    <x v="0"/>
    <s v="Furniture"/>
    <n v="8"/>
    <n v="40729"/>
    <m/>
    <n v="0"/>
    <m/>
    <n v="325832"/>
    <n v="325832"/>
    <n v="104320"/>
    <n v="221512"/>
    <n v="0.67983500699747113"/>
  </r>
  <r>
    <s v="ORD0847"/>
    <x v="11"/>
    <x v="2"/>
    <s v="MH"/>
    <x v="3"/>
    <x v="4"/>
    <x v="1"/>
    <s v="Electronics"/>
    <n v="2"/>
    <n v="49060"/>
    <n v="0.05"/>
    <n v="0.05"/>
    <n v="25323"/>
    <n v="98120"/>
    <n v="93214"/>
    <n v="56092"/>
    <n v="37122"/>
    <n v="0.39824489883493897"/>
  </r>
  <r>
    <s v="ORD0848"/>
    <x v="127"/>
    <x v="2"/>
    <s v="KA"/>
    <x v="1"/>
    <x v="4"/>
    <x v="1"/>
    <s v="Electronics"/>
    <n v="1"/>
    <n v="45642"/>
    <m/>
    <n v="0"/>
    <n v="24318"/>
    <n v="45642"/>
    <n v="45642"/>
    <n v="28046"/>
    <n v="17596"/>
    <n v="0.38552210683142718"/>
  </r>
  <r>
    <s v="ORD0849"/>
    <x v="22"/>
    <x v="0"/>
    <s v="RJ"/>
    <x v="3"/>
    <x v="2"/>
    <x v="1"/>
    <s v="Electronics"/>
    <n v="9"/>
    <n v="19923"/>
    <n v="0.1"/>
    <n v="0.1"/>
    <m/>
    <n v="179307"/>
    <n v="161376.29999999999"/>
    <n v="25992"/>
    <n v="135384.29999999999"/>
    <n v="0.83893545706525674"/>
  </r>
  <r>
    <s v="ORD0850"/>
    <x v="249"/>
    <x v="3"/>
    <s v="GJ"/>
    <x v="4"/>
    <x v="5"/>
    <x v="0"/>
    <s v="Furniture"/>
    <n v="6"/>
    <n v="45403"/>
    <n v="0.05"/>
    <n v="0.05"/>
    <m/>
    <n v="272418"/>
    <n v="258797.1"/>
    <n v="78240"/>
    <n v="180557.1"/>
    <n v="0.6976782197327559"/>
  </r>
  <r>
    <s v="ORD0851"/>
    <x v="255"/>
    <x v="3"/>
    <s v="MH"/>
    <x v="4"/>
    <x v="0"/>
    <x v="0"/>
    <s v="Furniture"/>
    <n v="9"/>
    <n v="22791"/>
    <m/>
    <n v="0"/>
    <m/>
    <n v="205119"/>
    <n v="205119"/>
    <n v="119439"/>
    <n v="85680"/>
    <n v="0.41770874467991753"/>
  </r>
  <r>
    <s v="ORD0852"/>
    <x v="248"/>
    <x v="0"/>
    <s v="GJ"/>
    <x v="0"/>
    <x v="1"/>
    <x v="1"/>
    <s v="Electronics"/>
    <n v="7"/>
    <n v="38291"/>
    <n v="0"/>
    <n v="0"/>
    <m/>
    <n v="268037"/>
    <n v="268037"/>
    <n v="134855"/>
    <n v="133182"/>
    <n v="0.49687916220521794"/>
  </r>
  <r>
    <s v="ORD0853"/>
    <x v="182"/>
    <x v="1"/>
    <s v="KA"/>
    <x v="2"/>
    <x v="2"/>
    <x v="1"/>
    <s v="Electronics"/>
    <n v="8"/>
    <n v="8463"/>
    <n v="0.1"/>
    <n v="0.1"/>
    <m/>
    <n v="67704"/>
    <n v="60933.599999999999"/>
    <n v="23104"/>
    <n v="37829.599999999999"/>
    <n v="0.62083316922026599"/>
  </r>
  <r>
    <s v="ORD0854"/>
    <x v="201"/>
    <x v="1"/>
    <s v="TN"/>
    <x v="2"/>
    <x v="5"/>
    <x v="0"/>
    <s v="Furniture"/>
    <n v="4"/>
    <n v="35383"/>
    <m/>
    <n v="0"/>
    <m/>
    <n v="141532"/>
    <n v="141532"/>
    <n v="52160"/>
    <n v="89372"/>
    <n v="0.6314614362829607"/>
  </r>
  <r>
    <s v="ORD0855"/>
    <x v="80"/>
    <x v="2"/>
    <s v="KA"/>
    <x v="3"/>
    <x v="4"/>
    <x v="1"/>
    <s v="Electronics"/>
    <n v="4"/>
    <n v="29461"/>
    <n v="0.05"/>
    <n v="0.05"/>
    <n v="2115"/>
    <n v="117844"/>
    <n v="111951.8"/>
    <n v="112184"/>
    <n v="-232.19999999999709"/>
    <n v="-2.0741068924304664E-3"/>
  </r>
  <r>
    <s v="ORD0856"/>
    <x v="317"/>
    <x v="2"/>
    <s v="GJ"/>
    <x v="0"/>
    <x v="3"/>
    <x v="1"/>
    <s v="Electronics"/>
    <n v="4"/>
    <n v="24556"/>
    <n v="0"/>
    <n v="0"/>
    <m/>
    <n v="98224"/>
    <n v="98224"/>
    <n v="29536"/>
    <n v="68688"/>
    <n v="0.69929956018895589"/>
  </r>
  <r>
    <s v="ORD0857"/>
    <x v="133"/>
    <x v="0"/>
    <s v="KA"/>
    <x v="1"/>
    <x v="4"/>
    <x v="1"/>
    <s v="Electronics"/>
    <n v="1"/>
    <n v="36209"/>
    <n v="0.1"/>
    <n v="0.1"/>
    <n v="6515"/>
    <n v="36209"/>
    <n v="32588.1"/>
    <n v="28046"/>
    <n v="4542.0999999999985"/>
    <n v="0.13937909850528257"/>
  </r>
  <r>
    <s v="ORD0858"/>
    <x v="210"/>
    <x v="0"/>
    <s v="TN"/>
    <x v="2"/>
    <x v="1"/>
    <x v="1"/>
    <s v="Electronics"/>
    <n v="8"/>
    <n v="22778"/>
    <m/>
    <n v="0"/>
    <m/>
    <n v="182224"/>
    <n v="182224"/>
    <n v="154120"/>
    <n v="28104"/>
    <n v="0.15422776363157434"/>
  </r>
  <r>
    <s v="ORD0859"/>
    <x v="193"/>
    <x v="1"/>
    <s v="DL"/>
    <x v="0"/>
    <x v="2"/>
    <x v="1"/>
    <s v="Electronics"/>
    <n v="9"/>
    <n v="36453"/>
    <m/>
    <n v="0"/>
    <n v="20429"/>
    <n v="328077"/>
    <n v="328077"/>
    <n v="25992"/>
    <n v="302085"/>
    <n v="0.92077469618412755"/>
  </r>
  <r>
    <s v="ORD0860"/>
    <x v="318"/>
    <x v="0"/>
    <s v="TN"/>
    <x v="4"/>
    <x v="2"/>
    <x v="1"/>
    <s v="Electronics"/>
    <n v="3"/>
    <n v="47696"/>
    <n v="0"/>
    <n v="0"/>
    <n v="4488"/>
    <n v="143088"/>
    <n v="143088"/>
    <n v="8664"/>
    <n v="134424"/>
    <n v="0.93944984904394502"/>
  </r>
  <r>
    <s v="ORD0861"/>
    <x v="87"/>
    <x v="3"/>
    <s v="RJ"/>
    <x v="0"/>
    <x v="1"/>
    <x v="1"/>
    <s v="Electronics"/>
    <n v="5"/>
    <n v="27092"/>
    <n v="0.05"/>
    <n v="0.05"/>
    <n v="7951"/>
    <n v="135460"/>
    <n v="128687"/>
    <n v="96325"/>
    <n v="32362"/>
    <n v="0.25147839331090166"/>
  </r>
  <r>
    <s v="ORD0862"/>
    <x v="62"/>
    <x v="3"/>
    <s v="GJ"/>
    <x v="1"/>
    <x v="4"/>
    <x v="1"/>
    <s v="Electronics"/>
    <n v="7"/>
    <n v="8504"/>
    <n v="0.1"/>
    <n v="0.1"/>
    <m/>
    <n v="59528"/>
    <n v="53575.199999999997"/>
    <n v="196322"/>
    <n v="-142746.79999999999"/>
    <n v="-2.6644193582105151"/>
  </r>
  <r>
    <s v="ORD0863"/>
    <x v="282"/>
    <x v="1"/>
    <s v="KA"/>
    <x v="3"/>
    <x v="2"/>
    <x v="1"/>
    <s v="Electronics"/>
    <n v="1"/>
    <n v="18353"/>
    <n v="0"/>
    <n v="0"/>
    <n v="22062"/>
    <n v="18353"/>
    <n v="18353"/>
    <n v="2888"/>
    <n v="15465"/>
    <n v="0.84264152999509612"/>
  </r>
  <r>
    <s v="ORD0864"/>
    <x v="49"/>
    <x v="2"/>
    <s v="DL"/>
    <x v="3"/>
    <x v="5"/>
    <x v="0"/>
    <s v="Furniture"/>
    <n v="1"/>
    <n v="49649"/>
    <n v="0"/>
    <n v="0"/>
    <m/>
    <n v="49649"/>
    <n v="49649"/>
    <n v="13040"/>
    <n v="36609"/>
    <n v="0.73735624081048967"/>
  </r>
  <r>
    <s v="ORD0865"/>
    <x v="199"/>
    <x v="2"/>
    <s v="TN"/>
    <x v="1"/>
    <x v="1"/>
    <x v="1"/>
    <s v="Electronics"/>
    <n v="7"/>
    <n v="3467"/>
    <n v="0.1"/>
    <n v="0.1"/>
    <n v="6647"/>
    <n v="24269"/>
    <n v="21842.1"/>
    <n v="134855"/>
    <n v="-113012.9"/>
    <n v="-5.1740858250809216"/>
  </r>
  <r>
    <s v="ORD0866"/>
    <x v="289"/>
    <x v="1"/>
    <s v="MH"/>
    <x v="4"/>
    <x v="1"/>
    <x v="1"/>
    <s v="Electronics"/>
    <n v="8"/>
    <n v="18788"/>
    <n v="0.05"/>
    <n v="0.05"/>
    <n v="25768"/>
    <n v="150304"/>
    <n v="142788.79999999999"/>
    <n v="154120"/>
    <n v="-11331.200000000012"/>
    <n v="-7.9356364084578149E-2"/>
  </r>
  <r>
    <s v="ORD0867"/>
    <x v="319"/>
    <x v="3"/>
    <s v="RJ"/>
    <x v="4"/>
    <x v="3"/>
    <x v="1"/>
    <s v="Electronics"/>
    <n v="5"/>
    <n v="24427"/>
    <n v="0.1"/>
    <n v="0.1"/>
    <n v="17526"/>
    <n v="122135"/>
    <n v="109921.5"/>
    <n v="36920"/>
    <n v="73001.5"/>
    <n v="0.66412394299568334"/>
  </r>
  <r>
    <s v="ORD0868"/>
    <x v="239"/>
    <x v="2"/>
    <s v="MH"/>
    <x v="2"/>
    <x v="3"/>
    <x v="1"/>
    <s v="Electronics"/>
    <n v="2"/>
    <n v="32286"/>
    <n v="0.05"/>
    <n v="0.05"/>
    <n v="15542"/>
    <n v="64572"/>
    <n v="61343.4"/>
    <n v="14768"/>
    <n v="46575.4"/>
    <n v="0.75925690457327111"/>
  </r>
  <r>
    <s v="ORD0869"/>
    <x v="205"/>
    <x v="0"/>
    <s v="RJ"/>
    <x v="3"/>
    <x v="4"/>
    <x v="1"/>
    <s v="Electronics"/>
    <n v="6"/>
    <n v="14804"/>
    <n v="0.05"/>
    <n v="0.05"/>
    <n v="28186"/>
    <n v="88824"/>
    <n v="84382.8"/>
    <n v="168276"/>
    <n v="-83893.2"/>
    <n v="-0.99419786970804469"/>
  </r>
  <r>
    <s v="ORD0870"/>
    <x v="8"/>
    <x v="1"/>
    <s v="KA"/>
    <x v="0"/>
    <x v="4"/>
    <x v="1"/>
    <s v="Electronics"/>
    <n v="7"/>
    <n v="2023"/>
    <n v="0.1"/>
    <n v="0.1"/>
    <m/>
    <n v="14161"/>
    <n v="12744.9"/>
    <n v="196322"/>
    <n v="-183577.1"/>
    <n v="-14.403965507771737"/>
  </r>
  <r>
    <s v="ORD0871"/>
    <x v="320"/>
    <x v="1"/>
    <s v="GJ"/>
    <x v="2"/>
    <x v="4"/>
    <x v="1"/>
    <s v="Electronics"/>
    <n v="7"/>
    <n v="36613"/>
    <m/>
    <n v="0"/>
    <m/>
    <n v="256291"/>
    <n v="256291"/>
    <n v="196322"/>
    <n v="59969"/>
    <n v="0.23398792778521291"/>
  </r>
  <r>
    <s v="ORD0872"/>
    <x v="321"/>
    <x v="0"/>
    <s v="MH"/>
    <x v="1"/>
    <x v="1"/>
    <x v="1"/>
    <s v="Electronics"/>
    <n v="2"/>
    <n v="14279"/>
    <m/>
    <n v="0"/>
    <m/>
    <n v="28558"/>
    <n v="28558"/>
    <n v="38530"/>
    <n v="-9972"/>
    <n v="-0.34918411653477133"/>
  </r>
  <r>
    <s v="ORD0873"/>
    <x v="106"/>
    <x v="2"/>
    <s v="KA"/>
    <x v="1"/>
    <x v="1"/>
    <x v="1"/>
    <s v="Electronics"/>
    <n v="1"/>
    <n v="32783"/>
    <n v="0"/>
    <n v="0"/>
    <m/>
    <n v="32783"/>
    <n v="32783"/>
    <n v="19265"/>
    <n v="13518"/>
    <n v="0.41234786322179179"/>
  </r>
  <r>
    <s v="ORD0874"/>
    <x v="270"/>
    <x v="3"/>
    <s v="TN"/>
    <x v="4"/>
    <x v="5"/>
    <x v="0"/>
    <s v="Furniture"/>
    <n v="6"/>
    <n v="33498"/>
    <n v="0.05"/>
    <n v="0.05"/>
    <m/>
    <n v="200988"/>
    <n v="190938.6"/>
    <n v="78240"/>
    <n v="112698.6"/>
    <n v="0.59023476656893892"/>
  </r>
  <r>
    <s v="ORD0875"/>
    <x v="78"/>
    <x v="3"/>
    <s v="TN"/>
    <x v="3"/>
    <x v="5"/>
    <x v="0"/>
    <s v="Furniture"/>
    <n v="10"/>
    <n v="6849"/>
    <n v="0.05"/>
    <n v="0.05"/>
    <m/>
    <n v="68490"/>
    <n v="65065.5"/>
    <n v="130400"/>
    <n v="-65334.5"/>
    <n v="-1.0041342954407482"/>
  </r>
  <r>
    <s v="ORD0876"/>
    <x v="177"/>
    <x v="1"/>
    <s v="KA"/>
    <x v="3"/>
    <x v="0"/>
    <x v="0"/>
    <s v="Furniture"/>
    <n v="10"/>
    <n v="11200"/>
    <n v="0"/>
    <n v="0"/>
    <n v="27256"/>
    <n v="112000"/>
    <n v="112000"/>
    <n v="132710"/>
    <n v="-20710"/>
    <n v="-0.18491071428571429"/>
  </r>
  <r>
    <s v="ORD0877"/>
    <x v="91"/>
    <x v="3"/>
    <s v="TN"/>
    <x v="2"/>
    <x v="0"/>
    <x v="0"/>
    <s v="Furniture"/>
    <n v="7"/>
    <n v="2106"/>
    <n v="0"/>
    <n v="0"/>
    <n v="6236"/>
    <n v="14742"/>
    <n v="14742"/>
    <n v="92897"/>
    <n v="-78155"/>
    <n v="-5.3015194681861351"/>
  </r>
  <r>
    <s v="ORD0878"/>
    <x v="174"/>
    <x v="0"/>
    <s v="TN"/>
    <x v="4"/>
    <x v="1"/>
    <x v="1"/>
    <s v="Electronics"/>
    <n v="6"/>
    <n v="10939"/>
    <n v="0.1"/>
    <n v="0.1"/>
    <m/>
    <n v="65634"/>
    <n v="59070.6"/>
    <n v="115590"/>
    <n v="-56519.4"/>
    <n v="-0.95681100242760364"/>
  </r>
  <r>
    <s v="ORD0879"/>
    <x v="48"/>
    <x v="3"/>
    <s v="GJ"/>
    <x v="4"/>
    <x v="5"/>
    <x v="0"/>
    <s v="Furniture"/>
    <n v="7"/>
    <n v="36295"/>
    <n v="0"/>
    <n v="0"/>
    <n v="7739"/>
    <n v="254065"/>
    <n v="254065"/>
    <n v="91280"/>
    <n v="162785"/>
    <n v="0.64072186251549801"/>
  </r>
  <r>
    <s v="ORD0880"/>
    <x v="30"/>
    <x v="0"/>
    <s v="DL"/>
    <x v="3"/>
    <x v="5"/>
    <x v="0"/>
    <s v="Furniture"/>
    <n v="3"/>
    <n v="41894"/>
    <n v="0"/>
    <n v="0"/>
    <m/>
    <n v="125682"/>
    <n v="125682"/>
    <n v="39120"/>
    <n v="86562"/>
    <n v="0.68873824413997231"/>
  </r>
  <r>
    <s v="ORD0881"/>
    <x v="309"/>
    <x v="0"/>
    <s v="KA"/>
    <x v="3"/>
    <x v="5"/>
    <x v="0"/>
    <s v="Furniture"/>
    <n v="10"/>
    <n v="8549"/>
    <m/>
    <n v="0"/>
    <n v="23962"/>
    <n v="85490"/>
    <n v="85490"/>
    <n v="130400"/>
    <n v="-44910"/>
    <n v="-0.52532459936834719"/>
  </r>
  <r>
    <s v="ORD0882"/>
    <x v="147"/>
    <x v="1"/>
    <s v="MH"/>
    <x v="2"/>
    <x v="3"/>
    <x v="1"/>
    <s v="Electronics"/>
    <n v="4"/>
    <n v="41642"/>
    <n v="0"/>
    <n v="0"/>
    <m/>
    <n v="166568"/>
    <n v="166568"/>
    <n v="29536"/>
    <n v="137032"/>
    <n v="0.82267902598338216"/>
  </r>
  <r>
    <s v="ORD0883"/>
    <x v="257"/>
    <x v="2"/>
    <s v="DL"/>
    <x v="2"/>
    <x v="1"/>
    <x v="1"/>
    <s v="Electronics"/>
    <n v="2"/>
    <n v="28115"/>
    <n v="0.1"/>
    <n v="0.1"/>
    <m/>
    <n v="56230"/>
    <n v="50607"/>
    <n v="38530"/>
    <n v="12077"/>
    <n v="0.23864287549153279"/>
  </r>
  <r>
    <s v="ORD0884"/>
    <x v="271"/>
    <x v="0"/>
    <s v="MH"/>
    <x v="2"/>
    <x v="1"/>
    <x v="1"/>
    <s v="Electronics"/>
    <n v="5"/>
    <n v="23872"/>
    <n v="0.05"/>
    <n v="0.05"/>
    <m/>
    <n v="119360"/>
    <n v="113392"/>
    <n v="96325"/>
    <n v="17067"/>
    <n v="0.15051326372230844"/>
  </r>
  <r>
    <s v="ORD0885"/>
    <x v="39"/>
    <x v="3"/>
    <s v="TN"/>
    <x v="3"/>
    <x v="3"/>
    <x v="1"/>
    <s v="Electronics"/>
    <n v="4"/>
    <n v="14632"/>
    <m/>
    <n v="0"/>
    <m/>
    <n v="58528"/>
    <n v="58528"/>
    <n v="29536"/>
    <n v="28992"/>
    <n v="0.49535265172225262"/>
  </r>
  <r>
    <s v="ORD0886"/>
    <x v="284"/>
    <x v="3"/>
    <s v="MH"/>
    <x v="3"/>
    <x v="3"/>
    <x v="1"/>
    <s v="Electronics"/>
    <n v="8"/>
    <n v="39882"/>
    <m/>
    <n v="0"/>
    <n v="15420"/>
    <n v="319056"/>
    <n v="319056"/>
    <n v="59072"/>
    <n v="259984"/>
    <n v="0.81485381876535778"/>
  </r>
  <r>
    <s v="ORD0887"/>
    <x v="167"/>
    <x v="0"/>
    <s v="KA"/>
    <x v="2"/>
    <x v="1"/>
    <x v="1"/>
    <s v="Electronics"/>
    <n v="7"/>
    <n v="12584"/>
    <n v="0.05"/>
    <n v="0.05"/>
    <m/>
    <n v="88088"/>
    <n v="83683.600000000006"/>
    <n v="134855"/>
    <n v="-51171.399999999994"/>
    <n v="-0.61148659952487694"/>
  </r>
  <r>
    <s v="ORD0888"/>
    <x v="116"/>
    <x v="1"/>
    <s v="DL"/>
    <x v="3"/>
    <x v="1"/>
    <x v="1"/>
    <s v="Electronics"/>
    <n v="2"/>
    <n v="41741"/>
    <m/>
    <n v="0"/>
    <m/>
    <n v="83482"/>
    <n v="83482"/>
    <n v="38530"/>
    <n v="44952"/>
    <n v="0.53846338132771132"/>
  </r>
  <r>
    <s v="ORD0889"/>
    <x v="211"/>
    <x v="2"/>
    <s v="DL"/>
    <x v="3"/>
    <x v="4"/>
    <x v="1"/>
    <s v="Electronics"/>
    <n v="8"/>
    <n v="24528"/>
    <n v="0.05"/>
    <n v="0.05"/>
    <m/>
    <n v="196224"/>
    <n v="186412.79999999999"/>
    <n v="224368"/>
    <n v="-37955.200000000012"/>
    <n v="-0.20360833590826388"/>
  </r>
  <r>
    <s v="ORD0890"/>
    <x v="87"/>
    <x v="1"/>
    <s v="GJ"/>
    <x v="2"/>
    <x v="5"/>
    <x v="0"/>
    <s v="Furniture"/>
    <n v="2"/>
    <n v="48438"/>
    <m/>
    <n v="0"/>
    <n v="481"/>
    <n v="96876"/>
    <n v="96876"/>
    <n v="26080"/>
    <n v="70796"/>
    <n v="0.73078987571741194"/>
  </r>
  <r>
    <s v="ORD0891"/>
    <x v="179"/>
    <x v="0"/>
    <s v="RJ"/>
    <x v="0"/>
    <x v="0"/>
    <x v="0"/>
    <s v="Furniture"/>
    <n v="6"/>
    <n v="6857"/>
    <n v="0.1"/>
    <n v="0.1"/>
    <n v="27794"/>
    <n v="41142"/>
    <n v="37027.800000000003"/>
    <n v="79626"/>
    <n v="-42598.2"/>
    <n v="-1.1504383193168375"/>
  </r>
  <r>
    <s v="ORD0892"/>
    <x v="243"/>
    <x v="0"/>
    <s v="MH"/>
    <x v="1"/>
    <x v="1"/>
    <x v="1"/>
    <s v="Electronics"/>
    <n v="4"/>
    <n v="46243"/>
    <n v="0.1"/>
    <n v="0.1"/>
    <n v="14704"/>
    <n v="184972"/>
    <n v="166474.79999999999"/>
    <n v="77060"/>
    <n v="89414.799999999988"/>
    <n v="0.53710711771391217"/>
  </r>
  <r>
    <s v="ORD0893"/>
    <x v="87"/>
    <x v="0"/>
    <s v="DL"/>
    <x v="1"/>
    <x v="5"/>
    <x v="0"/>
    <s v="Furniture"/>
    <n v="8"/>
    <n v="7975"/>
    <m/>
    <n v="0"/>
    <m/>
    <n v="63800"/>
    <n v="63800"/>
    <n v="104320"/>
    <n v="-40520"/>
    <n v="-0.63510971786833859"/>
  </r>
  <r>
    <s v="ORD0894"/>
    <x v="128"/>
    <x v="2"/>
    <s v="MH"/>
    <x v="1"/>
    <x v="5"/>
    <x v="0"/>
    <s v="Furniture"/>
    <n v="4"/>
    <n v="31151"/>
    <n v="0"/>
    <n v="0"/>
    <m/>
    <n v="124604"/>
    <n v="124604"/>
    <n v="52160"/>
    <n v="72444"/>
    <n v="0.58139385573496838"/>
  </r>
  <r>
    <s v="ORD0895"/>
    <x v="76"/>
    <x v="3"/>
    <s v="TN"/>
    <x v="0"/>
    <x v="2"/>
    <x v="1"/>
    <s v="Electronics"/>
    <n v="10"/>
    <n v="30538"/>
    <n v="0.05"/>
    <n v="0.05"/>
    <m/>
    <n v="305380"/>
    <n v="290111"/>
    <n v="28880"/>
    <n v="261231"/>
    <n v="0.90045189599842823"/>
  </r>
  <r>
    <s v="ORD0896"/>
    <x v="305"/>
    <x v="3"/>
    <s v="MH"/>
    <x v="1"/>
    <x v="5"/>
    <x v="0"/>
    <s v="Furniture"/>
    <n v="7"/>
    <n v="9759"/>
    <n v="0.1"/>
    <n v="0.1"/>
    <m/>
    <n v="68313"/>
    <n v="61481.7"/>
    <n v="91280"/>
    <n v="-29798.300000000003"/>
    <n v="-0.48466942195807866"/>
  </r>
  <r>
    <s v="ORD0897"/>
    <x v="322"/>
    <x v="3"/>
    <s v="DL"/>
    <x v="1"/>
    <x v="4"/>
    <x v="1"/>
    <s v="Electronics"/>
    <n v="8"/>
    <n v="31715"/>
    <n v="0.05"/>
    <n v="0.05"/>
    <m/>
    <n v="253720"/>
    <n v="241034"/>
    <n v="224368"/>
    <n v="16666"/>
    <n v="6.9143772247898638E-2"/>
  </r>
  <r>
    <s v="ORD0898"/>
    <x v="316"/>
    <x v="0"/>
    <s v="GJ"/>
    <x v="2"/>
    <x v="5"/>
    <x v="0"/>
    <s v="Furniture"/>
    <n v="1"/>
    <n v="21603"/>
    <n v="0"/>
    <n v="0"/>
    <n v="8642"/>
    <n v="21603"/>
    <n v="21603"/>
    <n v="13040"/>
    <n v="8563"/>
    <n v="0.39638013238902003"/>
  </r>
  <r>
    <s v="ORD0899"/>
    <x v="290"/>
    <x v="1"/>
    <s v="GJ"/>
    <x v="2"/>
    <x v="4"/>
    <x v="1"/>
    <s v="Electronics"/>
    <n v="8"/>
    <n v="21655"/>
    <n v="0"/>
    <n v="0"/>
    <n v="18271"/>
    <n v="173240"/>
    <n v="173240"/>
    <n v="224368"/>
    <n v="-51128"/>
    <n v="-0.29512814592472869"/>
  </r>
  <r>
    <s v="ORD0900"/>
    <x v="228"/>
    <x v="0"/>
    <s v="DL"/>
    <x v="2"/>
    <x v="2"/>
    <x v="1"/>
    <s v="Electronics"/>
    <n v="6"/>
    <n v="13216"/>
    <n v="0.1"/>
    <n v="0.1"/>
    <n v="9830"/>
    <n v="79296"/>
    <n v="71366.399999999994"/>
    <n v="17328"/>
    <n v="54038.399999999994"/>
    <n v="0.75719666397632501"/>
  </r>
  <r>
    <s v="ORD0901"/>
    <x v="163"/>
    <x v="0"/>
    <s v="MH"/>
    <x v="2"/>
    <x v="0"/>
    <x v="0"/>
    <s v="Furniture"/>
    <n v="3"/>
    <n v="10566"/>
    <n v="0"/>
    <n v="0"/>
    <n v="18985"/>
    <n v="31698"/>
    <n v="31698"/>
    <n v="39813"/>
    <n v="-8115"/>
    <n v="-0.25600984289229606"/>
  </r>
  <r>
    <s v="ORD0902"/>
    <x v="288"/>
    <x v="3"/>
    <s v="GJ"/>
    <x v="4"/>
    <x v="1"/>
    <x v="1"/>
    <s v="Electronics"/>
    <n v="3"/>
    <n v="43611"/>
    <m/>
    <n v="0"/>
    <n v="28485"/>
    <n v="130833"/>
    <n v="130833"/>
    <n v="57795"/>
    <n v="73038"/>
    <n v="0.55825365160166018"/>
  </r>
  <r>
    <s v="ORD0903"/>
    <x v="96"/>
    <x v="3"/>
    <s v="KA"/>
    <x v="0"/>
    <x v="5"/>
    <x v="0"/>
    <s v="Furniture"/>
    <n v="3"/>
    <n v="47928"/>
    <n v="0.1"/>
    <n v="0.1"/>
    <m/>
    <n v="143784"/>
    <n v="129405.6"/>
    <n v="39120"/>
    <n v="90285.6"/>
    <n v="0.69769469018342334"/>
  </r>
  <r>
    <s v="ORD0904"/>
    <x v="275"/>
    <x v="1"/>
    <s v="KA"/>
    <x v="2"/>
    <x v="3"/>
    <x v="1"/>
    <s v="Electronics"/>
    <n v="1"/>
    <n v="45488"/>
    <n v="0"/>
    <n v="0"/>
    <m/>
    <n v="45488"/>
    <n v="45488"/>
    <n v="7384"/>
    <n v="38104"/>
    <n v="0.83767147379528661"/>
  </r>
  <r>
    <s v="ORD0905"/>
    <x v="140"/>
    <x v="1"/>
    <s v="KA"/>
    <x v="3"/>
    <x v="4"/>
    <x v="1"/>
    <s v="Electronics"/>
    <n v="10"/>
    <n v="4406"/>
    <m/>
    <n v="0"/>
    <n v="18751"/>
    <n v="44060"/>
    <n v="44060"/>
    <n v="280460"/>
    <n v="-236400"/>
    <n v="-5.3654108034498416"/>
  </r>
  <r>
    <s v="ORD0906"/>
    <x v="323"/>
    <x v="1"/>
    <s v="GJ"/>
    <x v="3"/>
    <x v="3"/>
    <x v="1"/>
    <s v="Electronics"/>
    <n v="9"/>
    <n v="15441"/>
    <m/>
    <n v="0"/>
    <m/>
    <n v="138969"/>
    <n v="138969"/>
    <n v="66456"/>
    <n v="72513"/>
    <n v="0.52179263001100962"/>
  </r>
  <r>
    <s v="ORD0907"/>
    <x v="209"/>
    <x v="3"/>
    <s v="RJ"/>
    <x v="1"/>
    <x v="1"/>
    <x v="1"/>
    <s v="Electronics"/>
    <n v="9"/>
    <n v="3800"/>
    <m/>
    <n v="0"/>
    <n v="15741"/>
    <n v="34200"/>
    <n v="34200"/>
    <n v="173385"/>
    <n v="-139185"/>
    <n v="-4.0697368421052635"/>
  </r>
  <r>
    <s v="ORD0908"/>
    <x v="118"/>
    <x v="0"/>
    <s v="MH"/>
    <x v="0"/>
    <x v="2"/>
    <x v="1"/>
    <s v="Electronics"/>
    <n v="10"/>
    <n v="33638"/>
    <n v="0"/>
    <n v="0"/>
    <n v="26546"/>
    <n v="336380"/>
    <n v="336380"/>
    <n v="28880"/>
    <n v="307500"/>
    <n v="0.91414471728402402"/>
  </r>
  <r>
    <s v="ORD0909"/>
    <x v="9"/>
    <x v="1"/>
    <s v="DL"/>
    <x v="0"/>
    <x v="5"/>
    <x v="0"/>
    <s v="Furniture"/>
    <n v="10"/>
    <n v="36260"/>
    <n v="0.05"/>
    <n v="0.05"/>
    <m/>
    <n v="362600"/>
    <n v="344470"/>
    <n v="130400"/>
    <n v="214070"/>
    <n v="0.62144744099631322"/>
  </r>
  <r>
    <s v="ORD0910"/>
    <x v="272"/>
    <x v="3"/>
    <s v="RJ"/>
    <x v="1"/>
    <x v="4"/>
    <x v="1"/>
    <s v="Electronics"/>
    <n v="1"/>
    <n v="2059"/>
    <m/>
    <n v="0"/>
    <n v="7321"/>
    <n v="2059"/>
    <n v="2059"/>
    <n v="28046"/>
    <n v="-25987"/>
    <n v="-12.621175327829043"/>
  </r>
  <r>
    <s v="ORD0911"/>
    <x v="88"/>
    <x v="1"/>
    <s v="RJ"/>
    <x v="4"/>
    <x v="4"/>
    <x v="1"/>
    <s v="Electronics"/>
    <n v="1"/>
    <n v="40692"/>
    <n v="0.05"/>
    <n v="0.05"/>
    <m/>
    <n v="40692"/>
    <n v="38657.4"/>
    <n v="28046"/>
    <n v="10611.400000000001"/>
    <n v="0.2744985436164874"/>
  </r>
  <r>
    <s v="ORD0912"/>
    <x v="57"/>
    <x v="2"/>
    <s v="RJ"/>
    <x v="0"/>
    <x v="1"/>
    <x v="1"/>
    <s v="Electronics"/>
    <n v="7"/>
    <n v="16082"/>
    <m/>
    <n v="0"/>
    <m/>
    <n v="112574"/>
    <n v="112574"/>
    <n v="134855"/>
    <n v="-22281"/>
    <n v="-0.19792314388757618"/>
  </r>
  <r>
    <s v="ORD0913"/>
    <x v="324"/>
    <x v="0"/>
    <s v="TN"/>
    <x v="0"/>
    <x v="0"/>
    <x v="0"/>
    <s v="Furniture"/>
    <n v="8"/>
    <n v="11123"/>
    <n v="0.05"/>
    <n v="0.05"/>
    <n v="22481"/>
    <n v="88984"/>
    <n v="84534.8"/>
    <n v="106168"/>
    <n v="-21633.199999999997"/>
    <n v="-0.25590880915315345"/>
  </r>
  <r>
    <s v="ORD0914"/>
    <x v="188"/>
    <x v="0"/>
    <s v="TN"/>
    <x v="2"/>
    <x v="5"/>
    <x v="0"/>
    <s v="Furniture"/>
    <n v="7"/>
    <n v="33352"/>
    <n v="0.1"/>
    <n v="0.1"/>
    <m/>
    <n v="233464"/>
    <n v="210117.6"/>
    <n v="91280"/>
    <n v="118837.6"/>
    <n v="0.56557661043149166"/>
  </r>
  <r>
    <s v="ORD0915"/>
    <x v="101"/>
    <x v="2"/>
    <s v="RJ"/>
    <x v="0"/>
    <x v="4"/>
    <x v="1"/>
    <s v="Electronics"/>
    <n v="5"/>
    <n v="35959"/>
    <n v="0.1"/>
    <n v="0.1"/>
    <m/>
    <n v="179795"/>
    <n v="161815.5"/>
    <n v="140230"/>
    <n v="21585.5"/>
    <n v="0.13339575009810556"/>
  </r>
  <r>
    <s v="ORD0916"/>
    <x v="296"/>
    <x v="0"/>
    <s v="TN"/>
    <x v="2"/>
    <x v="2"/>
    <x v="1"/>
    <s v="Electronics"/>
    <n v="5"/>
    <n v="7781"/>
    <n v="0.05"/>
    <n v="0.05"/>
    <m/>
    <n v="38905"/>
    <n v="36959.75"/>
    <n v="14440"/>
    <n v="22519.75"/>
    <n v="0.60930471661740138"/>
  </r>
  <r>
    <s v="ORD0917"/>
    <x v="137"/>
    <x v="3"/>
    <s v="TN"/>
    <x v="0"/>
    <x v="4"/>
    <x v="1"/>
    <s v="Electronics"/>
    <n v="7"/>
    <n v="33764"/>
    <n v="0"/>
    <n v="0"/>
    <n v="17232"/>
    <n v="236348"/>
    <n v="236348"/>
    <n v="196322"/>
    <n v="40026"/>
    <n v="0.16935197251510484"/>
  </r>
  <r>
    <s v="ORD0918"/>
    <x v="102"/>
    <x v="2"/>
    <s v="KA"/>
    <x v="2"/>
    <x v="0"/>
    <x v="0"/>
    <s v="Furniture"/>
    <n v="4"/>
    <n v="23956"/>
    <n v="0"/>
    <n v="0"/>
    <m/>
    <n v="95824"/>
    <n v="95824"/>
    <n v="53084"/>
    <n v="42740"/>
    <n v="0.44602604775421606"/>
  </r>
  <r>
    <s v="ORD0919"/>
    <x v="126"/>
    <x v="3"/>
    <s v="MH"/>
    <x v="4"/>
    <x v="2"/>
    <x v="1"/>
    <s v="Electronics"/>
    <n v="3"/>
    <n v="2873"/>
    <n v="0.1"/>
    <n v="0.1"/>
    <n v="13912"/>
    <n v="8619"/>
    <n v="7757.1"/>
    <n v="8664"/>
    <n v="-906.89999999999964"/>
    <n v="-0.11691224813396754"/>
  </r>
  <r>
    <s v="ORD0920"/>
    <x v="325"/>
    <x v="0"/>
    <s v="MH"/>
    <x v="1"/>
    <x v="1"/>
    <x v="1"/>
    <s v="Electronics"/>
    <n v="5"/>
    <n v="41058"/>
    <n v="0.05"/>
    <n v="0.05"/>
    <m/>
    <n v="205290"/>
    <n v="195025.5"/>
    <n v="96325"/>
    <n v="98700.5"/>
    <n v="0.50609022922643454"/>
  </r>
  <r>
    <s v="ORD0921"/>
    <x v="202"/>
    <x v="3"/>
    <s v="GJ"/>
    <x v="3"/>
    <x v="5"/>
    <x v="0"/>
    <s v="Furniture"/>
    <n v="5"/>
    <n v="18400"/>
    <m/>
    <n v="0"/>
    <m/>
    <n v="92000"/>
    <n v="92000"/>
    <n v="65200"/>
    <n v="26800"/>
    <n v="0.29130434782608694"/>
  </r>
  <r>
    <s v="ORD0922"/>
    <x v="153"/>
    <x v="0"/>
    <s v="KA"/>
    <x v="0"/>
    <x v="1"/>
    <x v="1"/>
    <s v="Electronics"/>
    <n v="9"/>
    <n v="5796"/>
    <n v="0.1"/>
    <n v="0.1"/>
    <n v="890"/>
    <n v="52164"/>
    <n v="46947.6"/>
    <n v="173385"/>
    <n v="-126437.4"/>
    <n v="-2.6931600337397437"/>
  </r>
  <r>
    <s v="ORD0923"/>
    <x v="263"/>
    <x v="0"/>
    <s v="RJ"/>
    <x v="4"/>
    <x v="5"/>
    <x v="0"/>
    <s v="Furniture"/>
    <n v="9"/>
    <n v="21484"/>
    <n v="0.1"/>
    <n v="0.1"/>
    <m/>
    <n v="193356"/>
    <n v="174020.4"/>
    <n v="117360"/>
    <n v="56660.399999999994"/>
    <n v="0.32559630939820844"/>
  </r>
  <r>
    <s v="ORD0924"/>
    <x v="326"/>
    <x v="2"/>
    <s v="KA"/>
    <x v="2"/>
    <x v="2"/>
    <x v="1"/>
    <s v="Electronics"/>
    <n v="2"/>
    <n v="673"/>
    <n v="0.1"/>
    <n v="0.1"/>
    <n v="4134"/>
    <n v="1346"/>
    <n v="1211.4000000000001"/>
    <n v="5776"/>
    <n v="-4564.6000000000004"/>
    <n v="-3.7680369820042925"/>
  </r>
  <r>
    <s v="ORD0925"/>
    <x v="271"/>
    <x v="3"/>
    <s v="RJ"/>
    <x v="3"/>
    <x v="3"/>
    <x v="1"/>
    <s v="Electronics"/>
    <n v="5"/>
    <n v="30157"/>
    <n v="0.05"/>
    <n v="0.05"/>
    <n v="28728"/>
    <n v="150785"/>
    <n v="143245.75"/>
    <n v="36920"/>
    <n v="106325.75"/>
    <n v="0.74226111420408636"/>
  </r>
  <r>
    <s v="ORD0926"/>
    <x v="112"/>
    <x v="0"/>
    <s v="GJ"/>
    <x v="2"/>
    <x v="2"/>
    <x v="1"/>
    <s v="Electronics"/>
    <n v="4"/>
    <n v="37879"/>
    <m/>
    <n v="0"/>
    <n v="20479"/>
    <n v="151516"/>
    <n v="151516"/>
    <n v="11552"/>
    <n v="139964"/>
    <n v="0.923757226959529"/>
  </r>
  <r>
    <s v="ORD0927"/>
    <x v="45"/>
    <x v="2"/>
    <s v="KA"/>
    <x v="3"/>
    <x v="3"/>
    <x v="1"/>
    <s v="Electronics"/>
    <n v="1"/>
    <n v="37080"/>
    <n v="0"/>
    <n v="0"/>
    <n v="21249"/>
    <n v="37080"/>
    <n v="37080"/>
    <n v="7384"/>
    <n v="29696"/>
    <n v="0.80086299892125135"/>
  </r>
  <r>
    <s v="ORD0928"/>
    <x v="84"/>
    <x v="0"/>
    <s v="MH"/>
    <x v="4"/>
    <x v="0"/>
    <x v="0"/>
    <s v="Furniture"/>
    <n v="4"/>
    <n v="14012"/>
    <n v="0.1"/>
    <n v="0.1"/>
    <n v="5485"/>
    <n v="56048"/>
    <n v="50443.199999999997"/>
    <n v="53084"/>
    <n v="-2640.8000000000029"/>
    <n v="-5.2351952294858436E-2"/>
  </r>
  <r>
    <s v="ORD0929"/>
    <x v="327"/>
    <x v="3"/>
    <s v="DL"/>
    <x v="2"/>
    <x v="2"/>
    <x v="1"/>
    <s v="Electronics"/>
    <n v="3"/>
    <n v="17706"/>
    <m/>
    <n v="0"/>
    <m/>
    <n v="53118"/>
    <n v="53118"/>
    <n v="8664"/>
    <n v="44454"/>
    <n v="0.83689144922625103"/>
  </r>
  <r>
    <s v="ORD0930"/>
    <x v="115"/>
    <x v="0"/>
    <s v="GJ"/>
    <x v="1"/>
    <x v="0"/>
    <x v="0"/>
    <s v="Furniture"/>
    <n v="4"/>
    <n v="26930"/>
    <m/>
    <n v="0"/>
    <n v="14937"/>
    <n v="107720"/>
    <n v="107720"/>
    <n v="53084"/>
    <n v="54636"/>
    <n v="0.50720386186409205"/>
  </r>
  <r>
    <s v="ORD0931"/>
    <x v="302"/>
    <x v="2"/>
    <s v="DL"/>
    <x v="3"/>
    <x v="5"/>
    <x v="0"/>
    <s v="Furniture"/>
    <n v="8"/>
    <n v="16311"/>
    <n v="0.05"/>
    <n v="0.05"/>
    <m/>
    <n v="130488"/>
    <n v="123963.6"/>
    <n v="104320"/>
    <n v="19643.600000000006"/>
    <n v="0.15846264548625569"/>
  </r>
  <r>
    <s v="ORD0932"/>
    <x v="68"/>
    <x v="0"/>
    <s v="TN"/>
    <x v="1"/>
    <x v="3"/>
    <x v="1"/>
    <s v="Electronics"/>
    <n v="9"/>
    <n v="45902"/>
    <n v="0.05"/>
    <n v="0.05"/>
    <n v="5070"/>
    <n v="413118"/>
    <n v="392462.1"/>
    <n v="66456"/>
    <n v="326006.09999999998"/>
    <n v="0.83066899963079233"/>
  </r>
  <r>
    <s v="ORD0933"/>
    <x v="33"/>
    <x v="3"/>
    <s v="MH"/>
    <x v="4"/>
    <x v="5"/>
    <x v="0"/>
    <s v="Furniture"/>
    <n v="10"/>
    <n v="29706"/>
    <n v="0.05"/>
    <n v="0.05"/>
    <m/>
    <n v="297060"/>
    <n v="282207"/>
    <n v="130400"/>
    <n v="151807"/>
    <n v="0.53792783311540815"/>
  </r>
  <r>
    <s v="ORD0934"/>
    <x v="328"/>
    <x v="1"/>
    <s v="KA"/>
    <x v="1"/>
    <x v="0"/>
    <x v="0"/>
    <s v="Furniture"/>
    <n v="8"/>
    <n v="27968"/>
    <n v="0"/>
    <n v="0"/>
    <n v="25940"/>
    <n v="223744"/>
    <n v="223744"/>
    <n v="106168"/>
    <n v="117576"/>
    <n v="0.52549342105263153"/>
  </r>
  <r>
    <s v="ORD0935"/>
    <x v="303"/>
    <x v="3"/>
    <s v="MH"/>
    <x v="1"/>
    <x v="4"/>
    <x v="1"/>
    <s v="Electronics"/>
    <n v="7"/>
    <n v="9904"/>
    <n v="0"/>
    <n v="0"/>
    <m/>
    <n v="69328"/>
    <n v="69328"/>
    <n v="196322"/>
    <n v="-126994"/>
    <n v="-1.8317851373182552"/>
  </r>
  <r>
    <s v="ORD0936"/>
    <x v="2"/>
    <x v="0"/>
    <s v="GJ"/>
    <x v="0"/>
    <x v="2"/>
    <x v="1"/>
    <s v="Electronics"/>
    <n v="5"/>
    <n v="23463"/>
    <n v="0.1"/>
    <n v="0.1"/>
    <n v="12225"/>
    <n v="117315"/>
    <n v="105583.5"/>
    <n v="14440"/>
    <n v="91143.5"/>
    <n v="0.86323620641482812"/>
  </r>
  <r>
    <s v="ORD0937"/>
    <x v="103"/>
    <x v="3"/>
    <s v="DL"/>
    <x v="2"/>
    <x v="1"/>
    <x v="1"/>
    <s v="Electronics"/>
    <n v="5"/>
    <n v="39300"/>
    <n v="0.05"/>
    <n v="0.05"/>
    <m/>
    <n v="196500"/>
    <n v="186675"/>
    <n v="96325"/>
    <n v="90350"/>
    <n v="0.48399625016740322"/>
  </r>
  <r>
    <s v="ORD0938"/>
    <x v="152"/>
    <x v="1"/>
    <s v="TN"/>
    <x v="2"/>
    <x v="5"/>
    <x v="0"/>
    <s v="Furniture"/>
    <n v="1"/>
    <n v="24013"/>
    <n v="0.05"/>
    <n v="0.05"/>
    <n v="27140"/>
    <n v="24013"/>
    <n v="22812.35"/>
    <n v="13040"/>
    <n v="9772.3499999999985"/>
    <n v="0.42837980304528028"/>
  </r>
  <r>
    <s v="ORD0939"/>
    <x v="12"/>
    <x v="0"/>
    <s v="GJ"/>
    <x v="2"/>
    <x v="3"/>
    <x v="1"/>
    <s v="Electronics"/>
    <n v="2"/>
    <n v="41794"/>
    <n v="0"/>
    <n v="0"/>
    <m/>
    <n v="83588"/>
    <n v="83588"/>
    <n v="14768"/>
    <n v="68820"/>
    <n v="0.82332392209408045"/>
  </r>
  <r>
    <s v="ORD0940"/>
    <x v="210"/>
    <x v="2"/>
    <s v="RJ"/>
    <x v="1"/>
    <x v="5"/>
    <x v="0"/>
    <s v="Furniture"/>
    <n v="1"/>
    <n v="534"/>
    <n v="0"/>
    <n v="0"/>
    <m/>
    <n v="534"/>
    <n v="534"/>
    <n v="13040"/>
    <n v="-12506"/>
    <n v="-23.419475655430713"/>
  </r>
  <r>
    <s v="ORD0941"/>
    <x v="1"/>
    <x v="2"/>
    <s v="TN"/>
    <x v="0"/>
    <x v="2"/>
    <x v="1"/>
    <s v="Electronics"/>
    <n v="3"/>
    <n v="29533"/>
    <m/>
    <n v="0"/>
    <n v="10238"/>
    <n v="88599"/>
    <n v="88599"/>
    <n v="8664"/>
    <n v="79935"/>
    <n v="0.90221108590390409"/>
  </r>
  <r>
    <s v="ORD0942"/>
    <x v="266"/>
    <x v="0"/>
    <s v="DL"/>
    <x v="0"/>
    <x v="4"/>
    <x v="1"/>
    <s v="Electronics"/>
    <n v="3"/>
    <n v="45381"/>
    <n v="0.1"/>
    <n v="0.1"/>
    <n v="3499"/>
    <n v="136143"/>
    <n v="122528.7"/>
    <n v="84138"/>
    <n v="38390.699999999997"/>
    <n v="0.31332006297300141"/>
  </r>
  <r>
    <s v="ORD0943"/>
    <x v="296"/>
    <x v="3"/>
    <s v="KA"/>
    <x v="1"/>
    <x v="0"/>
    <x v="0"/>
    <s v="Furniture"/>
    <n v="4"/>
    <n v="38548"/>
    <n v="0.05"/>
    <n v="0.05"/>
    <n v="11263"/>
    <n v="154192"/>
    <n v="146482.4"/>
    <n v="53084"/>
    <n v="93398.399999999994"/>
    <n v="0.63760834066072103"/>
  </r>
  <r>
    <s v="ORD0944"/>
    <x v="97"/>
    <x v="0"/>
    <s v="RJ"/>
    <x v="4"/>
    <x v="4"/>
    <x v="1"/>
    <s v="Electronics"/>
    <n v="2"/>
    <n v="7053"/>
    <n v="0.05"/>
    <n v="0.05"/>
    <m/>
    <n v="14106"/>
    <n v="13400.7"/>
    <n v="56092"/>
    <n v="-42691.3"/>
    <n v="-3.1857514905937752"/>
  </r>
  <r>
    <s v="ORD0945"/>
    <x v="76"/>
    <x v="1"/>
    <s v="DL"/>
    <x v="0"/>
    <x v="2"/>
    <x v="1"/>
    <s v="Electronics"/>
    <n v="10"/>
    <n v="26668"/>
    <n v="0.1"/>
    <n v="0.1"/>
    <m/>
    <n v="266680"/>
    <n v="240012"/>
    <n v="28880"/>
    <n v="211132"/>
    <n v="0.879672683032515"/>
  </r>
  <r>
    <s v="ORD0946"/>
    <x v="75"/>
    <x v="2"/>
    <s v="DL"/>
    <x v="4"/>
    <x v="5"/>
    <x v="0"/>
    <s v="Furniture"/>
    <n v="3"/>
    <n v="18921"/>
    <n v="0"/>
    <n v="0"/>
    <n v="6074"/>
    <n v="56763"/>
    <n v="56763"/>
    <n v="39120"/>
    <n v="17643"/>
    <n v="0.31081866708947731"/>
  </r>
  <r>
    <s v="ORD0947"/>
    <x v="14"/>
    <x v="2"/>
    <s v="KA"/>
    <x v="3"/>
    <x v="4"/>
    <x v="1"/>
    <s v="Electronics"/>
    <n v="7"/>
    <n v="13348"/>
    <m/>
    <n v="0"/>
    <m/>
    <n v="93436"/>
    <n v="93436"/>
    <n v="196322"/>
    <n v="-102886"/>
    <n v="-1.1011387473778844"/>
  </r>
  <r>
    <s v="ORD0948"/>
    <x v="199"/>
    <x v="3"/>
    <s v="MH"/>
    <x v="4"/>
    <x v="5"/>
    <x v="0"/>
    <s v="Furniture"/>
    <n v="5"/>
    <n v="40213"/>
    <m/>
    <n v="0"/>
    <m/>
    <n v="201065"/>
    <n v="201065"/>
    <n v="65200"/>
    <n v="135865"/>
    <n v="0.67572675502946811"/>
  </r>
  <r>
    <s v="ORD0949"/>
    <x v="275"/>
    <x v="2"/>
    <s v="GJ"/>
    <x v="1"/>
    <x v="0"/>
    <x v="0"/>
    <s v="Furniture"/>
    <n v="3"/>
    <n v="14501"/>
    <n v="0.05"/>
    <n v="0.05"/>
    <m/>
    <n v="43503"/>
    <n v="41327.85"/>
    <n v="39813"/>
    <n v="1514.8499999999985"/>
    <n v="3.6654459402073868E-2"/>
  </r>
  <r>
    <s v="ORD0950"/>
    <x v="168"/>
    <x v="1"/>
    <s v="TN"/>
    <x v="4"/>
    <x v="1"/>
    <x v="1"/>
    <s v="Electronics"/>
    <n v="4"/>
    <n v="49397"/>
    <n v="0.1"/>
    <n v="0.1"/>
    <m/>
    <n v="197588"/>
    <n v="177829.2"/>
    <n v="77060"/>
    <n v="100769.20000000001"/>
    <n v="0.56666284277272805"/>
  </r>
  <r>
    <s v="ORD0951"/>
    <x v="227"/>
    <x v="2"/>
    <s v="GJ"/>
    <x v="1"/>
    <x v="0"/>
    <x v="0"/>
    <s v="Furniture"/>
    <n v="10"/>
    <n v="28968"/>
    <n v="0.05"/>
    <n v="0.05"/>
    <m/>
    <n v="289680"/>
    <n v="275196"/>
    <n v="132710"/>
    <n v="142486"/>
    <n v="0.51776188607392548"/>
  </r>
  <r>
    <s v="ORD0952"/>
    <x v="38"/>
    <x v="3"/>
    <s v="TN"/>
    <x v="0"/>
    <x v="3"/>
    <x v="1"/>
    <s v="Electronics"/>
    <n v="1"/>
    <n v="2176"/>
    <n v="0"/>
    <n v="0"/>
    <n v="28728"/>
    <n v="2176"/>
    <n v="2176"/>
    <n v="7384"/>
    <n v="-5208"/>
    <n v="-2.3933823529411766"/>
  </r>
  <r>
    <s v="ORD0953"/>
    <x v="155"/>
    <x v="0"/>
    <s v="DL"/>
    <x v="4"/>
    <x v="5"/>
    <x v="0"/>
    <s v="Furniture"/>
    <n v="7"/>
    <n v="4924"/>
    <n v="0"/>
    <n v="0"/>
    <m/>
    <n v="34468"/>
    <n v="34468"/>
    <n v="91280"/>
    <n v="-56812"/>
    <n v="-1.6482534524776604"/>
  </r>
  <r>
    <s v="ORD0954"/>
    <x v="4"/>
    <x v="0"/>
    <s v="GJ"/>
    <x v="1"/>
    <x v="0"/>
    <x v="0"/>
    <s v="Furniture"/>
    <n v="10"/>
    <n v="20631"/>
    <n v="0"/>
    <n v="0"/>
    <n v="8510"/>
    <n v="206310"/>
    <n v="206310"/>
    <n v="132710"/>
    <n v="73600"/>
    <n v="0.35674470457079155"/>
  </r>
  <r>
    <s v="ORD0955"/>
    <x v="18"/>
    <x v="1"/>
    <s v="RJ"/>
    <x v="4"/>
    <x v="2"/>
    <x v="1"/>
    <s v="Electronics"/>
    <n v="10"/>
    <n v="24012"/>
    <n v="0.1"/>
    <n v="0.1"/>
    <m/>
    <n v="240120"/>
    <n v="216108"/>
    <n v="28880"/>
    <n v="187228"/>
    <n v="0.8663631147389268"/>
  </r>
  <r>
    <s v="ORD0956"/>
    <x v="329"/>
    <x v="3"/>
    <s v="GJ"/>
    <x v="2"/>
    <x v="1"/>
    <x v="1"/>
    <s v="Electronics"/>
    <n v="4"/>
    <n v="5854"/>
    <n v="0.1"/>
    <n v="0.1"/>
    <n v="19506"/>
    <n v="23416"/>
    <n v="21074.400000000001"/>
    <n v="77060"/>
    <n v="-55985.599999999999"/>
    <n v="-2.6565691075428006"/>
  </r>
  <r>
    <s v="ORD0957"/>
    <x v="238"/>
    <x v="2"/>
    <s v="TN"/>
    <x v="3"/>
    <x v="3"/>
    <x v="1"/>
    <s v="Electronics"/>
    <n v="4"/>
    <n v="44139"/>
    <n v="0.1"/>
    <n v="0.1"/>
    <n v="24472"/>
    <n v="176556"/>
    <n v="158900.4"/>
    <n v="29536"/>
    <n v="129364.4"/>
    <n v="0.81412255727487159"/>
  </r>
  <r>
    <s v="ORD0958"/>
    <x v="191"/>
    <x v="1"/>
    <s v="KA"/>
    <x v="0"/>
    <x v="0"/>
    <x v="0"/>
    <s v="Furniture"/>
    <n v="1"/>
    <n v="5686"/>
    <n v="0.05"/>
    <n v="0.05"/>
    <n v="4953"/>
    <n v="5686"/>
    <n v="5401.7"/>
    <n v="13271"/>
    <n v="-7869.3"/>
    <n v="-1.4568191495270009"/>
  </r>
  <r>
    <s v="ORD0959"/>
    <x v="58"/>
    <x v="1"/>
    <s v="DL"/>
    <x v="2"/>
    <x v="0"/>
    <x v="0"/>
    <s v="Furniture"/>
    <n v="5"/>
    <n v="41447"/>
    <n v="0.1"/>
    <n v="0.1"/>
    <n v="15660"/>
    <n v="207235"/>
    <n v="186511.5"/>
    <n v="66355"/>
    <n v="120156.5"/>
    <n v="0.64423105277690651"/>
  </r>
  <r>
    <s v="ORD0960"/>
    <x v="330"/>
    <x v="2"/>
    <s v="DL"/>
    <x v="3"/>
    <x v="1"/>
    <x v="1"/>
    <s v="Electronics"/>
    <n v="4"/>
    <n v="10976"/>
    <n v="0"/>
    <n v="0"/>
    <n v="2770"/>
    <n v="43904"/>
    <n v="43904"/>
    <n v="77060"/>
    <n v="-33156"/>
    <n v="-0.75519314868804666"/>
  </r>
  <r>
    <s v="ORD0961"/>
    <x v="227"/>
    <x v="1"/>
    <s v="TN"/>
    <x v="2"/>
    <x v="4"/>
    <x v="1"/>
    <s v="Electronics"/>
    <n v="9"/>
    <n v="5011"/>
    <n v="0.05"/>
    <n v="0.05"/>
    <n v="14144"/>
    <n v="45099"/>
    <n v="42844.05"/>
    <n v="252414"/>
    <n v="-209569.95"/>
    <n v="-4.8914598409814198"/>
  </r>
  <r>
    <s v="ORD0962"/>
    <x v="83"/>
    <x v="0"/>
    <s v="DL"/>
    <x v="3"/>
    <x v="2"/>
    <x v="1"/>
    <s v="Electronics"/>
    <n v="4"/>
    <n v="20717"/>
    <n v="0.1"/>
    <n v="0.1"/>
    <m/>
    <n v="82868"/>
    <n v="74581.2"/>
    <n v="11552"/>
    <n v="63029.2"/>
    <n v="0.84510841874359754"/>
  </r>
  <r>
    <s v="ORD0963"/>
    <x v="295"/>
    <x v="1"/>
    <s v="TN"/>
    <x v="4"/>
    <x v="5"/>
    <x v="0"/>
    <s v="Furniture"/>
    <n v="9"/>
    <n v="10861"/>
    <m/>
    <n v="0"/>
    <m/>
    <n v="97749"/>
    <n v="97749"/>
    <n v="117360"/>
    <n v="-19611"/>
    <n v="-0.20062609336156892"/>
  </r>
  <r>
    <s v="ORD0964"/>
    <x v="136"/>
    <x v="0"/>
    <s v="MH"/>
    <x v="1"/>
    <x v="4"/>
    <x v="1"/>
    <s v="Electronics"/>
    <n v="7"/>
    <n v="40042"/>
    <m/>
    <n v="0"/>
    <n v="17028"/>
    <n v="280294"/>
    <n v="280294"/>
    <n v="196322"/>
    <n v="83972"/>
    <n v="0.2995854352929424"/>
  </r>
  <r>
    <s v="ORD0965"/>
    <x v="121"/>
    <x v="2"/>
    <s v="GJ"/>
    <x v="4"/>
    <x v="3"/>
    <x v="1"/>
    <s v="Electronics"/>
    <n v="6"/>
    <n v="26232"/>
    <n v="0.05"/>
    <n v="0.05"/>
    <n v="6187"/>
    <n v="157392"/>
    <n v="149522.4"/>
    <n v="44304"/>
    <n v="105218.4"/>
    <n v="0.70369656987849316"/>
  </r>
  <r>
    <s v="ORD0966"/>
    <x v="331"/>
    <x v="0"/>
    <s v="GJ"/>
    <x v="1"/>
    <x v="5"/>
    <x v="0"/>
    <s v="Furniture"/>
    <n v="8"/>
    <n v="42239"/>
    <m/>
    <n v="0"/>
    <m/>
    <n v="337912"/>
    <n v="337912"/>
    <n v="104320"/>
    <n v="233592"/>
    <n v="0.69128057008925403"/>
  </r>
  <r>
    <s v="ORD0967"/>
    <x v="250"/>
    <x v="1"/>
    <s v="DL"/>
    <x v="4"/>
    <x v="0"/>
    <x v="0"/>
    <s v="Furniture"/>
    <n v="1"/>
    <n v="47143"/>
    <m/>
    <n v="0"/>
    <m/>
    <n v="47143"/>
    <n v="47143"/>
    <n v="13271"/>
    <n v="33872"/>
    <n v="0.7184947924400229"/>
  </r>
  <r>
    <s v="ORD0968"/>
    <x v="134"/>
    <x v="1"/>
    <s v="MH"/>
    <x v="2"/>
    <x v="3"/>
    <x v="1"/>
    <s v="Electronics"/>
    <n v="6"/>
    <n v="39746"/>
    <n v="0"/>
    <n v="0"/>
    <n v="8121"/>
    <n v="238476"/>
    <n v="238476"/>
    <n v="44304"/>
    <n v="194172"/>
    <n v="0.81422029889800229"/>
  </r>
  <r>
    <s v="ORD0969"/>
    <x v="196"/>
    <x v="3"/>
    <s v="TN"/>
    <x v="1"/>
    <x v="2"/>
    <x v="1"/>
    <s v="Electronics"/>
    <n v="9"/>
    <n v="10007"/>
    <m/>
    <n v="0"/>
    <m/>
    <n v="90063"/>
    <n v="90063"/>
    <n v="25992"/>
    <n v="64071"/>
    <n v="0.71140201858698915"/>
  </r>
  <r>
    <s v="ORD0970"/>
    <x v="120"/>
    <x v="3"/>
    <s v="GJ"/>
    <x v="4"/>
    <x v="3"/>
    <x v="1"/>
    <s v="Electronics"/>
    <n v="2"/>
    <n v="24267"/>
    <n v="0"/>
    <n v="0"/>
    <m/>
    <n v="48534"/>
    <n v="48534"/>
    <n v="14768"/>
    <n v="33766"/>
    <n v="0.69571846540569493"/>
  </r>
  <r>
    <s v="ORD0971"/>
    <x v="112"/>
    <x v="1"/>
    <s v="TN"/>
    <x v="2"/>
    <x v="3"/>
    <x v="1"/>
    <s v="Electronics"/>
    <n v="9"/>
    <n v="12571"/>
    <m/>
    <n v="0"/>
    <m/>
    <n v="113139"/>
    <n v="113139"/>
    <n v="66456"/>
    <n v="46683"/>
    <n v="0.41261633919338159"/>
  </r>
  <r>
    <s v="ORD0972"/>
    <x v="119"/>
    <x v="3"/>
    <s v="RJ"/>
    <x v="3"/>
    <x v="0"/>
    <x v="0"/>
    <s v="Furniture"/>
    <n v="10"/>
    <n v="45850"/>
    <n v="0.1"/>
    <n v="0.1"/>
    <n v="2068"/>
    <n v="458500"/>
    <n v="412650"/>
    <n v="132710"/>
    <n v="279940"/>
    <n v="0.67839573488428451"/>
  </r>
  <r>
    <s v="ORD0973"/>
    <x v="180"/>
    <x v="1"/>
    <s v="DL"/>
    <x v="3"/>
    <x v="1"/>
    <x v="1"/>
    <s v="Electronics"/>
    <n v="10"/>
    <n v="2862"/>
    <n v="0.1"/>
    <n v="0.1"/>
    <n v="3893"/>
    <n v="28620"/>
    <n v="25758"/>
    <n v="192650"/>
    <n v="-166892"/>
    <n v="-6.4792297538628771"/>
  </r>
  <r>
    <s v="ORD0974"/>
    <x v="307"/>
    <x v="0"/>
    <s v="RJ"/>
    <x v="1"/>
    <x v="5"/>
    <x v="0"/>
    <s v="Furniture"/>
    <n v="9"/>
    <n v="11007"/>
    <m/>
    <n v="0"/>
    <n v="2696"/>
    <n v="99063"/>
    <n v="99063"/>
    <n v="117360"/>
    <n v="-18297"/>
    <n v="-0.18470064504406286"/>
  </r>
  <r>
    <s v="ORD0975"/>
    <x v="186"/>
    <x v="3"/>
    <s v="KA"/>
    <x v="3"/>
    <x v="5"/>
    <x v="0"/>
    <s v="Furniture"/>
    <n v="7"/>
    <n v="39407"/>
    <n v="0"/>
    <n v="0"/>
    <m/>
    <n v="275849"/>
    <n v="275849"/>
    <n v="91280"/>
    <n v="184569"/>
    <n v="0.66909432334356844"/>
  </r>
  <r>
    <s v="ORD0976"/>
    <x v="219"/>
    <x v="0"/>
    <s v="GJ"/>
    <x v="3"/>
    <x v="4"/>
    <x v="1"/>
    <s v="Electronics"/>
    <n v="6"/>
    <n v="44545"/>
    <n v="0.1"/>
    <n v="0.1"/>
    <n v="17047"/>
    <n v="267270"/>
    <n v="240543"/>
    <n v="168276"/>
    <n v="72267"/>
    <n v="0.30043277085593845"/>
  </r>
  <r>
    <s v="ORD0977"/>
    <x v="309"/>
    <x v="3"/>
    <s v="TN"/>
    <x v="1"/>
    <x v="0"/>
    <x v="0"/>
    <s v="Furniture"/>
    <n v="4"/>
    <n v="12177"/>
    <m/>
    <n v="0"/>
    <n v="5366"/>
    <n v="48708"/>
    <n v="48708"/>
    <n v="53084"/>
    <n v="-4376"/>
    <n v="-8.9841504475650813E-2"/>
  </r>
  <r>
    <s v="ORD0978"/>
    <x v="203"/>
    <x v="1"/>
    <s v="TN"/>
    <x v="2"/>
    <x v="1"/>
    <x v="1"/>
    <s v="Electronics"/>
    <n v="3"/>
    <n v="7376"/>
    <n v="0.1"/>
    <n v="0.1"/>
    <n v="2664"/>
    <n v="22128"/>
    <n v="19915.2"/>
    <n v="57795"/>
    <n v="-37879.800000000003"/>
    <n v="-1.9020547119787901"/>
  </r>
  <r>
    <s v="ORD0979"/>
    <x v="203"/>
    <x v="1"/>
    <s v="GJ"/>
    <x v="0"/>
    <x v="4"/>
    <x v="1"/>
    <s v="Electronics"/>
    <n v="9"/>
    <n v="3208"/>
    <n v="0.1"/>
    <n v="0.1"/>
    <n v="17676"/>
    <n v="28872"/>
    <n v="25984.799999999999"/>
    <n v="252414"/>
    <n v="-226429.2"/>
    <n v="-8.7139096702687731"/>
  </r>
  <r>
    <s v="ORD0980"/>
    <x v="227"/>
    <x v="0"/>
    <s v="RJ"/>
    <x v="4"/>
    <x v="4"/>
    <x v="1"/>
    <s v="Electronics"/>
    <n v="9"/>
    <n v="16149"/>
    <n v="0"/>
    <n v="0"/>
    <m/>
    <n v="145341"/>
    <n v="145341"/>
    <n v="252414"/>
    <n v="-107073"/>
    <n v="-0.73670196296984336"/>
  </r>
  <r>
    <s v="ORD0981"/>
    <x v="127"/>
    <x v="3"/>
    <s v="DL"/>
    <x v="3"/>
    <x v="1"/>
    <x v="1"/>
    <s v="Electronics"/>
    <n v="7"/>
    <n v="42578"/>
    <n v="0.05"/>
    <n v="0.05"/>
    <m/>
    <n v="298046"/>
    <n v="283143.7"/>
    <n v="134855"/>
    <n v="148288.70000000001"/>
    <n v="0.52372240667901138"/>
  </r>
  <r>
    <s v="ORD0982"/>
    <x v="6"/>
    <x v="1"/>
    <s v="TN"/>
    <x v="0"/>
    <x v="3"/>
    <x v="1"/>
    <s v="Electronics"/>
    <n v="10"/>
    <n v="42117"/>
    <n v="0"/>
    <n v="0"/>
    <m/>
    <n v="421170"/>
    <n v="421170"/>
    <n v="73840"/>
    <n v="347330"/>
    <n v="0.82467887076477431"/>
  </r>
  <r>
    <s v="ORD0983"/>
    <x v="332"/>
    <x v="3"/>
    <s v="GJ"/>
    <x v="1"/>
    <x v="4"/>
    <x v="1"/>
    <s v="Electronics"/>
    <n v="4"/>
    <n v="23171"/>
    <m/>
    <n v="0"/>
    <m/>
    <n v="92684"/>
    <n v="92684"/>
    <n v="112184"/>
    <n v="-19500"/>
    <n v="-0.21039230072072851"/>
  </r>
  <r>
    <s v="ORD0984"/>
    <x v="200"/>
    <x v="1"/>
    <s v="GJ"/>
    <x v="0"/>
    <x v="1"/>
    <x v="1"/>
    <s v="Electronics"/>
    <n v="6"/>
    <n v="45708"/>
    <n v="0"/>
    <n v="0"/>
    <m/>
    <n v="274248"/>
    <n v="274248"/>
    <n v="115590"/>
    <n v="158658"/>
    <n v="0.57852017152358448"/>
  </r>
  <r>
    <s v="ORD0985"/>
    <x v="41"/>
    <x v="1"/>
    <s v="KA"/>
    <x v="1"/>
    <x v="5"/>
    <x v="0"/>
    <s v="Furniture"/>
    <n v="9"/>
    <n v="41435"/>
    <n v="0"/>
    <n v="0"/>
    <n v="20244"/>
    <n v="372915"/>
    <n v="372915"/>
    <n v="117360"/>
    <n v="255555"/>
    <n v="0.68529021358754671"/>
  </r>
  <r>
    <s v="ORD0986"/>
    <x v="7"/>
    <x v="3"/>
    <s v="GJ"/>
    <x v="2"/>
    <x v="5"/>
    <x v="0"/>
    <s v="Furniture"/>
    <n v="2"/>
    <n v="19098"/>
    <n v="0.05"/>
    <n v="0.05"/>
    <m/>
    <n v="38196"/>
    <n v="36286.199999999997"/>
    <n v="26080"/>
    <n v="10206.199999999997"/>
    <n v="0.28126946332214448"/>
  </r>
  <r>
    <s v="ORD0987"/>
    <x v="265"/>
    <x v="0"/>
    <s v="RJ"/>
    <x v="1"/>
    <x v="4"/>
    <x v="1"/>
    <s v="Electronics"/>
    <n v="7"/>
    <n v="11430"/>
    <m/>
    <n v="0"/>
    <m/>
    <n v="80010"/>
    <n v="80010"/>
    <n v="196322"/>
    <n v="-116312"/>
    <n v="-1.4537182852143482"/>
  </r>
  <r>
    <s v="ORD0988"/>
    <x v="145"/>
    <x v="1"/>
    <s v="TN"/>
    <x v="3"/>
    <x v="3"/>
    <x v="1"/>
    <s v="Electronics"/>
    <n v="10"/>
    <n v="8474"/>
    <n v="0"/>
    <n v="0"/>
    <m/>
    <n v="84740"/>
    <n v="84740"/>
    <n v="73840"/>
    <n v="10900"/>
    <n v="0.12862874675477934"/>
  </r>
  <r>
    <s v="ORD0989"/>
    <x v="69"/>
    <x v="2"/>
    <s v="GJ"/>
    <x v="1"/>
    <x v="2"/>
    <x v="1"/>
    <s v="Electronics"/>
    <n v="4"/>
    <n v="13622"/>
    <n v="0"/>
    <n v="0"/>
    <n v="29153"/>
    <n v="54488"/>
    <n v="54488"/>
    <n v="11552"/>
    <n v="42936"/>
    <n v="0.78799001615034503"/>
  </r>
  <r>
    <s v="ORD0990"/>
    <x v="271"/>
    <x v="0"/>
    <s v="MH"/>
    <x v="2"/>
    <x v="4"/>
    <x v="1"/>
    <s v="Electronics"/>
    <n v="7"/>
    <n v="22512"/>
    <n v="0.1"/>
    <n v="0.1"/>
    <m/>
    <n v="157584"/>
    <n v="141825.60000000001"/>
    <n v="196322"/>
    <n v="-54496.399999999994"/>
    <n v="-0.38424938798073122"/>
  </r>
  <r>
    <s v="ORD0991"/>
    <x v="70"/>
    <x v="0"/>
    <s v="TN"/>
    <x v="0"/>
    <x v="5"/>
    <x v="0"/>
    <s v="Furniture"/>
    <n v="8"/>
    <n v="42298"/>
    <n v="0.1"/>
    <n v="0.1"/>
    <n v="8454"/>
    <n v="338384"/>
    <n v="304545.59999999998"/>
    <n v="104320"/>
    <n v="200225.59999999998"/>
    <n v="0.65745688002059455"/>
  </r>
  <r>
    <s v="ORD0992"/>
    <x v="52"/>
    <x v="2"/>
    <s v="DL"/>
    <x v="2"/>
    <x v="2"/>
    <x v="1"/>
    <s v="Electronics"/>
    <n v="3"/>
    <n v="2302"/>
    <m/>
    <n v="0"/>
    <m/>
    <n v="6906"/>
    <n v="6906"/>
    <n v="8664"/>
    <n v="-1758"/>
    <n v="-0.25456125108601219"/>
  </r>
  <r>
    <s v="ORD0993"/>
    <x v="283"/>
    <x v="2"/>
    <s v="RJ"/>
    <x v="4"/>
    <x v="5"/>
    <x v="0"/>
    <s v="Furniture"/>
    <n v="4"/>
    <n v="21041"/>
    <n v="0"/>
    <n v="0"/>
    <n v="25106"/>
    <n v="84164"/>
    <n v="84164"/>
    <n v="52160"/>
    <n v="32004"/>
    <n v="0.38025759231975664"/>
  </r>
  <r>
    <s v="ORD0994"/>
    <x v="149"/>
    <x v="2"/>
    <s v="MH"/>
    <x v="2"/>
    <x v="3"/>
    <x v="1"/>
    <s v="Electronics"/>
    <n v="5"/>
    <n v="8789"/>
    <n v="0"/>
    <n v="0"/>
    <m/>
    <n v="43945"/>
    <n v="43945"/>
    <n v="36920"/>
    <n v="7025"/>
    <n v="0.15985891455228127"/>
  </r>
  <r>
    <s v="ORD0995"/>
    <x v="275"/>
    <x v="2"/>
    <s v="DL"/>
    <x v="1"/>
    <x v="4"/>
    <x v="1"/>
    <s v="Electronics"/>
    <n v="7"/>
    <n v="39046"/>
    <n v="0.1"/>
    <n v="0.1"/>
    <m/>
    <n v="273322"/>
    <n v="245989.8"/>
    <n v="196322"/>
    <n v="49667.799999999988"/>
    <n v="0.20190999789422159"/>
  </r>
  <r>
    <s v="ORD0996"/>
    <x v="250"/>
    <x v="2"/>
    <s v="GJ"/>
    <x v="4"/>
    <x v="4"/>
    <x v="1"/>
    <s v="Electronics"/>
    <n v="5"/>
    <n v="28936"/>
    <n v="0"/>
    <n v="0"/>
    <n v="5165"/>
    <n v="144680"/>
    <n v="144680"/>
    <n v="140230"/>
    <n v="4450"/>
    <n v="3.0757533867846281E-2"/>
  </r>
  <r>
    <s v="ORD0997"/>
    <x v="157"/>
    <x v="2"/>
    <s v="RJ"/>
    <x v="4"/>
    <x v="1"/>
    <x v="1"/>
    <s v="Electronics"/>
    <n v="5"/>
    <n v="28430"/>
    <n v="0.1"/>
    <n v="0.1"/>
    <n v="17430"/>
    <n v="142150"/>
    <n v="127935"/>
    <n v="96325"/>
    <n v="31610"/>
    <n v="0.2470785945988197"/>
  </r>
  <r>
    <s v="ORD0998"/>
    <x v="242"/>
    <x v="1"/>
    <s v="RJ"/>
    <x v="4"/>
    <x v="2"/>
    <x v="1"/>
    <s v="Electronics"/>
    <n v="2"/>
    <n v="14971"/>
    <n v="0.05"/>
    <n v="0.05"/>
    <m/>
    <n v="29942"/>
    <n v="28444.9"/>
    <n v="5776"/>
    <n v="22668.9"/>
    <n v="0.79694075212076687"/>
  </r>
  <r>
    <s v="ORD0999"/>
    <x v="66"/>
    <x v="2"/>
    <s v="MH"/>
    <x v="4"/>
    <x v="0"/>
    <x v="0"/>
    <s v="Furniture"/>
    <n v="6"/>
    <n v="38354"/>
    <m/>
    <n v="0"/>
    <m/>
    <n v="230124"/>
    <n v="230124"/>
    <n v="79626"/>
    <n v="150498"/>
    <n v="0.6539865463836888"/>
  </r>
  <r>
    <s v="ORD1000"/>
    <x v="96"/>
    <x v="3"/>
    <s v="KA"/>
    <x v="2"/>
    <x v="5"/>
    <x v="0"/>
    <s v="Furniture"/>
    <n v="1"/>
    <n v="7888"/>
    <m/>
    <n v="0"/>
    <m/>
    <n v="7888"/>
    <n v="7888"/>
    <n v="13040"/>
    <n v="-5152"/>
    <n v="-0.653144016227180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365E75-74D9-419D-80EA-965B9143098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C8" firstHeaderRow="0" firstDataRow="1" firstDataCol="1"/>
  <pivotFields count="20">
    <pivotField compact="0" outline="0" showAll="0"/>
    <pivotField compact="0" numFmtId="164" outline="0" showAll="0">
      <items count="334">
        <item x="284"/>
        <item x="184"/>
        <item x="259"/>
        <item x="228"/>
        <item x="328"/>
        <item x="140"/>
        <item x="177"/>
        <item x="239"/>
        <item x="64"/>
        <item x="182"/>
        <item x="71"/>
        <item x="201"/>
        <item x="158"/>
        <item x="188"/>
        <item x="234"/>
        <item x="94"/>
        <item x="66"/>
        <item x="3"/>
        <item x="105"/>
        <item x="93"/>
        <item x="162"/>
        <item x="27"/>
        <item x="155"/>
        <item x="304"/>
        <item x="254"/>
        <item x="212"/>
        <item x="141"/>
        <item x="174"/>
        <item x="67"/>
        <item x="326"/>
        <item x="194"/>
        <item x="54"/>
        <item x="215"/>
        <item x="62"/>
        <item x="36"/>
        <item x="227"/>
        <item x="183"/>
        <item x="77"/>
        <item x="133"/>
        <item x="264"/>
        <item x="245"/>
        <item x="31"/>
        <item x="167"/>
        <item x="156"/>
        <item x="5"/>
        <item x="272"/>
        <item x="309"/>
        <item x="16"/>
        <item x="109"/>
        <item x="173"/>
        <item x="85"/>
        <item x="33"/>
        <item x="143"/>
        <item x="24"/>
        <item x="150"/>
        <item x="70"/>
        <item x="114"/>
        <item x="121"/>
        <item x="88"/>
        <item x="224"/>
        <item x="299"/>
        <item x="319"/>
        <item x="102"/>
        <item x="229"/>
        <item x="271"/>
        <item x="154"/>
        <item x="125"/>
        <item x="86"/>
        <item x="50"/>
        <item x="151"/>
        <item x="132"/>
        <item x="265"/>
        <item x="220"/>
        <item x="100"/>
        <item x="187"/>
        <item x="249"/>
        <item x="123"/>
        <item x="104"/>
        <item x="257"/>
        <item x="113"/>
        <item x="48"/>
        <item x="115"/>
        <item x="288"/>
        <item x="82"/>
        <item x="186"/>
        <item x="198"/>
        <item x="17"/>
        <item x="107"/>
        <item x="84"/>
        <item x="294"/>
        <item x="267"/>
        <item x="92"/>
        <item x="119"/>
        <item x="116"/>
        <item x="35"/>
        <item x="295"/>
        <item x="46"/>
        <item x="13"/>
        <item x="15"/>
        <item x="76"/>
        <item x="205"/>
        <item x="127"/>
        <item x="163"/>
        <item x="171"/>
        <item x="209"/>
        <item x="210"/>
        <item x="19"/>
        <item x="9"/>
        <item x="324"/>
        <item x="23"/>
        <item x="276"/>
        <item x="238"/>
        <item x="168"/>
        <item x="164"/>
        <item x="181"/>
        <item x="73"/>
        <item x="291"/>
        <item x="12"/>
        <item x="68"/>
        <item x="219"/>
        <item x="289"/>
        <item x="280"/>
        <item x="41"/>
        <item x="285"/>
        <item x="260"/>
        <item x="306"/>
        <item x="42"/>
        <item x="147"/>
        <item x="122"/>
        <item x="266"/>
        <item x="108"/>
        <item x="253"/>
        <item x="170"/>
        <item x="138"/>
        <item x="274"/>
        <item x="91"/>
        <item x="191"/>
        <item x="11"/>
        <item x="96"/>
        <item x="286"/>
        <item x="185"/>
        <item x="316"/>
        <item x="152"/>
        <item x="89"/>
        <item x="139"/>
        <item x="75"/>
        <item x="51"/>
        <item x="44"/>
        <item x="39"/>
        <item x="137"/>
        <item x="157"/>
        <item x="246"/>
        <item x="283"/>
        <item x="197"/>
        <item x="293"/>
        <item x="117"/>
        <item x="237"/>
        <item x="99"/>
        <item x="101"/>
        <item x="268"/>
        <item x="314"/>
        <item x="296"/>
        <item x="81"/>
        <item x="302"/>
        <item x="279"/>
        <item x="298"/>
        <item x="57"/>
        <item x="7"/>
        <item x="178"/>
        <item x="281"/>
        <item x="22"/>
        <item x="179"/>
        <item x="160"/>
        <item x="307"/>
        <item x="207"/>
        <item x="159"/>
        <item x="97"/>
        <item x="118"/>
        <item x="145"/>
        <item x="223"/>
        <item x="103"/>
        <item x="21"/>
        <item x="214"/>
        <item x="270"/>
        <item x="166"/>
        <item x="72"/>
        <item x="248"/>
        <item x="204"/>
        <item x="261"/>
        <item x="146"/>
        <item x="112"/>
        <item x="0"/>
        <item x="269"/>
        <item x="300"/>
        <item x="61"/>
        <item x="213"/>
        <item x="106"/>
        <item x="206"/>
        <item x="318"/>
        <item x="149"/>
        <item x="292"/>
        <item x="226"/>
        <item x="83"/>
        <item x="301"/>
        <item x="43"/>
        <item x="329"/>
        <item x="169"/>
        <item x="256"/>
        <item x="193"/>
        <item x="180"/>
        <item x="322"/>
        <item x="176"/>
        <item x="243"/>
        <item x="1"/>
        <item x="120"/>
        <item x="29"/>
        <item x="8"/>
        <item x="136"/>
        <item x="258"/>
        <item x="308"/>
        <item x="153"/>
        <item x="172"/>
        <item x="282"/>
        <item x="199"/>
        <item x="40"/>
        <item x="325"/>
        <item x="135"/>
        <item x="79"/>
        <item x="232"/>
        <item x="28"/>
        <item x="330"/>
        <item x="327"/>
        <item x="236"/>
        <item x="14"/>
        <item x="189"/>
        <item x="235"/>
        <item x="320"/>
        <item x="203"/>
        <item x="303"/>
        <item x="297"/>
        <item x="126"/>
        <item x="58"/>
        <item x="331"/>
        <item x="34"/>
        <item x="30"/>
        <item x="59"/>
        <item x="95"/>
        <item x="211"/>
        <item x="196"/>
        <item x="148"/>
        <item x="47"/>
        <item x="130"/>
        <item x="18"/>
        <item x="255"/>
        <item x="233"/>
        <item x="305"/>
        <item x="200"/>
        <item x="312"/>
        <item x="240"/>
        <item x="69"/>
        <item x="317"/>
        <item x="218"/>
        <item x="65"/>
        <item x="275"/>
        <item x="192"/>
        <item x="208"/>
        <item x="277"/>
        <item x="221"/>
        <item x="53"/>
        <item x="90"/>
        <item x="37"/>
        <item x="80"/>
        <item x="195"/>
        <item x="63"/>
        <item x="247"/>
        <item x="56"/>
        <item x="310"/>
        <item x="190"/>
        <item x="241"/>
        <item x="251"/>
        <item x="290"/>
        <item x="250"/>
        <item x="242"/>
        <item x="225"/>
        <item x="161"/>
        <item x="55"/>
        <item x="332"/>
        <item x="131"/>
        <item x="98"/>
        <item x="52"/>
        <item x="129"/>
        <item x="74"/>
        <item x="313"/>
        <item x="230"/>
        <item x="321"/>
        <item x="6"/>
        <item x="49"/>
        <item x="38"/>
        <item x="128"/>
        <item x="134"/>
        <item x="142"/>
        <item x="2"/>
        <item x="20"/>
        <item x="110"/>
        <item x="202"/>
        <item x="252"/>
        <item x="273"/>
        <item x="315"/>
        <item x="4"/>
        <item x="278"/>
        <item x="323"/>
        <item x="222"/>
        <item x="60"/>
        <item x="244"/>
        <item x="26"/>
        <item x="45"/>
        <item x="165"/>
        <item x="124"/>
        <item x="32"/>
        <item x="263"/>
        <item x="287"/>
        <item x="311"/>
        <item x="217"/>
        <item x="144"/>
        <item x="10"/>
        <item x="231"/>
        <item x="78"/>
        <item x="87"/>
        <item x="262"/>
        <item x="216"/>
        <item x="25"/>
        <item x="175"/>
        <item x="111"/>
        <item t="default"/>
      </items>
    </pivotField>
    <pivotField axis="axisRow" compact="0" outline="0"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6">
        <item x="3"/>
        <item x="2"/>
        <item x="1"/>
        <item x="4"/>
        <item x="0"/>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numFmtId="10" outline="0" showAll="0"/>
    <pivotField compact="0" outline="0" showAll="0">
      <items count="15">
        <item x="0"/>
        <item x="1"/>
        <item x="2"/>
        <item x="3"/>
        <item x="4"/>
        <item x="5"/>
        <item x="6"/>
        <item x="7"/>
        <item x="8"/>
        <item x="9"/>
        <item x="10"/>
        <item x="11"/>
        <item x="12"/>
        <item x="13"/>
        <item t="default"/>
      </items>
    </pivotField>
    <pivotField compact="0" outline="0" showAll="0">
      <items count="5">
        <item x="0"/>
        <item x="1"/>
        <item x="2"/>
        <item x="3"/>
        <item t="default"/>
      </items>
    </pivotField>
  </pivotFields>
  <rowFields count="1">
    <field x="2"/>
  </rowFields>
  <rowItems count="5">
    <i>
      <x v="3"/>
    </i>
    <i>
      <x/>
    </i>
    <i>
      <x v="2"/>
    </i>
    <i>
      <x v="1"/>
    </i>
    <i t="grand">
      <x/>
    </i>
  </rowItems>
  <colFields count="1">
    <field x="-2"/>
  </colFields>
  <colItems count="2">
    <i>
      <x/>
    </i>
    <i i="1">
      <x v="1"/>
    </i>
  </colItems>
  <dataFields count="2">
    <dataField name="Sum of Net Sales" fld="14" baseField="2" baseItem="0" numFmtId="165"/>
    <dataField name="Sum of Profit" fld="16" baseField="2" baseItem="1" numFmtId="165"/>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BD1269-4013-434D-AC6A-8BA471D80D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7" firstHeaderRow="1" firstDataRow="1" firstDataCol="1"/>
  <pivotFields count="20">
    <pivotField showAll="0"/>
    <pivotField numFmtId="164" showAll="0">
      <items count="334">
        <item x="284"/>
        <item x="184"/>
        <item x="259"/>
        <item x="228"/>
        <item x="328"/>
        <item x="140"/>
        <item x="177"/>
        <item x="239"/>
        <item x="64"/>
        <item x="182"/>
        <item x="71"/>
        <item x="201"/>
        <item x="158"/>
        <item x="188"/>
        <item x="234"/>
        <item x="94"/>
        <item x="66"/>
        <item x="3"/>
        <item x="105"/>
        <item x="93"/>
        <item x="162"/>
        <item x="27"/>
        <item x="155"/>
        <item x="304"/>
        <item x="254"/>
        <item x="212"/>
        <item x="141"/>
        <item x="174"/>
        <item x="67"/>
        <item x="326"/>
        <item x="194"/>
        <item x="54"/>
        <item x="215"/>
        <item x="62"/>
        <item x="36"/>
        <item x="227"/>
        <item x="183"/>
        <item x="77"/>
        <item x="133"/>
        <item x="264"/>
        <item x="245"/>
        <item x="31"/>
        <item x="167"/>
        <item x="156"/>
        <item x="5"/>
        <item x="272"/>
        <item x="309"/>
        <item x="16"/>
        <item x="109"/>
        <item x="173"/>
        <item x="85"/>
        <item x="33"/>
        <item x="143"/>
        <item x="24"/>
        <item x="150"/>
        <item x="70"/>
        <item x="114"/>
        <item x="121"/>
        <item x="88"/>
        <item x="224"/>
        <item x="299"/>
        <item x="319"/>
        <item x="102"/>
        <item x="229"/>
        <item x="271"/>
        <item x="154"/>
        <item x="125"/>
        <item x="86"/>
        <item x="50"/>
        <item x="151"/>
        <item x="132"/>
        <item x="265"/>
        <item x="220"/>
        <item x="100"/>
        <item x="187"/>
        <item x="249"/>
        <item x="123"/>
        <item x="104"/>
        <item x="257"/>
        <item x="113"/>
        <item x="48"/>
        <item x="115"/>
        <item x="288"/>
        <item x="82"/>
        <item x="186"/>
        <item x="198"/>
        <item x="17"/>
        <item x="107"/>
        <item x="84"/>
        <item x="294"/>
        <item x="267"/>
        <item x="92"/>
        <item x="119"/>
        <item x="116"/>
        <item x="35"/>
        <item x="295"/>
        <item x="46"/>
        <item x="13"/>
        <item x="15"/>
        <item x="76"/>
        <item x="205"/>
        <item x="127"/>
        <item x="163"/>
        <item x="171"/>
        <item x="209"/>
        <item x="210"/>
        <item x="19"/>
        <item x="9"/>
        <item x="324"/>
        <item x="23"/>
        <item x="276"/>
        <item x="238"/>
        <item x="168"/>
        <item x="164"/>
        <item x="181"/>
        <item x="73"/>
        <item x="291"/>
        <item x="12"/>
        <item x="68"/>
        <item x="219"/>
        <item x="289"/>
        <item x="280"/>
        <item x="41"/>
        <item x="285"/>
        <item x="260"/>
        <item x="306"/>
        <item x="42"/>
        <item x="147"/>
        <item x="122"/>
        <item x="266"/>
        <item x="108"/>
        <item x="253"/>
        <item x="170"/>
        <item x="138"/>
        <item x="274"/>
        <item x="91"/>
        <item x="191"/>
        <item x="11"/>
        <item x="96"/>
        <item x="286"/>
        <item x="185"/>
        <item x="316"/>
        <item x="152"/>
        <item x="89"/>
        <item x="139"/>
        <item x="75"/>
        <item x="51"/>
        <item x="44"/>
        <item x="39"/>
        <item x="137"/>
        <item x="157"/>
        <item x="246"/>
        <item x="283"/>
        <item x="197"/>
        <item x="293"/>
        <item x="117"/>
        <item x="237"/>
        <item x="99"/>
        <item x="101"/>
        <item x="268"/>
        <item x="314"/>
        <item x="296"/>
        <item x="81"/>
        <item x="302"/>
        <item x="279"/>
        <item x="298"/>
        <item x="57"/>
        <item x="7"/>
        <item x="178"/>
        <item x="281"/>
        <item x="22"/>
        <item x="179"/>
        <item x="160"/>
        <item x="307"/>
        <item x="207"/>
        <item x="159"/>
        <item x="97"/>
        <item x="118"/>
        <item x="145"/>
        <item x="223"/>
        <item x="103"/>
        <item x="21"/>
        <item x="214"/>
        <item x="270"/>
        <item x="166"/>
        <item x="72"/>
        <item x="248"/>
        <item x="204"/>
        <item x="261"/>
        <item x="146"/>
        <item x="112"/>
        <item x="0"/>
        <item x="269"/>
        <item x="300"/>
        <item x="61"/>
        <item x="213"/>
        <item x="106"/>
        <item x="206"/>
        <item x="318"/>
        <item x="149"/>
        <item x="292"/>
        <item x="226"/>
        <item x="83"/>
        <item x="301"/>
        <item x="43"/>
        <item x="329"/>
        <item x="169"/>
        <item x="256"/>
        <item x="193"/>
        <item x="180"/>
        <item x="322"/>
        <item x="176"/>
        <item x="243"/>
        <item x="1"/>
        <item x="120"/>
        <item x="29"/>
        <item x="8"/>
        <item x="136"/>
        <item x="258"/>
        <item x="308"/>
        <item x="153"/>
        <item x="172"/>
        <item x="282"/>
        <item x="199"/>
        <item x="40"/>
        <item x="325"/>
        <item x="135"/>
        <item x="79"/>
        <item x="232"/>
        <item x="28"/>
        <item x="330"/>
        <item x="327"/>
        <item x="236"/>
        <item x="14"/>
        <item x="189"/>
        <item x="235"/>
        <item x="320"/>
        <item x="203"/>
        <item x="303"/>
        <item x="297"/>
        <item x="126"/>
        <item x="58"/>
        <item x="331"/>
        <item x="34"/>
        <item x="30"/>
        <item x="59"/>
        <item x="95"/>
        <item x="211"/>
        <item x="196"/>
        <item x="148"/>
        <item x="47"/>
        <item x="130"/>
        <item x="18"/>
        <item x="255"/>
        <item x="233"/>
        <item x="305"/>
        <item x="200"/>
        <item x="312"/>
        <item x="240"/>
        <item x="69"/>
        <item x="317"/>
        <item x="218"/>
        <item x="65"/>
        <item x="275"/>
        <item x="192"/>
        <item x="208"/>
        <item x="277"/>
        <item x="221"/>
        <item x="53"/>
        <item x="90"/>
        <item x="37"/>
        <item x="80"/>
        <item x="195"/>
        <item x="63"/>
        <item x="247"/>
        <item x="56"/>
        <item x="310"/>
        <item x="190"/>
        <item x="241"/>
        <item x="251"/>
        <item x="290"/>
        <item x="250"/>
        <item x="242"/>
        <item x="225"/>
        <item x="161"/>
        <item x="55"/>
        <item x="332"/>
        <item x="131"/>
        <item x="98"/>
        <item x="52"/>
        <item x="129"/>
        <item x="74"/>
        <item x="313"/>
        <item x="230"/>
        <item x="321"/>
        <item x="6"/>
        <item x="49"/>
        <item x="38"/>
        <item x="128"/>
        <item x="134"/>
        <item x="142"/>
        <item x="2"/>
        <item x="20"/>
        <item x="110"/>
        <item x="202"/>
        <item x="252"/>
        <item x="273"/>
        <item x="315"/>
        <item x="4"/>
        <item x="278"/>
        <item x="323"/>
        <item x="222"/>
        <item x="60"/>
        <item x="244"/>
        <item x="26"/>
        <item x="45"/>
        <item x="165"/>
        <item x="124"/>
        <item x="32"/>
        <item x="263"/>
        <item x="287"/>
        <item x="311"/>
        <item x="217"/>
        <item x="144"/>
        <item x="10"/>
        <item x="231"/>
        <item x="78"/>
        <item x="87"/>
        <item x="262"/>
        <item x="216"/>
        <item x="25"/>
        <item x="175"/>
        <item x="111"/>
        <item t="default"/>
      </items>
    </pivotField>
    <pivotField showAll="0">
      <items count="5">
        <item x="0"/>
        <item x="2"/>
        <item x="3"/>
        <item x="1"/>
        <item t="default"/>
      </items>
    </pivotField>
    <pivotField showAll="0"/>
    <pivotField showAll="0">
      <items count="6">
        <item x="3"/>
        <item x="2"/>
        <item x="1"/>
        <item x="4"/>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numFmtId="10" showAll="0"/>
    <pivotField axis="axisRow" showAll="0" sortType="ascending">
      <items count="15">
        <item x="1"/>
        <item x="2"/>
        <item x="3"/>
        <item x="4"/>
        <item x="5"/>
        <item x="6"/>
        <item x="7"/>
        <item x="8"/>
        <item x="9"/>
        <item x="10"/>
        <item x="11"/>
        <item x="12"/>
        <item x="0"/>
        <item x="13"/>
        <item t="default"/>
      </items>
    </pivotField>
    <pivotField axis="axisRow" showAll="0">
      <items count="5">
        <item x="0"/>
        <item x="1"/>
        <item x="2"/>
        <item x="3"/>
        <item t="default"/>
      </items>
    </pivotField>
  </pivotFields>
  <rowFields count="2">
    <field x="19"/>
    <field x="18"/>
  </rowFields>
  <rowItems count="14">
    <i>
      <x v="1"/>
    </i>
    <i r="1">
      <x/>
    </i>
    <i r="1">
      <x v="1"/>
    </i>
    <i r="1">
      <x v="2"/>
    </i>
    <i r="1">
      <x v="3"/>
    </i>
    <i r="1">
      <x v="4"/>
    </i>
    <i r="1">
      <x v="5"/>
    </i>
    <i r="1">
      <x v="6"/>
    </i>
    <i r="1">
      <x v="7"/>
    </i>
    <i r="1">
      <x v="8"/>
    </i>
    <i r="1">
      <x v="9"/>
    </i>
    <i r="1">
      <x v="10"/>
    </i>
    <i r="1">
      <x v="11"/>
    </i>
    <i t="grand">
      <x/>
    </i>
  </rowItems>
  <colItems count="1">
    <i/>
  </colItems>
  <dataFields count="1">
    <dataField name="Sum of Net Sales" fld="14" baseField="18" baseItem="6"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65B857-2896-4F1E-BCA8-28682FA538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0">
    <pivotField showAll="0"/>
    <pivotField numFmtId="164" showAll="0">
      <items count="334">
        <item x="284"/>
        <item x="184"/>
        <item x="259"/>
        <item x="228"/>
        <item x="328"/>
        <item x="140"/>
        <item x="177"/>
        <item x="239"/>
        <item x="64"/>
        <item x="182"/>
        <item x="71"/>
        <item x="201"/>
        <item x="158"/>
        <item x="188"/>
        <item x="234"/>
        <item x="94"/>
        <item x="66"/>
        <item x="3"/>
        <item x="105"/>
        <item x="93"/>
        <item x="162"/>
        <item x="27"/>
        <item x="155"/>
        <item x="304"/>
        <item x="254"/>
        <item x="212"/>
        <item x="141"/>
        <item x="174"/>
        <item x="67"/>
        <item x="326"/>
        <item x="194"/>
        <item x="54"/>
        <item x="215"/>
        <item x="62"/>
        <item x="36"/>
        <item x="227"/>
        <item x="183"/>
        <item x="77"/>
        <item x="133"/>
        <item x="264"/>
        <item x="245"/>
        <item x="31"/>
        <item x="167"/>
        <item x="156"/>
        <item x="5"/>
        <item x="272"/>
        <item x="309"/>
        <item x="16"/>
        <item x="109"/>
        <item x="173"/>
        <item x="85"/>
        <item x="33"/>
        <item x="143"/>
        <item x="24"/>
        <item x="150"/>
        <item x="70"/>
        <item x="114"/>
        <item x="121"/>
        <item x="88"/>
        <item x="224"/>
        <item x="299"/>
        <item x="319"/>
        <item x="102"/>
        <item x="229"/>
        <item x="271"/>
        <item x="154"/>
        <item x="125"/>
        <item x="86"/>
        <item x="50"/>
        <item x="151"/>
        <item x="132"/>
        <item x="265"/>
        <item x="220"/>
        <item x="100"/>
        <item x="187"/>
        <item x="249"/>
        <item x="123"/>
        <item x="104"/>
        <item x="257"/>
        <item x="113"/>
        <item x="48"/>
        <item x="115"/>
        <item x="288"/>
        <item x="82"/>
        <item x="186"/>
        <item x="198"/>
        <item x="17"/>
        <item x="107"/>
        <item x="84"/>
        <item x="294"/>
        <item x="267"/>
        <item x="92"/>
        <item x="119"/>
        <item x="116"/>
        <item x="35"/>
        <item x="295"/>
        <item x="46"/>
        <item x="13"/>
        <item x="15"/>
        <item x="76"/>
        <item x="205"/>
        <item x="127"/>
        <item x="163"/>
        <item x="171"/>
        <item x="209"/>
        <item x="210"/>
        <item x="19"/>
        <item x="9"/>
        <item x="324"/>
        <item x="23"/>
        <item x="276"/>
        <item x="238"/>
        <item x="168"/>
        <item x="164"/>
        <item x="181"/>
        <item x="73"/>
        <item x="291"/>
        <item x="12"/>
        <item x="68"/>
        <item x="219"/>
        <item x="289"/>
        <item x="280"/>
        <item x="41"/>
        <item x="285"/>
        <item x="260"/>
        <item x="306"/>
        <item x="42"/>
        <item x="147"/>
        <item x="122"/>
        <item x="266"/>
        <item x="108"/>
        <item x="253"/>
        <item x="170"/>
        <item x="138"/>
        <item x="274"/>
        <item x="91"/>
        <item x="191"/>
        <item x="11"/>
        <item x="96"/>
        <item x="286"/>
        <item x="185"/>
        <item x="316"/>
        <item x="152"/>
        <item x="89"/>
        <item x="139"/>
        <item x="75"/>
        <item x="51"/>
        <item x="44"/>
        <item x="39"/>
        <item x="137"/>
        <item x="157"/>
        <item x="246"/>
        <item x="283"/>
        <item x="197"/>
        <item x="293"/>
        <item x="117"/>
        <item x="237"/>
        <item x="99"/>
        <item x="101"/>
        <item x="268"/>
        <item x="314"/>
        <item x="296"/>
        <item x="81"/>
        <item x="302"/>
        <item x="279"/>
        <item x="298"/>
        <item x="57"/>
        <item x="7"/>
        <item x="178"/>
        <item x="281"/>
        <item x="22"/>
        <item x="179"/>
        <item x="160"/>
        <item x="307"/>
        <item x="207"/>
        <item x="159"/>
        <item x="97"/>
        <item x="118"/>
        <item x="145"/>
        <item x="223"/>
        <item x="103"/>
        <item x="21"/>
        <item x="214"/>
        <item x="270"/>
        <item x="166"/>
        <item x="72"/>
        <item x="248"/>
        <item x="204"/>
        <item x="261"/>
        <item x="146"/>
        <item x="112"/>
        <item x="0"/>
        <item x="269"/>
        <item x="300"/>
        <item x="61"/>
        <item x="213"/>
        <item x="106"/>
        <item x="206"/>
        <item x="318"/>
        <item x="149"/>
        <item x="292"/>
        <item x="226"/>
        <item x="83"/>
        <item x="301"/>
        <item x="43"/>
        <item x="329"/>
        <item x="169"/>
        <item x="256"/>
        <item x="193"/>
        <item x="180"/>
        <item x="322"/>
        <item x="176"/>
        <item x="243"/>
        <item x="1"/>
        <item x="120"/>
        <item x="29"/>
        <item x="8"/>
        <item x="136"/>
        <item x="258"/>
        <item x="308"/>
        <item x="153"/>
        <item x="172"/>
        <item x="282"/>
        <item x="199"/>
        <item x="40"/>
        <item x="325"/>
        <item x="135"/>
        <item x="79"/>
        <item x="232"/>
        <item x="28"/>
        <item x="330"/>
        <item x="327"/>
        <item x="236"/>
        <item x="14"/>
        <item x="189"/>
        <item x="235"/>
        <item x="320"/>
        <item x="203"/>
        <item x="303"/>
        <item x="297"/>
        <item x="126"/>
        <item x="58"/>
        <item x="331"/>
        <item x="34"/>
        <item x="30"/>
        <item x="59"/>
        <item x="95"/>
        <item x="211"/>
        <item x="196"/>
        <item x="148"/>
        <item x="47"/>
        <item x="130"/>
        <item x="18"/>
        <item x="255"/>
        <item x="233"/>
        <item x="305"/>
        <item x="200"/>
        <item x="312"/>
        <item x="240"/>
        <item x="69"/>
        <item x="317"/>
        <item x="218"/>
        <item x="65"/>
        <item x="275"/>
        <item x="192"/>
        <item x="208"/>
        <item x="277"/>
        <item x="221"/>
        <item x="53"/>
        <item x="90"/>
        <item x="37"/>
        <item x="80"/>
        <item x="195"/>
        <item x="63"/>
        <item x="247"/>
        <item x="56"/>
        <item x="310"/>
        <item x="190"/>
        <item x="241"/>
        <item x="251"/>
        <item x="290"/>
        <item x="250"/>
        <item x="242"/>
        <item x="225"/>
        <item x="161"/>
        <item x="55"/>
        <item x="332"/>
        <item x="131"/>
        <item x="98"/>
        <item x="52"/>
        <item x="129"/>
        <item x="74"/>
        <item x="313"/>
        <item x="230"/>
        <item x="321"/>
        <item x="6"/>
        <item x="49"/>
        <item x="38"/>
        <item x="128"/>
        <item x="134"/>
        <item x="142"/>
        <item x="2"/>
        <item x="20"/>
        <item x="110"/>
        <item x="202"/>
        <item x="252"/>
        <item x="273"/>
        <item x="315"/>
        <item x="4"/>
        <item x="278"/>
        <item x="323"/>
        <item x="222"/>
        <item x="60"/>
        <item x="244"/>
        <item x="26"/>
        <item x="45"/>
        <item x="165"/>
        <item x="124"/>
        <item x="32"/>
        <item x="263"/>
        <item x="287"/>
        <item x="311"/>
        <item x="217"/>
        <item x="144"/>
        <item x="10"/>
        <item x="231"/>
        <item x="78"/>
        <item x="87"/>
        <item x="262"/>
        <item x="216"/>
        <item x="25"/>
        <item x="175"/>
        <item x="111"/>
        <item t="default"/>
      </items>
    </pivotField>
    <pivotField showAll="0">
      <items count="5">
        <item x="0"/>
        <item x="2"/>
        <item x="3"/>
        <item x="1"/>
        <item t="default"/>
      </items>
    </pivotField>
    <pivotField showAll="0"/>
    <pivotField showAll="0">
      <items count="6">
        <item x="3"/>
        <item x="2"/>
        <item x="1"/>
        <item x="4"/>
        <item x="0"/>
        <item t="default"/>
      </items>
    </pivotField>
    <pivotField axis="axisRow" showAll="0" measureFilter="1" sortType="descending">
      <items count="7">
        <item x="0"/>
        <item x="5"/>
        <item x="1"/>
        <item x="2"/>
        <item x="4"/>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numFmtId="10" showAll="0"/>
    <pivotField showAll="0" defaultSubtotal="0"/>
    <pivotField showAll="0" defaultSubtotal="0">
      <items count="4">
        <item x="0"/>
        <item x="1"/>
        <item x="2"/>
        <item x="3"/>
      </items>
    </pivotField>
  </pivotFields>
  <rowFields count="1">
    <field x="5"/>
  </rowFields>
  <rowItems count="6">
    <i>
      <x v="2"/>
    </i>
    <i>
      <x v="1"/>
    </i>
    <i>
      <x v="4"/>
    </i>
    <i>
      <x v="5"/>
    </i>
    <i>
      <x v="3"/>
    </i>
    <i t="grand">
      <x/>
    </i>
  </rowItems>
  <colItems count="1">
    <i/>
  </colItems>
  <dataFields count="1">
    <dataField name="Sum of Net Sales" fld="14" baseField="5" baseItem="0" numFmtId="165"/>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D95F7A-F873-4EC7-89C7-1369A2E80F6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20">
    <pivotField showAll="0"/>
    <pivotField numFmtId="164" showAll="0">
      <items count="334">
        <item x="284"/>
        <item x="184"/>
        <item x="259"/>
        <item x="228"/>
        <item x="328"/>
        <item x="140"/>
        <item x="177"/>
        <item x="239"/>
        <item x="64"/>
        <item x="182"/>
        <item x="71"/>
        <item x="201"/>
        <item x="158"/>
        <item x="188"/>
        <item x="234"/>
        <item x="94"/>
        <item x="66"/>
        <item x="3"/>
        <item x="105"/>
        <item x="93"/>
        <item x="162"/>
        <item x="27"/>
        <item x="155"/>
        <item x="304"/>
        <item x="254"/>
        <item x="212"/>
        <item x="141"/>
        <item x="174"/>
        <item x="67"/>
        <item x="326"/>
        <item x="194"/>
        <item x="54"/>
        <item x="215"/>
        <item x="62"/>
        <item x="36"/>
        <item x="227"/>
        <item x="183"/>
        <item x="77"/>
        <item x="133"/>
        <item x="264"/>
        <item x="245"/>
        <item x="31"/>
        <item x="167"/>
        <item x="156"/>
        <item x="5"/>
        <item x="272"/>
        <item x="309"/>
        <item x="16"/>
        <item x="109"/>
        <item x="173"/>
        <item x="85"/>
        <item x="33"/>
        <item x="143"/>
        <item x="24"/>
        <item x="150"/>
        <item x="70"/>
        <item x="114"/>
        <item x="121"/>
        <item x="88"/>
        <item x="224"/>
        <item x="299"/>
        <item x="319"/>
        <item x="102"/>
        <item x="229"/>
        <item x="271"/>
        <item x="154"/>
        <item x="125"/>
        <item x="86"/>
        <item x="50"/>
        <item x="151"/>
        <item x="132"/>
        <item x="265"/>
        <item x="220"/>
        <item x="100"/>
        <item x="187"/>
        <item x="249"/>
        <item x="123"/>
        <item x="104"/>
        <item x="257"/>
        <item x="113"/>
        <item x="48"/>
        <item x="115"/>
        <item x="288"/>
        <item x="82"/>
        <item x="186"/>
        <item x="198"/>
        <item x="17"/>
        <item x="107"/>
        <item x="84"/>
        <item x="294"/>
        <item x="267"/>
        <item x="92"/>
        <item x="119"/>
        <item x="116"/>
        <item x="35"/>
        <item x="295"/>
        <item x="46"/>
        <item x="13"/>
        <item x="15"/>
        <item x="76"/>
        <item x="205"/>
        <item x="127"/>
        <item x="163"/>
        <item x="171"/>
        <item x="209"/>
        <item x="210"/>
        <item x="19"/>
        <item x="9"/>
        <item x="324"/>
        <item x="23"/>
        <item x="276"/>
        <item x="238"/>
        <item x="168"/>
        <item x="164"/>
        <item x="181"/>
        <item x="73"/>
        <item x="291"/>
        <item x="12"/>
        <item x="68"/>
        <item x="219"/>
        <item x="289"/>
        <item x="280"/>
        <item x="41"/>
        <item x="285"/>
        <item x="260"/>
        <item x="306"/>
        <item x="42"/>
        <item x="147"/>
        <item x="122"/>
        <item x="266"/>
        <item x="108"/>
        <item x="253"/>
        <item x="170"/>
        <item x="138"/>
        <item x="274"/>
        <item x="91"/>
        <item x="191"/>
        <item x="11"/>
        <item x="96"/>
        <item x="286"/>
        <item x="185"/>
        <item x="316"/>
        <item x="152"/>
        <item x="89"/>
        <item x="139"/>
        <item x="75"/>
        <item x="51"/>
        <item x="44"/>
        <item x="39"/>
        <item x="137"/>
        <item x="157"/>
        <item x="246"/>
        <item x="283"/>
        <item x="197"/>
        <item x="293"/>
        <item x="117"/>
        <item x="237"/>
        <item x="99"/>
        <item x="101"/>
        <item x="268"/>
        <item x="314"/>
        <item x="296"/>
        <item x="81"/>
        <item x="302"/>
        <item x="279"/>
        <item x="298"/>
        <item x="57"/>
        <item x="7"/>
        <item x="178"/>
        <item x="281"/>
        <item x="22"/>
        <item x="179"/>
        <item x="160"/>
        <item x="307"/>
        <item x="207"/>
        <item x="159"/>
        <item x="97"/>
        <item x="118"/>
        <item x="145"/>
        <item x="223"/>
        <item x="103"/>
        <item x="21"/>
        <item x="214"/>
        <item x="270"/>
        <item x="166"/>
        <item x="72"/>
        <item x="248"/>
        <item x="204"/>
        <item x="261"/>
        <item x="146"/>
        <item x="112"/>
        <item x="0"/>
        <item x="269"/>
        <item x="300"/>
        <item x="61"/>
        <item x="213"/>
        <item x="106"/>
        <item x="206"/>
        <item x="318"/>
        <item x="149"/>
        <item x="292"/>
        <item x="226"/>
        <item x="83"/>
        <item x="301"/>
        <item x="43"/>
        <item x="329"/>
        <item x="169"/>
        <item x="256"/>
        <item x="193"/>
        <item x="180"/>
        <item x="322"/>
        <item x="176"/>
        <item x="243"/>
        <item x="1"/>
        <item x="120"/>
        <item x="29"/>
        <item x="8"/>
        <item x="136"/>
        <item x="258"/>
        <item x="308"/>
        <item x="153"/>
        <item x="172"/>
        <item x="282"/>
        <item x="199"/>
        <item x="40"/>
        <item x="325"/>
        <item x="135"/>
        <item x="79"/>
        <item x="232"/>
        <item x="28"/>
        <item x="330"/>
        <item x="327"/>
        <item x="236"/>
        <item x="14"/>
        <item x="189"/>
        <item x="235"/>
        <item x="320"/>
        <item x="203"/>
        <item x="303"/>
        <item x="297"/>
        <item x="126"/>
        <item x="58"/>
        <item x="331"/>
        <item x="34"/>
        <item x="30"/>
        <item x="59"/>
        <item x="95"/>
        <item x="211"/>
        <item x="196"/>
        <item x="148"/>
        <item x="47"/>
        <item x="130"/>
        <item x="18"/>
        <item x="255"/>
        <item x="233"/>
        <item x="305"/>
        <item x="200"/>
        <item x="312"/>
        <item x="240"/>
        <item x="69"/>
        <item x="317"/>
        <item x="218"/>
        <item x="65"/>
        <item x="275"/>
        <item x="192"/>
        <item x="208"/>
        <item x="277"/>
        <item x="221"/>
        <item x="53"/>
        <item x="90"/>
        <item x="37"/>
        <item x="80"/>
        <item x="195"/>
        <item x="63"/>
        <item x="247"/>
        <item x="56"/>
        <item x="310"/>
        <item x="190"/>
        <item x="241"/>
        <item x="251"/>
        <item x="290"/>
        <item x="250"/>
        <item x="242"/>
        <item x="225"/>
        <item x="161"/>
        <item x="55"/>
        <item x="332"/>
        <item x="131"/>
        <item x="98"/>
        <item x="52"/>
        <item x="129"/>
        <item x="74"/>
        <item x="313"/>
        <item x="230"/>
        <item x="321"/>
        <item x="6"/>
        <item x="49"/>
        <item x="38"/>
        <item x="128"/>
        <item x="134"/>
        <item x="142"/>
        <item x="2"/>
        <item x="20"/>
        <item x="110"/>
        <item x="202"/>
        <item x="252"/>
        <item x="273"/>
        <item x="315"/>
        <item x="4"/>
        <item x="278"/>
        <item x="323"/>
        <item x="222"/>
        <item x="60"/>
        <item x="244"/>
        <item x="26"/>
        <item x="45"/>
        <item x="165"/>
        <item x="124"/>
        <item x="32"/>
        <item x="263"/>
        <item x="287"/>
        <item x="311"/>
        <item x="217"/>
        <item x="144"/>
        <item x="10"/>
        <item x="231"/>
        <item x="78"/>
        <item x="87"/>
        <item x="262"/>
        <item x="216"/>
        <item x="25"/>
        <item x="175"/>
        <item x="111"/>
        <item t="default"/>
      </items>
    </pivotField>
    <pivotField showAll="0">
      <items count="5">
        <item x="0"/>
        <item x="2"/>
        <item x="3"/>
        <item x="1"/>
        <item t="default"/>
      </items>
    </pivotField>
    <pivotField showAll="0"/>
    <pivotField axis="axisRow" showAll="0" sortType="descending">
      <items count="6">
        <item x="3"/>
        <item x="2"/>
        <item x="1"/>
        <item x="4"/>
        <item x="0"/>
        <item t="default"/>
      </items>
      <autoSortScope>
        <pivotArea dataOnly="0" outline="0" fieldPosition="0">
          <references count="1">
            <reference field="4294967294" count="1" selected="0">
              <x v="1"/>
            </reference>
          </references>
        </pivotArea>
      </autoSortScope>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dataField="1" showAll="0"/>
    <pivotField numFmtId="10" showAll="0"/>
    <pivotField showAll="0" defaultSubtotal="0"/>
    <pivotField showAll="0" defaultSubtotal="0">
      <items count="4">
        <item x="0"/>
        <item x="1"/>
        <item x="2"/>
        <item x="3"/>
      </items>
    </pivotField>
  </pivotFields>
  <rowFields count="1">
    <field x="4"/>
  </rowFields>
  <rowItems count="6">
    <i>
      <x v="4"/>
    </i>
    <i>
      <x/>
    </i>
    <i>
      <x v="1"/>
    </i>
    <i>
      <x v="2"/>
    </i>
    <i>
      <x v="3"/>
    </i>
    <i t="grand">
      <x/>
    </i>
  </rowItems>
  <colFields count="1">
    <field x="-2"/>
  </colFields>
  <colItems count="2">
    <i>
      <x/>
    </i>
    <i i="1">
      <x v="1"/>
    </i>
  </colItems>
  <dataFields count="2">
    <dataField name="Sum of Profit" fld="16" baseField="4" baseItem="0" numFmtId="165"/>
    <dataField name="Sum of Net Sales" fld="14" baseField="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194EB3-0393-47F7-B86E-1F35CD676D96}" sourceName="Region">
  <pivotTables>
    <pivotTable tabId="5" name="PivotTable1"/>
    <pivotTable tabId="4" name="PivotTable1"/>
    <pivotTable tabId="7" name="PivotTable3"/>
    <pivotTable tabId="6" name="PivotTable2"/>
  </pivotTables>
  <data>
    <tabular pivotCacheId="786433825">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0B27841-5C75-46F1-8E26-981EAC5EAEC5}" sourceName="Salesperson">
  <pivotTables>
    <pivotTable tabId="5" name="PivotTable1"/>
    <pivotTable tabId="4" name="PivotTable1"/>
    <pivotTable tabId="7" name="PivotTable3"/>
    <pivotTable tabId="6" name="PivotTable2"/>
  </pivotTables>
  <data>
    <tabular pivotCacheId="786433825">
      <items count="5">
        <i x="3" s="1"/>
        <i x="2"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Fetched" xr10:uid="{5A88334E-A899-4EEE-80DA-3CBA4C26FB7A}" sourceName="Category_Fetched">
  <pivotTables>
    <pivotTable tabId="5" name="PivotTable1"/>
    <pivotTable tabId="4" name="PivotTable1"/>
    <pivotTable tabId="7" name="PivotTable3"/>
    <pivotTable tabId="6" name="PivotTable2"/>
  </pivotTables>
  <data>
    <tabular pivotCacheId="78643382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CB5B71D-35AB-40A0-B80E-F863B50BE279}" cache="Slicer_Region" caption="Region" style="SlicerStyleLight1 2" rowHeight="234950"/>
  <slicer name="Salesperson 1" xr10:uid="{223E3F10-DF76-4809-AF4C-A21870CC05AD}" cache="Slicer_Salesperson" caption="Salesperson" style="SlicerStyleLight1 2" rowHeight="234950"/>
  <slicer name="Category_Fetched 1" xr10:uid="{8F9C559A-5139-419A-A526-8EF3E43F83FC}" cache="Slicer_Category_Fetched" caption="Category_Fetched" style="SlicerStyleLight1 2" rowHeight="234950"/>
</slicers>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A32FE-7292-4FC0-B026-4B47CD5E4148}">
  <dimension ref="A3:C12"/>
  <sheetViews>
    <sheetView workbookViewId="0">
      <selection activeCell="I5" sqref="A1:XFD1048576"/>
    </sheetView>
  </sheetViews>
  <sheetFormatPr defaultRowHeight="14.4" x14ac:dyDescent="0.3"/>
  <cols>
    <col min="1" max="1" width="10.77734375" bestFit="1" customWidth="1"/>
    <col min="2" max="2" width="15.77734375" bestFit="1" customWidth="1"/>
    <col min="3" max="3" width="14.77734375" bestFit="1" customWidth="1"/>
  </cols>
  <sheetData>
    <row r="3" spans="1:3" x14ac:dyDescent="0.3">
      <c r="A3" s="3" t="s">
        <v>0</v>
      </c>
      <c r="B3" t="s">
        <v>1</v>
      </c>
      <c r="C3" t="s">
        <v>2</v>
      </c>
    </row>
    <row r="4" spans="1:3" x14ac:dyDescent="0.3">
      <c r="A4" t="s">
        <v>3</v>
      </c>
      <c r="B4" s="4">
        <v>35441354.899999991</v>
      </c>
      <c r="C4" s="4">
        <v>14659571.899999999</v>
      </c>
    </row>
    <row r="5" spans="1:3" x14ac:dyDescent="0.3">
      <c r="A5" t="s">
        <v>4</v>
      </c>
      <c r="B5" s="4">
        <v>34750453.95000001</v>
      </c>
      <c r="C5" s="4">
        <v>14298079.950000001</v>
      </c>
    </row>
    <row r="6" spans="1:3" x14ac:dyDescent="0.3">
      <c r="A6" t="s">
        <v>5</v>
      </c>
      <c r="B6" s="4">
        <v>33255424.950000003</v>
      </c>
      <c r="C6" s="4">
        <v>13234377.949999994</v>
      </c>
    </row>
    <row r="7" spans="1:3" x14ac:dyDescent="0.3">
      <c r="A7" t="s">
        <v>6</v>
      </c>
      <c r="B7" s="4">
        <v>31196597.65000001</v>
      </c>
      <c r="C7" s="4">
        <v>12740409.650000004</v>
      </c>
    </row>
    <row r="8" spans="1:3" x14ac:dyDescent="0.3">
      <c r="A8" t="s">
        <v>7</v>
      </c>
      <c r="B8" s="4">
        <v>134643831.45000002</v>
      </c>
      <c r="C8" s="4">
        <v>54932439.449999996</v>
      </c>
    </row>
    <row r="9" spans="1:3" x14ac:dyDescent="0.3">
      <c r="B9" s="9">
        <f>GETPIVOTDATA("Sum of Net Sales",$A$3)</f>
        <v>134643831.45000002</v>
      </c>
      <c r="C9" s="10">
        <f>GETPIVOTDATA("Sum of Profit",$A$3)</f>
        <v>54932439.449999996</v>
      </c>
    </row>
    <row r="12" spans="1:3" x14ac:dyDescent="0.3">
      <c r="A12" t="s">
        <v>47</v>
      </c>
      <c r="B12" s="8">
        <f>C9/B9</f>
        <v>0.40798333542966025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1A926-39FF-4D1E-9E5F-D8E64EC8EB20}">
  <dimension ref="A3:B17"/>
  <sheetViews>
    <sheetView workbookViewId="0">
      <selection activeCell="H19" sqref="H19"/>
    </sheetView>
  </sheetViews>
  <sheetFormatPr defaultRowHeight="14.4" x14ac:dyDescent="0.3"/>
  <cols>
    <col min="1" max="1" width="12.5546875" bestFit="1" customWidth="1"/>
    <col min="2" max="2" width="15.77734375" bestFit="1" customWidth="1"/>
  </cols>
  <sheetData>
    <row r="3" spans="1:2" x14ac:dyDescent="0.3">
      <c r="A3" s="3" t="s">
        <v>8</v>
      </c>
      <c r="B3" t="s">
        <v>1</v>
      </c>
    </row>
    <row r="4" spans="1:2" x14ac:dyDescent="0.3">
      <c r="A4" s="5" t="s">
        <v>9</v>
      </c>
      <c r="B4" s="4">
        <v>134643831.45000002</v>
      </c>
    </row>
    <row r="5" spans="1:2" x14ac:dyDescent="0.3">
      <c r="A5" s="6" t="s">
        <v>10</v>
      </c>
      <c r="B5" s="4">
        <v>12049850.450000001</v>
      </c>
    </row>
    <row r="6" spans="1:2" x14ac:dyDescent="0.3">
      <c r="A6" s="6" t="s">
        <v>11</v>
      </c>
      <c r="B6" s="4">
        <v>11624510.749999998</v>
      </c>
    </row>
    <row r="7" spans="1:2" x14ac:dyDescent="0.3">
      <c r="A7" s="6" t="s">
        <v>12</v>
      </c>
      <c r="B7" s="4">
        <v>11738509.749999998</v>
      </c>
    </row>
    <row r="8" spans="1:2" x14ac:dyDescent="0.3">
      <c r="A8" s="6" t="s">
        <v>13</v>
      </c>
      <c r="B8" s="4">
        <v>11563071.749999998</v>
      </c>
    </row>
    <row r="9" spans="1:2" x14ac:dyDescent="0.3">
      <c r="A9" s="6" t="s">
        <v>14</v>
      </c>
      <c r="B9" s="4">
        <v>12858819.4</v>
      </c>
    </row>
    <row r="10" spans="1:2" x14ac:dyDescent="0.3">
      <c r="A10" s="6" t="s">
        <v>15</v>
      </c>
      <c r="B10" s="4">
        <v>10720336.099999998</v>
      </c>
    </row>
    <row r="11" spans="1:2" x14ac:dyDescent="0.3">
      <c r="A11" s="6" t="s">
        <v>16</v>
      </c>
      <c r="B11" s="4">
        <v>9789583.1999999993</v>
      </c>
    </row>
    <row r="12" spans="1:2" x14ac:dyDescent="0.3">
      <c r="A12" s="6" t="s">
        <v>17</v>
      </c>
      <c r="B12" s="4">
        <v>10397071.9</v>
      </c>
    </row>
    <row r="13" spans="1:2" x14ac:dyDescent="0.3">
      <c r="A13" s="6" t="s">
        <v>18</v>
      </c>
      <c r="B13" s="4">
        <v>8724617.4999999981</v>
      </c>
    </row>
    <row r="14" spans="1:2" x14ac:dyDescent="0.3">
      <c r="A14" s="6" t="s">
        <v>19</v>
      </c>
      <c r="B14" s="4">
        <v>11253294.65</v>
      </c>
    </row>
    <row r="15" spans="1:2" x14ac:dyDescent="0.3">
      <c r="A15" s="6" t="s">
        <v>20</v>
      </c>
      <c r="B15" s="4">
        <v>12412819.700000001</v>
      </c>
    </row>
    <row r="16" spans="1:2" x14ac:dyDescent="0.3">
      <c r="A16" s="6" t="s">
        <v>21</v>
      </c>
      <c r="B16" s="4">
        <v>11511346.300000003</v>
      </c>
    </row>
    <row r="17" spans="1:2" x14ac:dyDescent="0.3">
      <c r="A17" s="5" t="s">
        <v>7</v>
      </c>
      <c r="B17" s="4">
        <v>134643831.45000002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E575C-31A4-469B-A322-63C6EAB385C7}">
  <dimension ref="A3:B9"/>
  <sheetViews>
    <sheetView topLeftCell="A3" workbookViewId="0">
      <selection activeCell="B5" sqref="B5"/>
    </sheetView>
  </sheetViews>
  <sheetFormatPr defaultRowHeight="14.4" x14ac:dyDescent="0.3"/>
  <cols>
    <col min="1" max="1" width="12.5546875" bestFit="1" customWidth="1"/>
    <col min="2" max="2" width="15.77734375" bestFit="1" customWidth="1"/>
  </cols>
  <sheetData>
    <row r="3" spans="1:2" x14ac:dyDescent="0.3">
      <c r="A3" s="3" t="s">
        <v>8</v>
      </c>
      <c r="B3" t="s">
        <v>1</v>
      </c>
    </row>
    <row r="4" spans="1:2" x14ac:dyDescent="0.3">
      <c r="A4" s="5" t="s">
        <v>23</v>
      </c>
      <c r="B4" s="4">
        <v>24677543.300000008</v>
      </c>
    </row>
    <row r="5" spans="1:2" x14ac:dyDescent="0.3">
      <c r="A5" s="5" t="s">
        <v>22</v>
      </c>
      <c r="B5" s="4">
        <v>23970747.40000001</v>
      </c>
    </row>
    <row r="6" spans="1:2" x14ac:dyDescent="0.3">
      <c r="A6" s="5" t="s">
        <v>24</v>
      </c>
      <c r="B6" s="4">
        <v>23393985.250000004</v>
      </c>
    </row>
    <row r="7" spans="1:2" x14ac:dyDescent="0.3">
      <c r="A7" s="5" t="s">
        <v>61</v>
      </c>
      <c r="B7" s="4">
        <v>23082613.400000006</v>
      </c>
    </row>
    <row r="8" spans="1:2" x14ac:dyDescent="0.3">
      <c r="A8" s="5" t="s">
        <v>58</v>
      </c>
      <c r="B8" s="4">
        <v>21632256.949999996</v>
      </c>
    </row>
    <row r="9" spans="1:2" x14ac:dyDescent="0.3">
      <c r="A9" s="5" t="s">
        <v>7</v>
      </c>
      <c r="B9" s="4">
        <v>116757146.30000001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FC95B-E90F-4F66-988E-B8B80E459A5A}">
  <dimension ref="A3:C9"/>
  <sheetViews>
    <sheetView workbookViewId="0">
      <selection activeCell="C3" sqref="C3"/>
    </sheetView>
  </sheetViews>
  <sheetFormatPr defaultRowHeight="14.4" x14ac:dyDescent="0.3"/>
  <cols>
    <col min="1" max="1" width="12.5546875" bestFit="1" customWidth="1"/>
    <col min="2" max="2" width="14.77734375" bestFit="1" customWidth="1"/>
    <col min="3" max="3" width="15.77734375" bestFit="1" customWidth="1"/>
  </cols>
  <sheetData>
    <row r="3" spans="1:3" x14ac:dyDescent="0.3">
      <c r="A3" s="3" t="s">
        <v>8</v>
      </c>
      <c r="B3" t="s">
        <v>2</v>
      </c>
      <c r="C3" t="s">
        <v>1</v>
      </c>
    </row>
    <row r="4" spans="1:3" x14ac:dyDescent="0.3">
      <c r="A4" s="5" t="s">
        <v>25</v>
      </c>
      <c r="B4" s="4">
        <v>11643235.300000001</v>
      </c>
      <c r="C4" s="4">
        <v>27582502.300000001</v>
      </c>
    </row>
    <row r="5" spans="1:3" x14ac:dyDescent="0.3">
      <c r="A5" s="5" t="s">
        <v>26</v>
      </c>
      <c r="B5" s="4">
        <v>11354835.549999999</v>
      </c>
      <c r="C5" s="4">
        <v>27419884.550000012</v>
      </c>
    </row>
    <row r="6" spans="1:3" x14ac:dyDescent="0.3">
      <c r="A6" s="5" t="s">
        <v>27</v>
      </c>
      <c r="B6" s="4">
        <v>11317796.949999999</v>
      </c>
      <c r="C6" s="4">
        <v>26856379.949999996</v>
      </c>
    </row>
    <row r="7" spans="1:3" x14ac:dyDescent="0.3">
      <c r="A7" s="5" t="s">
        <v>28</v>
      </c>
      <c r="B7" s="4">
        <v>10250729.649999999</v>
      </c>
      <c r="C7" s="4">
        <v>26655417.65000001</v>
      </c>
    </row>
    <row r="8" spans="1:3" x14ac:dyDescent="0.3">
      <c r="A8" s="5" t="s">
        <v>29</v>
      </c>
      <c r="B8" s="4">
        <v>10365842.000000002</v>
      </c>
      <c r="C8" s="4">
        <v>26129646.999999993</v>
      </c>
    </row>
    <row r="9" spans="1:3" x14ac:dyDescent="0.3">
      <c r="A9" s="5" t="s">
        <v>7</v>
      </c>
      <c r="B9" s="4">
        <v>54932439.450000003</v>
      </c>
      <c r="C9" s="4">
        <v>134643831.45000002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8F0CF-7452-4078-84EF-4E2AE0CE675B}">
  <dimension ref="B2:F13"/>
  <sheetViews>
    <sheetView showGridLines="0" showRowColHeaders="0" tabSelected="1" zoomScale="92" workbookViewId="0">
      <selection activeCell="P5" sqref="P5"/>
    </sheetView>
  </sheetViews>
  <sheetFormatPr defaultRowHeight="14.4" x14ac:dyDescent="0.3"/>
  <cols>
    <col min="2" max="2" width="15.6640625" bestFit="1" customWidth="1"/>
    <col min="4" max="4" width="14.6640625" bestFit="1" customWidth="1"/>
  </cols>
  <sheetData>
    <row r="2" spans="2:6" x14ac:dyDescent="0.3">
      <c r="B2" s="7"/>
    </row>
    <row r="5" spans="2:6" x14ac:dyDescent="0.3">
      <c r="D5" s="8"/>
    </row>
    <row r="13" spans="2:6" x14ac:dyDescent="0.3">
      <c r="F13" t="s">
        <v>30</v>
      </c>
    </row>
  </sheetData>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9B718-375A-4984-A8D0-7FE789CC2D05}">
  <dimension ref="A1:R1001"/>
  <sheetViews>
    <sheetView workbookViewId="0">
      <pane ySplit="1" topLeftCell="A2" activePane="bottomLeft" state="frozen"/>
      <selection pane="bottomLeft" activeCell="P2" sqref="P2"/>
    </sheetView>
  </sheetViews>
  <sheetFormatPr defaultRowHeight="14.4" x14ac:dyDescent="0.3"/>
  <cols>
    <col min="1" max="1" width="9.109375" bestFit="1" customWidth="1"/>
    <col min="2" max="2" width="17.88671875" bestFit="1" customWidth="1"/>
    <col min="3" max="3" width="6.88671875" bestFit="1" customWidth="1"/>
    <col min="4" max="4" width="5.44140625" bestFit="1" customWidth="1"/>
    <col min="5" max="5" width="11.33203125" bestFit="1" customWidth="1"/>
    <col min="6" max="6" width="8" bestFit="1" customWidth="1"/>
    <col min="7" max="7" width="16.6640625" bestFit="1" customWidth="1"/>
    <col min="8" max="8" width="10.44140625" bestFit="1" customWidth="1"/>
    <col min="9" max="9" width="8.44140625" bestFit="1" customWidth="1"/>
    <col min="10" max="10" width="9.44140625" bestFit="1" customWidth="1"/>
    <col min="11" max="11" width="8.5546875" bestFit="1" customWidth="1"/>
    <col min="12" max="12" width="14.109375" bestFit="1" customWidth="1"/>
    <col min="13" max="13" width="9.44140625" bestFit="1" customWidth="1"/>
    <col min="14" max="15" width="10.109375" bestFit="1" customWidth="1"/>
    <col min="16" max="16" width="9.5546875" bestFit="1" customWidth="1"/>
    <col min="17" max="17" width="10.5546875" bestFit="1" customWidth="1"/>
    <col min="18" max="18" width="12.44140625" style="2" bestFit="1" customWidth="1"/>
  </cols>
  <sheetData>
    <row r="1" spans="1:18" x14ac:dyDescent="0.3">
      <c r="A1" t="s">
        <v>31</v>
      </c>
      <c r="B1" t="s">
        <v>32</v>
      </c>
      <c r="C1" t="s">
        <v>0</v>
      </c>
      <c r="D1" t="s">
        <v>33</v>
      </c>
      <c r="E1" t="s">
        <v>34</v>
      </c>
      <c r="F1" t="s">
        <v>35</v>
      </c>
      <c r="G1" t="s">
        <v>36</v>
      </c>
      <c r="H1" t="s">
        <v>37</v>
      </c>
      <c r="I1" t="s">
        <v>38</v>
      </c>
      <c r="J1" t="s">
        <v>39</v>
      </c>
      <c r="K1" t="s">
        <v>40</v>
      </c>
      <c r="L1" t="s">
        <v>41</v>
      </c>
      <c r="M1" t="s">
        <v>42</v>
      </c>
      <c r="N1" t="s">
        <v>43</v>
      </c>
      <c r="O1" t="s">
        <v>44</v>
      </c>
      <c r="P1" t="s">
        <v>45</v>
      </c>
      <c r="Q1" t="s">
        <v>46</v>
      </c>
      <c r="R1" s="2" t="s">
        <v>47</v>
      </c>
    </row>
    <row r="2" spans="1:18" x14ac:dyDescent="0.3">
      <c r="A2" t="s">
        <v>48</v>
      </c>
      <c r="B2" s="1">
        <v>45503</v>
      </c>
      <c r="C2" t="s">
        <v>4</v>
      </c>
      <c r="D2" t="s">
        <v>49</v>
      </c>
      <c r="E2" t="s">
        <v>25</v>
      </c>
      <c r="F2" t="s">
        <v>50</v>
      </c>
      <c r="G2" t="str">
        <f>INDEX(Lookup_Tables!$B$1:$B$7,MATCH(Cleaned_Data!F2,Lookup_Tables!$A$1:$A$7,0))</f>
        <v>Furniture</v>
      </c>
      <c r="H2" t="s">
        <v>51</v>
      </c>
      <c r="I2">
        <v>8</v>
      </c>
      <c r="J2">
        <v>25761</v>
      </c>
      <c r="K2">
        <v>0.05</v>
      </c>
      <c r="L2">
        <f>IF(ISBLANK(K2),0,K2)</f>
        <v>0.05</v>
      </c>
      <c r="M2">
        <v>29955</v>
      </c>
      <c r="N2">
        <f>I2*J2</f>
        <v>206088</v>
      </c>
      <c r="O2">
        <f>N2-(N2*L2)</f>
        <v>195783.6</v>
      </c>
      <c r="P2">
        <f>I2*IFERROR(_xlfn.XLOOKUP(F2,Lookup_Tables!Product,Cost),0)</f>
        <v>106168</v>
      </c>
      <c r="Q2">
        <f>O2-P2</f>
        <v>89615.6</v>
      </c>
      <c r="R2" s="2">
        <f>Q2/O2</f>
        <v>0.45772781785604105</v>
      </c>
    </row>
    <row r="3" spans="1:18" x14ac:dyDescent="0.3">
      <c r="A3" t="s">
        <v>52</v>
      </c>
      <c r="B3" s="1">
        <v>45527</v>
      </c>
      <c r="C3" t="s">
        <v>3</v>
      </c>
      <c r="D3" t="s">
        <v>53</v>
      </c>
      <c r="E3" t="s">
        <v>28</v>
      </c>
      <c r="F3" t="s">
        <v>23</v>
      </c>
      <c r="G3" t="str">
        <f>INDEX(Lookup_Tables!$B$1:$B$7,MATCH(Cleaned_Data!F3,Lookup_Tables!$A$1:$A$7,0))</f>
        <v>Electronics</v>
      </c>
      <c r="H3" t="s">
        <v>54</v>
      </c>
      <c r="I3">
        <v>3</v>
      </c>
      <c r="J3">
        <v>21400</v>
      </c>
      <c r="L3">
        <f t="shared" ref="L3:L66" si="0">IF(ISBLANK(K3),0,K3)</f>
        <v>0</v>
      </c>
      <c r="M3">
        <v>6742</v>
      </c>
      <c r="N3">
        <f t="shared" ref="N3:N66" si="1">I3*J3</f>
        <v>64200</v>
      </c>
      <c r="O3">
        <f t="shared" ref="O3:O66" si="2">N3-(N3*L3)</f>
        <v>64200</v>
      </c>
      <c r="P3">
        <f>I3*IFERROR(_xlfn.XLOOKUP(F3,Lookup_Tables!Product,Cost),0)</f>
        <v>57795</v>
      </c>
      <c r="Q3">
        <f t="shared" ref="Q3:Q66" si="3">O3-P3</f>
        <v>6405</v>
      </c>
      <c r="R3" s="2">
        <f t="shared" ref="R3:R66" si="4">Q3/O3</f>
        <v>9.9766355140186919E-2</v>
      </c>
    </row>
    <row r="4" spans="1:18" x14ac:dyDescent="0.3">
      <c r="A4" t="s">
        <v>55</v>
      </c>
      <c r="B4" s="1">
        <v>45624</v>
      </c>
      <c r="C4" t="s">
        <v>4</v>
      </c>
      <c r="D4" t="s">
        <v>56</v>
      </c>
      <c r="E4" t="s">
        <v>27</v>
      </c>
      <c r="F4" t="s">
        <v>23</v>
      </c>
      <c r="G4" t="str">
        <f>INDEX(Lookup_Tables!$B$1:$B$7,MATCH(Cleaned_Data!F4,Lookup_Tables!$A$1:$A$7,0))</f>
        <v>Electronics</v>
      </c>
      <c r="H4" t="s">
        <v>54</v>
      </c>
      <c r="I4">
        <v>6</v>
      </c>
      <c r="J4">
        <v>40298</v>
      </c>
      <c r="L4">
        <f t="shared" si="0"/>
        <v>0</v>
      </c>
      <c r="N4">
        <f t="shared" si="1"/>
        <v>241788</v>
      </c>
      <c r="O4">
        <f t="shared" si="2"/>
        <v>241788</v>
      </c>
      <c r="P4">
        <f>I4*IFERROR(_xlfn.XLOOKUP(F4,Lookup_Tables!Product,Cost),0)</f>
        <v>115590</v>
      </c>
      <c r="Q4">
        <f t="shared" si="3"/>
        <v>126198</v>
      </c>
      <c r="R4" s="2">
        <f t="shared" si="4"/>
        <v>0.52193657253461712</v>
      </c>
    </row>
    <row r="5" spans="1:18" x14ac:dyDescent="0.3">
      <c r="A5" t="s">
        <v>57</v>
      </c>
      <c r="B5" s="1">
        <v>45311</v>
      </c>
      <c r="C5" t="s">
        <v>6</v>
      </c>
      <c r="D5" t="s">
        <v>49</v>
      </c>
      <c r="E5" t="s">
        <v>25</v>
      </c>
      <c r="F5" t="s">
        <v>58</v>
      </c>
      <c r="G5" t="str">
        <f>INDEX(Lookup_Tables!$B$1:$B$7,MATCH(Cleaned_Data!F5,Lookup_Tables!$A$1:$A$7,0))</f>
        <v>Electronics</v>
      </c>
      <c r="H5" t="s">
        <v>54</v>
      </c>
      <c r="I5">
        <v>9</v>
      </c>
      <c r="J5">
        <v>1098</v>
      </c>
      <c r="L5">
        <f t="shared" si="0"/>
        <v>0</v>
      </c>
      <c r="M5">
        <v>7334</v>
      </c>
      <c r="N5">
        <f t="shared" si="1"/>
        <v>9882</v>
      </c>
      <c r="O5">
        <f t="shared" si="2"/>
        <v>9882</v>
      </c>
      <c r="P5">
        <f>I5*IFERROR(_xlfn.XLOOKUP(F5,Lookup_Tables!Product,Cost),0)</f>
        <v>25992</v>
      </c>
      <c r="Q5">
        <f t="shared" si="3"/>
        <v>-16110</v>
      </c>
      <c r="R5" s="2">
        <f t="shared" si="4"/>
        <v>-1.6302367941712204</v>
      </c>
    </row>
    <row r="6" spans="1:18" x14ac:dyDescent="0.3">
      <c r="A6" t="s">
        <v>59</v>
      </c>
      <c r="B6" s="1">
        <v>45632</v>
      </c>
      <c r="C6" t="s">
        <v>3</v>
      </c>
      <c r="D6" t="s">
        <v>53</v>
      </c>
      <c r="E6" t="s">
        <v>27</v>
      </c>
      <c r="F6" t="s">
        <v>50</v>
      </c>
      <c r="G6" t="str">
        <f>INDEX(Lookup_Tables!$B$1:$B$7,MATCH(Cleaned_Data!F6,Lookup_Tables!$A$1:$A$7,0))</f>
        <v>Furniture</v>
      </c>
      <c r="H6" t="s">
        <v>51</v>
      </c>
      <c r="I6">
        <v>4</v>
      </c>
      <c r="J6">
        <v>15968</v>
      </c>
      <c r="L6">
        <f t="shared" si="0"/>
        <v>0</v>
      </c>
      <c r="N6">
        <f t="shared" si="1"/>
        <v>63872</v>
      </c>
      <c r="O6">
        <f t="shared" si="2"/>
        <v>63872</v>
      </c>
      <c r="P6">
        <f>I6*IFERROR(_xlfn.XLOOKUP(F6,Lookup_Tables!Product,Cost),0)</f>
        <v>53084</v>
      </c>
      <c r="Q6">
        <f t="shared" si="3"/>
        <v>10788</v>
      </c>
      <c r="R6" s="2">
        <f t="shared" si="4"/>
        <v>0.1689003006012024</v>
      </c>
    </row>
    <row r="7" spans="1:18" x14ac:dyDescent="0.3">
      <c r="A7" t="s">
        <v>60</v>
      </c>
      <c r="B7" s="1">
        <v>45339</v>
      </c>
      <c r="C7" t="s">
        <v>3</v>
      </c>
      <c r="D7" t="s">
        <v>53</v>
      </c>
      <c r="E7" t="s">
        <v>26</v>
      </c>
      <c r="F7" t="s">
        <v>61</v>
      </c>
      <c r="G7" t="str">
        <f>INDEX(Lookup_Tables!$B$1:$B$7,MATCH(Cleaned_Data!F7,Lookup_Tables!$A$1:$A$7,0))</f>
        <v>Electronics</v>
      </c>
      <c r="H7" t="s">
        <v>54</v>
      </c>
      <c r="I7">
        <v>10</v>
      </c>
      <c r="J7">
        <v>36961</v>
      </c>
      <c r="K7">
        <v>0.05</v>
      </c>
      <c r="L7">
        <f t="shared" si="0"/>
        <v>0.05</v>
      </c>
      <c r="M7">
        <v>16608</v>
      </c>
      <c r="N7">
        <f t="shared" si="1"/>
        <v>369610</v>
      </c>
      <c r="O7">
        <f t="shared" si="2"/>
        <v>351129.5</v>
      </c>
      <c r="P7">
        <f>I7*IFERROR(_xlfn.XLOOKUP(F7,Lookup_Tables!Product,Cost),0)</f>
        <v>73840</v>
      </c>
      <c r="Q7">
        <f t="shared" si="3"/>
        <v>277289.5</v>
      </c>
      <c r="R7" s="2">
        <f t="shared" si="4"/>
        <v>0.78970721628345097</v>
      </c>
    </row>
    <row r="8" spans="1:18" x14ac:dyDescent="0.3">
      <c r="A8" t="s">
        <v>62</v>
      </c>
      <c r="B8" s="1">
        <v>45618</v>
      </c>
      <c r="C8" t="s">
        <v>6</v>
      </c>
      <c r="D8" t="s">
        <v>49</v>
      </c>
      <c r="E8" t="s">
        <v>26</v>
      </c>
      <c r="F8" t="s">
        <v>58</v>
      </c>
      <c r="G8" t="str">
        <f>INDEX(Lookup_Tables!$B$1:$B$7,MATCH(Cleaned_Data!F8,Lookup_Tables!$A$1:$A$7,0))</f>
        <v>Electronics</v>
      </c>
      <c r="H8" t="s">
        <v>54</v>
      </c>
      <c r="I8">
        <v>3</v>
      </c>
      <c r="J8">
        <v>1683</v>
      </c>
      <c r="L8">
        <f t="shared" si="0"/>
        <v>0</v>
      </c>
      <c r="M8">
        <v>25507</v>
      </c>
      <c r="N8">
        <f t="shared" si="1"/>
        <v>5049</v>
      </c>
      <c r="O8">
        <f t="shared" si="2"/>
        <v>5049</v>
      </c>
      <c r="P8">
        <f>I8*IFERROR(_xlfn.XLOOKUP(F8,Lookup_Tables!Product,Cost),0)</f>
        <v>8664</v>
      </c>
      <c r="Q8">
        <f t="shared" si="3"/>
        <v>-3615</v>
      </c>
      <c r="R8" s="2">
        <f t="shared" si="4"/>
        <v>-0.71598336304218657</v>
      </c>
    </row>
    <row r="9" spans="1:18" x14ac:dyDescent="0.3">
      <c r="A9" t="s">
        <v>63</v>
      </c>
      <c r="B9" s="1">
        <v>45476</v>
      </c>
      <c r="C9" t="s">
        <v>5</v>
      </c>
      <c r="D9" t="s">
        <v>64</v>
      </c>
      <c r="E9" t="s">
        <v>26</v>
      </c>
      <c r="F9" t="s">
        <v>61</v>
      </c>
      <c r="G9" t="str">
        <f>INDEX(Lookup_Tables!$B$1:$B$7,MATCH(Cleaned_Data!F9,Lookup_Tables!$A$1:$A$7,0))</f>
        <v>Electronics</v>
      </c>
      <c r="H9" t="s">
        <v>54</v>
      </c>
      <c r="I9">
        <v>2</v>
      </c>
      <c r="J9">
        <v>6047</v>
      </c>
      <c r="K9">
        <v>0.05</v>
      </c>
      <c r="L9">
        <f t="shared" si="0"/>
        <v>0.05</v>
      </c>
      <c r="N9">
        <f t="shared" si="1"/>
        <v>12094</v>
      </c>
      <c r="O9">
        <f t="shared" si="2"/>
        <v>11489.3</v>
      </c>
      <c r="P9">
        <f>I9*IFERROR(_xlfn.XLOOKUP(F9,Lookup_Tables!Product,Cost),0)</f>
        <v>14768</v>
      </c>
      <c r="Q9">
        <f t="shared" si="3"/>
        <v>-3278.7000000000007</v>
      </c>
      <c r="R9" s="2">
        <f t="shared" si="4"/>
        <v>-0.28536986587520569</v>
      </c>
    </row>
    <row r="10" spans="1:18" x14ac:dyDescent="0.3">
      <c r="A10" t="s">
        <v>65</v>
      </c>
      <c r="B10" s="1">
        <v>45530</v>
      </c>
      <c r="C10" t="s">
        <v>6</v>
      </c>
      <c r="D10" t="s">
        <v>49</v>
      </c>
      <c r="E10" t="s">
        <v>26</v>
      </c>
      <c r="F10" t="s">
        <v>24</v>
      </c>
      <c r="G10" t="str">
        <f>INDEX(Lookup_Tables!$B$1:$B$7,MATCH(Cleaned_Data!F10,Lookup_Tables!$A$1:$A$7,0))</f>
        <v>Electronics</v>
      </c>
      <c r="H10" t="s">
        <v>54</v>
      </c>
      <c r="I10">
        <v>2</v>
      </c>
      <c r="J10">
        <v>3101</v>
      </c>
      <c r="K10">
        <v>0.1</v>
      </c>
      <c r="L10">
        <f t="shared" si="0"/>
        <v>0.1</v>
      </c>
      <c r="M10">
        <v>23538</v>
      </c>
      <c r="N10">
        <f t="shared" si="1"/>
        <v>6202</v>
      </c>
      <c r="O10">
        <f t="shared" si="2"/>
        <v>5581.8</v>
      </c>
      <c r="P10">
        <f>I10*IFERROR(_xlfn.XLOOKUP(F10,Lookup_Tables!Product,Cost),0)</f>
        <v>56092</v>
      </c>
      <c r="Q10">
        <f t="shared" si="3"/>
        <v>-50510.2</v>
      </c>
      <c r="R10" s="2">
        <f t="shared" si="4"/>
        <v>-9.0490881077788519</v>
      </c>
    </row>
    <row r="11" spans="1:18" x14ac:dyDescent="0.3">
      <c r="A11" t="s">
        <v>66</v>
      </c>
      <c r="B11" s="1">
        <v>45413</v>
      </c>
      <c r="C11" t="s">
        <v>3</v>
      </c>
      <c r="D11" t="s">
        <v>49</v>
      </c>
      <c r="E11" t="s">
        <v>28</v>
      </c>
      <c r="F11" t="s">
        <v>61</v>
      </c>
      <c r="G11" t="str">
        <f>INDEX(Lookup_Tables!$B$1:$B$7,MATCH(Cleaned_Data!F11,Lookup_Tables!$A$1:$A$7,0))</f>
        <v>Electronics</v>
      </c>
      <c r="H11" t="s">
        <v>54</v>
      </c>
      <c r="I11">
        <v>8</v>
      </c>
      <c r="J11">
        <v>41602</v>
      </c>
      <c r="K11">
        <v>0</v>
      </c>
      <c r="L11">
        <f t="shared" si="0"/>
        <v>0</v>
      </c>
      <c r="M11">
        <v>29885</v>
      </c>
      <c r="N11">
        <f t="shared" si="1"/>
        <v>332816</v>
      </c>
      <c r="O11">
        <f t="shared" si="2"/>
        <v>332816</v>
      </c>
      <c r="P11">
        <f>I11*IFERROR(_xlfn.XLOOKUP(F11,Lookup_Tables!Product,Cost),0)</f>
        <v>59072</v>
      </c>
      <c r="Q11">
        <f t="shared" si="3"/>
        <v>273744</v>
      </c>
      <c r="R11" s="2">
        <f t="shared" si="4"/>
        <v>0.82250853324359408</v>
      </c>
    </row>
    <row r="12" spans="1:18" x14ac:dyDescent="0.3">
      <c r="A12" t="s">
        <v>67</v>
      </c>
      <c r="B12" s="1">
        <v>45649</v>
      </c>
      <c r="C12" t="s">
        <v>3</v>
      </c>
      <c r="D12" t="s">
        <v>56</v>
      </c>
      <c r="E12" t="s">
        <v>27</v>
      </c>
      <c r="F12" t="s">
        <v>23</v>
      </c>
      <c r="G12" t="str">
        <f>INDEX(Lookup_Tables!$B$1:$B$7,MATCH(Cleaned_Data!F12,Lookup_Tables!$A$1:$A$7,0))</f>
        <v>Electronics</v>
      </c>
      <c r="H12" t="s">
        <v>54</v>
      </c>
      <c r="I12">
        <v>2</v>
      </c>
      <c r="J12">
        <v>17931</v>
      </c>
      <c r="K12">
        <v>0.1</v>
      </c>
      <c r="L12">
        <f t="shared" si="0"/>
        <v>0.1</v>
      </c>
      <c r="N12">
        <f t="shared" si="1"/>
        <v>35862</v>
      </c>
      <c r="O12">
        <f t="shared" si="2"/>
        <v>32275.8</v>
      </c>
      <c r="P12">
        <f>I12*IFERROR(_xlfn.XLOOKUP(F12,Lookup_Tables!Product,Cost),0)</f>
        <v>38530</v>
      </c>
      <c r="Q12">
        <f t="shared" si="3"/>
        <v>-6254.2000000000007</v>
      </c>
      <c r="R12" s="2">
        <f t="shared" si="4"/>
        <v>-0.19377366323995071</v>
      </c>
    </row>
    <row r="13" spans="1:18" x14ac:dyDescent="0.3">
      <c r="A13" t="s">
        <v>68</v>
      </c>
      <c r="B13" s="1">
        <v>45443</v>
      </c>
      <c r="C13" t="s">
        <v>3</v>
      </c>
      <c r="D13" t="s">
        <v>69</v>
      </c>
      <c r="E13" t="s">
        <v>25</v>
      </c>
      <c r="F13" t="s">
        <v>61</v>
      </c>
      <c r="G13" t="str">
        <f>INDEX(Lookup_Tables!$B$1:$B$7,MATCH(Cleaned_Data!F13,Lookup_Tables!$A$1:$A$7,0))</f>
        <v>Electronics</v>
      </c>
      <c r="H13" t="s">
        <v>54</v>
      </c>
      <c r="I13">
        <v>3</v>
      </c>
      <c r="J13">
        <v>571</v>
      </c>
      <c r="K13">
        <v>0.1</v>
      </c>
      <c r="L13">
        <f t="shared" si="0"/>
        <v>0.1</v>
      </c>
      <c r="N13">
        <f t="shared" si="1"/>
        <v>1713</v>
      </c>
      <c r="O13">
        <f t="shared" si="2"/>
        <v>1541.7</v>
      </c>
      <c r="P13">
        <f>I13*IFERROR(_xlfn.XLOOKUP(F13,Lookup_Tables!Product,Cost),0)</f>
        <v>22152</v>
      </c>
      <c r="Q13">
        <f t="shared" si="3"/>
        <v>-20610.3</v>
      </c>
      <c r="R13" s="2">
        <f t="shared" si="4"/>
        <v>-13.368554193422844</v>
      </c>
    </row>
    <row r="14" spans="1:18" x14ac:dyDescent="0.3">
      <c r="A14" t="s">
        <v>70</v>
      </c>
      <c r="B14" s="1">
        <v>45423</v>
      </c>
      <c r="C14" t="s">
        <v>3</v>
      </c>
      <c r="D14" t="s">
        <v>49</v>
      </c>
      <c r="E14" t="s">
        <v>27</v>
      </c>
      <c r="F14" t="s">
        <v>50</v>
      </c>
      <c r="G14" t="str">
        <f>INDEX(Lookup_Tables!$B$1:$B$7,MATCH(Cleaned_Data!F14,Lookup_Tables!$A$1:$A$7,0))</f>
        <v>Furniture</v>
      </c>
      <c r="H14" t="s">
        <v>51</v>
      </c>
      <c r="I14">
        <v>9</v>
      </c>
      <c r="J14">
        <v>28406</v>
      </c>
      <c r="K14">
        <v>0.1</v>
      </c>
      <c r="L14">
        <f t="shared" si="0"/>
        <v>0.1</v>
      </c>
      <c r="N14">
        <f t="shared" si="1"/>
        <v>255654</v>
      </c>
      <c r="O14">
        <f t="shared" si="2"/>
        <v>230088.6</v>
      </c>
      <c r="P14">
        <f>I14*IFERROR(_xlfn.XLOOKUP(F14,Lookup_Tables!Product,Cost),0)</f>
        <v>119439</v>
      </c>
      <c r="Q14">
        <f t="shared" si="3"/>
        <v>110649.60000000001</v>
      </c>
      <c r="R14" s="2">
        <f t="shared" si="4"/>
        <v>0.48089996636078453</v>
      </c>
    </row>
    <row r="15" spans="1:18" x14ac:dyDescent="0.3">
      <c r="A15" t="s">
        <v>71</v>
      </c>
      <c r="B15" s="1">
        <v>45400</v>
      </c>
      <c r="C15" t="s">
        <v>6</v>
      </c>
      <c r="D15" t="s">
        <v>56</v>
      </c>
      <c r="E15" t="s">
        <v>28</v>
      </c>
      <c r="F15" t="s">
        <v>23</v>
      </c>
      <c r="G15" t="str">
        <f>INDEX(Lookup_Tables!$B$1:$B$7,MATCH(Cleaned_Data!F15,Lookup_Tables!$A$1:$A$7,0))</f>
        <v>Electronics</v>
      </c>
      <c r="H15" t="s">
        <v>54</v>
      </c>
      <c r="I15">
        <v>6</v>
      </c>
      <c r="J15">
        <v>39809</v>
      </c>
      <c r="L15">
        <f t="shared" si="0"/>
        <v>0</v>
      </c>
      <c r="M15">
        <v>7704</v>
      </c>
      <c r="N15">
        <f t="shared" si="1"/>
        <v>238854</v>
      </c>
      <c r="O15">
        <f t="shared" si="2"/>
        <v>238854</v>
      </c>
      <c r="P15">
        <f>I15*IFERROR(_xlfn.XLOOKUP(F15,Lookup_Tables!Product,Cost),0)</f>
        <v>115590</v>
      </c>
      <c r="Q15">
        <f t="shared" si="3"/>
        <v>123264</v>
      </c>
      <c r="R15" s="2">
        <f t="shared" si="4"/>
        <v>0.51606420658645025</v>
      </c>
    </row>
    <row r="16" spans="1:18" x14ac:dyDescent="0.3">
      <c r="A16" t="s">
        <v>72</v>
      </c>
      <c r="B16" s="1">
        <v>45549</v>
      </c>
      <c r="C16" t="s">
        <v>4</v>
      </c>
      <c r="D16" t="s">
        <v>56</v>
      </c>
      <c r="E16" t="s">
        <v>27</v>
      </c>
      <c r="F16" t="s">
        <v>50</v>
      </c>
      <c r="G16" t="str">
        <f>INDEX(Lookup_Tables!$B$1:$B$7,MATCH(Cleaned_Data!F16,Lookup_Tables!$A$1:$A$7,0))</f>
        <v>Furniture</v>
      </c>
      <c r="H16" t="s">
        <v>51</v>
      </c>
      <c r="I16">
        <v>3</v>
      </c>
      <c r="J16">
        <v>17089</v>
      </c>
      <c r="K16">
        <v>0.05</v>
      </c>
      <c r="L16">
        <f t="shared" si="0"/>
        <v>0.05</v>
      </c>
      <c r="N16">
        <f t="shared" si="1"/>
        <v>51267</v>
      </c>
      <c r="O16">
        <f t="shared" si="2"/>
        <v>48703.65</v>
      </c>
      <c r="P16">
        <f>I16*IFERROR(_xlfn.XLOOKUP(F16,Lookup_Tables!Product,Cost),0)</f>
        <v>39813</v>
      </c>
      <c r="Q16">
        <f t="shared" si="3"/>
        <v>8890.6500000000015</v>
      </c>
      <c r="R16" s="2">
        <f t="shared" si="4"/>
        <v>0.18254586668555645</v>
      </c>
    </row>
    <row r="17" spans="1:18" x14ac:dyDescent="0.3">
      <c r="A17" t="s">
        <v>73</v>
      </c>
      <c r="B17" s="1">
        <v>45401</v>
      </c>
      <c r="C17" t="s">
        <v>4</v>
      </c>
      <c r="D17" t="s">
        <v>53</v>
      </c>
      <c r="E17" t="s">
        <v>29</v>
      </c>
      <c r="F17" t="s">
        <v>58</v>
      </c>
      <c r="G17" t="str">
        <f>INDEX(Lookup_Tables!$B$1:$B$7,MATCH(Cleaned_Data!F17,Lookup_Tables!$A$1:$A$7,0))</f>
        <v>Electronics</v>
      </c>
      <c r="H17" t="s">
        <v>54</v>
      </c>
      <c r="I17">
        <v>9</v>
      </c>
      <c r="J17">
        <v>24048</v>
      </c>
      <c r="K17">
        <v>0</v>
      </c>
      <c r="L17">
        <f t="shared" si="0"/>
        <v>0</v>
      </c>
      <c r="N17">
        <f t="shared" si="1"/>
        <v>216432</v>
      </c>
      <c r="O17">
        <f t="shared" si="2"/>
        <v>216432</v>
      </c>
      <c r="P17">
        <f>I17*IFERROR(_xlfn.XLOOKUP(F17,Lookup_Tables!Product,Cost),0)</f>
        <v>25992</v>
      </c>
      <c r="Q17">
        <f t="shared" si="3"/>
        <v>190440</v>
      </c>
      <c r="R17" s="2">
        <f t="shared" si="4"/>
        <v>0.87990685296074522</v>
      </c>
    </row>
    <row r="18" spans="1:18" x14ac:dyDescent="0.3">
      <c r="A18" t="s">
        <v>74</v>
      </c>
      <c r="B18" s="1">
        <v>45342</v>
      </c>
      <c r="C18" t="s">
        <v>6</v>
      </c>
      <c r="D18" t="s">
        <v>49</v>
      </c>
      <c r="E18" t="s">
        <v>28</v>
      </c>
      <c r="F18" t="s">
        <v>22</v>
      </c>
      <c r="G18" t="str">
        <f>INDEX(Lookup_Tables!$B$1:$B$7,MATCH(Cleaned_Data!F18,Lookup_Tables!$A$1:$A$7,0))</f>
        <v>Furniture</v>
      </c>
      <c r="H18" t="s">
        <v>51</v>
      </c>
      <c r="I18">
        <v>6</v>
      </c>
      <c r="J18">
        <v>6121</v>
      </c>
      <c r="K18">
        <v>0</v>
      </c>
      <c r="L18">
        <f t="shared" si="0"/>
        <v>0</v>
      </c>
      <c r="M18">
        <v>8273</v>
      </c>
      <c r="N18">
        <f t="shared" si="1"/>
        <v>36726</v>
      </c>
      <c r="O18">
        <f t="shared" si="2"/>
        <v>36726</v>
      </c>
      <c r="P18">
        <f>I18*IFERROR(_xlfn.XLOOKUP(F18,Lookup_Tables!Product,Cost),0)</f>
        <v>78240</v>
      </c>
      <c r="Q18">
        <f t="shared" si="3"/>
        <v>-41514</v>
      </c>
      <c r="R18" s="2">
        <f t="shared" si="4"/>
        <v>-1.1303708544355497</v>
      </c>
    </row>
    <row r="19" spans="1:18" x14ac:dyDescent="0.3">
      <c r="A19" t="s">
        <v>75</v>
      </c>
      <c r="B19" s="1">
        <v>45388</v>
      </c>
      <c r="C19" t="s">
        <v>6</v>
      </c>
      <c r="D19" t="s">
        <v>76</v>
      </c>
      <c r="E19" t="s">
        <v>28</v>
      </c>
      <c r="F19" t="s">
        <v>23</v>
      </c>
      <c r="G19" t="str">
        <f>INDEX(Lookup_Tables!$B$1:$B$7,MATCH(Cleaned_Data!F19,Lookup_Tables!$A$1:$A$7,0))</f>
        <v>Electronics</v>
      </c>
      <c r="H19" t="s">
        <v>54</v>
      </c>
      <c r="I19">
        <v>8</v>
      </c>
      <c r="J19">
        <v>29203</v>
      </c>
      <c r="K19">
        <v>0.05</v>
      </c>
      <c r="L19">
        <f t="shared" si="0"/>
        <v>0.05</v>
      </c>
      <c r="N19">
        <f t="shared" si="1"/>
        <v>233624</v>
      </c>
      <c r="O19">
        <f t="shared" si="2"/>
        <v>221942.8</v>
      </c>
      <c r="P19">
        <f>I19*IFERROR(_xlfn.XLOOKUP(F19,Lookup_Tables!Product,Cost),0)</f>
        <v>154120</v>
      </c>
      <c r="Q19">
        <f t="shared" si="3"/>
        <v>67822.799999999988</v>
      </c>
      <c r="R19" s="2">
        <f t="shared" si="4"/>
        <v>0.30558684489877569</v>
      </c>
    </row>
    <row r="20" spans="1:18" x14ac:dyDescent="0.3">
      <c r="A20" t="s">
        <v>77</v>
      </c>
      <c r="B20" s="1">
        <v>45570</v>
      </c>
      <c r="C20" t="s">
        <v>4</v>
      </c>
      <c r="D20" t="s">
        <v>56</v>
      </c>
      <c r="E20" t="s">
        <v>28</v>
      </c>
      <c r="F20" t="s">
        <v>61</v>
      </c>
      <c r="G20" t="str">
        <f>INDEX(Lookup_Tables!$B$1:$B$7,MATCH(Cleaned_Data!F20,Lookup_Tables!$A$1:$A$7,0))</f>
        <v>Electronics</v>
      </c>
      <c r="H20" t="s">
        <v>54</v>
      </c>
      <c r="I20">
        <v>6</v>
      </c>
      <c r="J20">
        <v>25953</v>
      </c>
      <c r="L20">
        <f t="shared" si="0"/>
        <v>0</v>
      </c>
      <c r="N20">
        <f t="shared" si="1"/>
        <v>155718</v>
      </c>
      <c r="O20">
        <f t="shared" si="2"/>
        <v>155718</v>
      </c>
      <c r="P20">
        <f>I20*IFERROR(_xlfn.XLOOKUP(F20,Lookup_Tables!Product,Cost),0)</f>
        <v>44304</v>
      </c>
      <c r="Q20">
        <f t="shared" si="3"/>
        <v>111414</v>
      </c>
      <c r="R20" s="2">
        <f t="shared" si="4"/>
        <v>0.71548568566254378</v>
      </c>
    </row>
    <row r="21" spans="1:18" x14ac:dyDescent="0.3">
      <c r="A21" t="s">
        <v>78</v>
      </c>
      <c r="B21" s="1">
        <v>45412</v>
      </c>
      <c r="C21" t="s">
        <v>6</v>
      </c>
      <c r="D21" t="s">
        <v>56</v>
      </c>
      <c r="E21" t="s">
        <v>27</v>
      </c>
      <c r="F21" t="s">
        <v>50</v>
      </c>
      <c r="G21" t="str">
        <f>INDEX(Lookup_Tables!$B$1:$B$7,MATCH(Cleaned_Data!F21,Lookup_Tables!$A$1:$A$7,0))</f>
        <v>Furniture</v>
      </c>
      <c r="H21" t="s">
        <v>51</v>
      </c>
      <c r="I21">
        <v>9</v>
      </c>
      <c r="J21">
        <v>38450</v>
      </c>
      <c r="K21">
        <v>0</v>
      </c>
      <c r="L21">
        <f t="shared" si="0"/>
        <v>0</v>
      </c>
      <c r="N21">
        <f t="shared" si="1"/>
        <v>346050</v>
      </c>
      <c r="O21">
        <f t="shared" si="2"/>
        <v>346050</v>
      </c>
      <c r="P21">
        <f>I21*IFERROR(_xlfn.XLOOKUP(F21,Lookup_Tables!Product,Cost),0)</f>
        <v>119439</v>
      </c>
      <c r="Q21">
        <f t="shared" si="3"/>
        <v>226611</v>
      </c>
      <c r="R21" s="2">
        <f t="shared" si="4"/>
        <v>0.65485045513654094</v>
      </c>
    </row>
    <row r="22" spans="1:18" x14ac:dyDescent="0.3">
      <c r="A22" t="s">
        <v>79</v>
      </c>
      <c r="B22" s="1">
        <v>45626</v>
      </c>
      <c r="C22" t="s">
        <v>3</v>
      </c>
      <c r="D22" t="s">
        <v>56</v>
      </c>
      <c r="E22" t="s">
        <v>28</v>
      </c>
      <c r="F22" t="s">
        <v>61</v>
      </c>
      <c r="G22" t="str">
        <f>INDEX(Lookup_Tables!$B$1:$B$7,MATCH(Cleaned_Data!F22,Lookup_Tables!$A$1:$A$7,0))</f>
        <v>Electronics</v>
      </c>
      <c r="H22" t="s">
        <v>54</v>
      </c>
      <c r="I22">
        <v>10</v>
      </c>
      <c r="J22">
        <v>14948</v>
      </c>
      <c r="K22">
        <v>0.05</v>
      </c>
      <c r="L22">
        <f t="shared" si="0"/>
        <v>0.05</v>
      </c>
      <c r="M22">
        <v>29773</v>
      </c>
      <c r="N22">
        <f t="shared" si="1"/>
        <v>149480</v>
      </c>
      <c r="O22">
        <f t="shared" si="2"/>
        <v>142006</v>
      </c>
      <c r="P22">
        <f>I22*IFERROR(_xlfn.XLOOKUP(F22,Lookup_Tables!Product,Cost),0)</f>
        <v>73840</v>
      </c>
      <c r="Q22">
        <f t="shared" si="3"/>
        <v>68166</v>
      </c>
      <c r="R22" s="2">
        <f t="shared" si="4"/>
        <v>0.48002197090263793</v>
      </c>
    </row>
    <row r="23" spans="1:18" x14ac:dyDescent="0.3">
      <c r="A23" t="s">
        <v>80</v>
      </c>
      <c r="B23" s="1">
        <v>45491</v>
      </c>
      <c r="C23" t="s">
        <v>3</v>
      </c>
      <c r="D23" t="s">
        <v>76</v>
      </c>
      <c r="E23" t="s">
        <v>25</v>
      </c>
      <c r="F23" t="s">
        <v>22</v>
      </c>
      <c r="G23" t="str">
        <f>INDEX(Lookup_Tables!$B$1:$B$7,MATCH(Cleaned_Data!F23,Lookup_Tables!$A$1:$A$7,0))</f>
        <v>Furniture</v>
      </c>
      <c r="H23" t="s">
        <v>51</v>
      </c>
      <c r="I23">
        <v>10</v>
      </c>
      <c r="J23">
        <v>11429</v>
      </c>
      <c r="K23">
        <v>0.05</v>
      </c>
      <c r="L23">
        <f t="shared" si="0"/>
        <v>0.05</v>
      </c>
      <c r="N23">
        <f t="shared" si="1"/>
        <v>114290</v>
      </c>
      <c r="O23">
        <f t="shared" si="2"/>
        <v>108575.5</v>
      </c>
      <c r="P23">
        <f>I23*IFERROR(_xlfn.XLOOKUP(F23,Lookup_Tables!Product,Cost),0)</f>
        <v>130400</v>
      </c>
      <c r="Q23">
        <f t="shared" si="3"/>
        <v>-21824.5</v>
      </c>
      <c r="R23" s="2">
        <f t="shared" si="4"/>
        <v>-0.20100759379418009</v>
      </c>
    </row>
    <row r="24" spans="1:18" x14ac:dyDescent="0.3">
      <c r="A24" t="s">
        <v>81</v>
      </c>
      <c r="B24" s="1">
        <v>45479</v>
      </c>
      <c r="C24" t="s">
        <v>4</v>
      </c>
      <c r="D24" t="s">
        <v>76</v>
      </c>
      <c r="E24" t="s">
        <v>29</v>
      </c>
      <c r="F24" t="s">
        <v>24</v>
      </c>
      <c r="G24" t="str">
        <f>INDEX(Lookup_Tables!$B$1:$B$7,MATCH(Cleaned_Data!F24,Lookup_Tables!$A$1:$A$7,0))</f>
        <v>Electronics</v>
      </c>
      <c r="H24" t="s">
        <v>54</v>
      </c>
      <c r="I24">
        <v>5</v>
      </c>
      <c r="J24">
        <v>11682</v>
      </c>
      <c r="K24">
        <v>0.1</v>
      </c>
      <c r="L24">
        <f t="shared" si="0"/>
        <v>0.1</v>
      </c>
      <c r="N24">
        <f t="shared" si="1"/>
        <v>58410</v>
      </c>
      <c r="O24">
        <f t="shared" si="2"/>
        <v>52569</v>
      </c>
      <c r="P24">
        <f>I24*IFERROR(_xlfn.XLOOKUP(F24,Lookup_Tables!Product,Cost),0)</f>
        <v>140230</v>
      </c>
      <c r="Q24">
        <f t="shared" si="3"/>
        <v>-87661</v>
      </c>
      <c r="R24" s="2">
        <f t="shared" si="4"/>
        <v>-1.6675417070897296</v>
      </c>
    </row>
    <row r="25" spans="1:18" x14ac:dyDescent="0.3">
      <c r="A25" t="s">
        <v>82</v>
      </c>
      <c r="B25" s="1">
        <v>45415</v>
      </c>
      <c r="C25" t="s">
        <v>3</v>
      </c>
      <c r="D25" t="s">
        <v>49</v>
      </c>
      <c r="E25" t="s">
        <v>27</v>
      </c>
      <c r="F25" t="s">
        <v>61</v>
      </c>
      <c r="G25" t="str">
        <f>INDEX(Lookup_Tables!$B$1:$B$7,MATCH(Cleaned_Data!F25,Lookup_Tables!$A$1:$A$7,0))</f>
        <v>Electronics</v>
      </c>
      <c r="H25" t="s">
        <v>54</v>
      </c>
      <c r="I25">
        <v>1</v>
      </c>
      <c r="J25">
        <v>43628</v>
      </c>
      <c r="K25">
        <v>0.05</v>
      </c>
      <c r="L25">
        <f t="shared" si="0"/>
        <v>0.05</v>
      </c>
      <c r="N25">
        <f t="shared" si="1"/>
        <v>43628</v>
      </c>
      <c r="O25">
        <f t="shared" si="2"/>
        <v>41446.6</v>
      </c>
      <c r="P25">
        <f>I25*IFERROR(_xlfn.XLOOKUP(F25,Lookup_Tables!Product,Cost),0)</f>
        <v>7384</v>
      </c>
      <c r="Q25">
        <f t="shared" si="3"/>
        <v>34062.6</v>
      </c>
      <c r="R25" s="2">
        <f t="shared" si="4"/>
        <v>0.8218430462329841</v>
      </c>
    </row>
    <row r="26" spans="1:18" x14ac:dyDescent="0.3">
      <c r="A26" t="s">
        <v>83</v>
      </c>
      <c r="B26" s="1">
        <v>45349</v>
      </c>
      <c r="C26" t="s">
        <v>3</v>
      </c>
      <c r="D26" t="s">
        <v>69</v>
      </c>
      <c r="E26" t="s">
        <v>28</v>
      </c>
      <c r="F26" t="s">
        <v>58</v>
      </c>
      <c r="G26" t="str">
        <f>INDEX(Lookup_Tables!$B$1:$B$7,MATCH(Cleaned_Data!F26,Lookup_Tables!$A$1:$A$7,0))</f>
        <v>Electronics</v>
      </c>
      <c r="H26" t="s">
        <v>54</v>
      </c>
      <c r="I26">
        <v>2</v>
      </c>
      <c r="J26">
        <v>49900</v>
      </c>
      <c r="K26">
        <v>0</v>
      </c>
      <c r="L26">
        <f t="shared" si="0"/>
        <v>0</v>
      </c>
      <c r="N26">
        <f t="shared" si="1"/>
        <v>99800</v>
      </c>
      <c r="O26">
        <f t="shared" si="2"/>
        <v>99800</v>
      </c>
      <c r="P26">
        <f>I26*IFERROR(_xlfn.XLOOKUP(F26,Lookup_Tables!Product,Cost),0)</f>
        <v>5776</v>
      </c>
      <c r="Q26">
        <f t="shared" si="3"/>
        <v>94024</v>
      </c>
      <c r="R26" s="2">
        <f t="shared" si="4"/>
        <v>0.94212424849699394</v>
      </c>
    </row>
    <row r="27" spans="1:18" x14ac:dyDescent="0.3">
      <c r="A27" t="s">
        <v>84</v>
      </c>
      <c r="B27" s="1">
        <v>45618</v>
      </c>
      <c r="C27" t="s">
        <v>4</v>
      </c>
      <c r="D27" t="s">
        <v>56</v>
      </c>
      <c r="E27" t="s">
        <v>26</v>
      </c>
      <c r="F27" t="s">
        <v>22</v>
      </c>
      <c r="G27" t="str">
        <f>INDEX(Lookup_Tables!$B$1:$B$7,MATCH(Cleaned_Data!F27,Lookup_Tables!$A$1:$A$7,0))</f>
        <v>Furniture</v>
      </c>
      <c r="H27" t="s">
        <v>51</v>
      </c>
      <c r="I27">
        <v>9</v>
      </c>
      <c r="J27">
        <v>25307</v>
      </c>
      <c r="L27">
        <f t="shared" si="0"/>
        <v>0</v>
      </c>
      <c r="M27">
        <v>7356</v>
      </c>
      <c r="N27">
        <f t="shared" si="1"/>
        <v>227763</v>
      </c>
      <c r="O27">
        <f t="shared" si="2"/>
        <v>227763</v>
      </c>
      <c r="P27">
        <f>I27*IFERROR(_xlfn.XLOOKUP(F27,Lookup_Tables!Product,Cost),0)</f>
        <v>117360</v>
      </c>
      <c r="Q27">
        <f t="shared" si="3"/>
        <v>110403</v>
      </c>
      <c r="R27" s="2">
        <f t="shared" si="4"/>
        <v>0.48472754573833327</v>
      </c>
    </row>
    <row r="28" spans="1:18" x14ac:dyDescent="0.3">
      <c r="A28" t="s">
        <v>85</v>
      </c>
      <c r="B28" s="1">
        <v>45655</v>
      </c>
      <c r="C28" t="s">
        <v>4</v>
      </c>
      <c r="D28" t="s">
        <v>53</v>
      </c>
      <c r="E28" t="s">
        <v>25</v>
      </c>
      <c r="F28" t="s">
        <v>58</v>
      </c>
      <c r="G28" t="str">
        <f>INDEX(Lookup_Tables!$B$1:$B$7,MATCH(Cleaned_Data!F28,Lookup_Tables!$A$1:$A$7,0))</f>
        <v>Electronics</v>
      </c>
      <c r="H28" t="s">
        <v>54</v>
      </c>
      <c r="I28">
        <v>9</v>
      </c>
      <c r="J28">
        <v>47015</v>
      </c>
      <c r="K28">
        <v>0</v>
      </c>
      <c r="L28">
        <f t="shared" si="0"/>
        <v>0</v>
      </c>
      <c r="M28">
        <v>27705</v>
      </c>
      <c r="N28">
        <f t="shared" si="1"/>
        <v>423135</v>
      </c>
      <c r="O28">
        <f t="shared" si="2"/>
        <v>423135</v>
      </c>
      <c r="P28">
        <f>I28*IFERROR(_xlfn.XLOOKUP(F28,Lookup_Tables!Product,Cost),0)</f>
        <v>25992</v>
      </c>
      <c r="Q28">
        <f t="shared" si="3"/>
        <v>397143</v>
      </c>
      <c r="R28" s="2">
        <f t="shared" si="4"/>
        <v>0.93857279591619691</v>
      </c>
    </row>
    <row r="29" spans="1:18" x14ac:dyDescent="0.3">
      <c r="A29" t="s">
        <v>86</v>
      </c>
      <c r="B29" s="1">
        <v>45638</v>
      </c>
      <c r="C29" t="s">
        <v>4</v>
      </c>
      <c r="D29" t="s">
        <v>53</v>
      </c>
      <c r="E29" t="s">
        <v>28</v>
      </c>
      <c r="F29" t="s">
        <v>58</v>
      </c>
      <c r="G29" t="str">
        <f>INDEX(Lookup_Tables!$B$1:$B$7,MATCH(Cleaned_Data!F29,Lookup_Tables!$A$1:$A$7,0))</f>
        <v>Electronics</v>
      </c>
      <c r="H29" t="s">
        <v>54</v>
      </c>
      <c r="I29">
        <v>4</v>
      </c>
      <c r="J29">
        <v>34893</v>
      </c>
      <c r="K29">
        <v>0.1</v>
      </c>
      <c r="L29">
        <f t="shared" si="0"/>
        <v>0.1</v>
      </c>
      <c r="N29">
        <f t="shared" si="1"/>
        <v>139572</v>
      </c>
      <c r="O29">
        <f t="shared" si="2"/>
        <v>125614.8</v>
      </c>
      <c r="P29">
        <f>I29*IFERROR(_xlfn.XLOOKUP(F29,Lookup_Tables!Product,Cost),0)</f>
        <v>11552</v>
      </c>
      <c r="Q29">
        <f t="shared" si="3"/>
        <v>114062.8</v>
      </c>
      <c r="R29" s="2">
        <f t="shared" si="4"/>
        <v>0.90803631419227671</v>
      </c>
    </row>
    <row r="30" spans="1:18" x14ac:dyDescent="0.3">
      <c r="A30" t="s">
        <v>87</v>
      </c>
      <c r="B30" s="1">
        <v>45315</v>
      </c>
      <c r="C30" t="s">
        <v>5</v>
      </c>
      <c r="D30" t="s">
        <v>76</v>
      </c>
      <c r="E30" t="s">
        <v>26</v>
      </c>
      <c r="F30" t="s">
        <v>50</v>
      </c>
      <c r="G30" t="str">
        <f>INDEX(Lookup_Tables!$B$1:$B$7,MATCH(Cleaned_Data!F30,Lookup_Tables!$A$1:$A$7,0))</f>
        <v>Furniture</v>
      </c>
      <c r="H30" t="s">
        <v>51</v>
      </c>
      <c r="I30">
        <v>9</v>
      </c>
      <c r="J30">
        <v>26283</v>
      </c>
      <c r="L30">
        <f t="shared" si="0"/>
        <v>0</v>
      </c>
      <c r="N30">
        <f t="shared" si="1"/>
        <v>236547</v>
      </c>
      <c r="O30">
        <f t="shared" si="2"/>
        <v>236547</v>
      </c>
      <c r="P30">
        <f>I30*IFERROR(_xlfn.XLOOKUP(F30,Lookup_Tables!Product,Cost),0)</f>
        <v>119439</v>
      </c>
      <c r="Q30">
        <f t="shared" si="3"/>
        <v>117108</v>
      </c>
      <c r="R30" s="2">
        <f t="shared" si="4"/>
        <v>0.49507286078453755</v>
      </c>
    </row>
    <row r="31" spans="1:18" x14ac:dyDescent="0.3">
      <c r="A31" t="s">
        <v>88</v>
      </c>
      <c r="B31" s="1">
        <v>45544</v>
      </c>
      <c r="C31" t="s">
        <v>5</v>
      </c>
      <c r="D31" t="s">
        <v>69</v>
      </c>
      <c r="E31" t="s">
        <v>26</v>
      </c>
      <c r="F31" t="s">
        <v>23</v>
      </c>
      <c r="G31" t="str">
        <f>INDEX(Lookup_Tables!$B$1:$B$7,MATCH(Cleaned_Data!F31,Lookup_Tables!$A$1:$A$7,0))</f>
        <v>Electronics</v>
      </c>
      <c r="H31" t="s">
        <v>54</v>
      </c>
      <c r="I31">
        <v>2</v>
      </c>
      <c r="J31">
        <v>26513</v>
      </c>
      <c r="K31">
        <v>0.1</v>
      </c>
      <c r="L31">
        <f t="shared" si="0"/>
        <v>0.1</v>
      </c>
      <c r="N31">
        <f t="shared" si="1"/>
        <v>53026</v>
      </c>
      <c r="O31">
        <f t="shared" si="2"/>
        <v>47723.4</v>
      </c>
      <c r="P31">
        <f>I31*IFERROR(_xlfn.XLOOKUP(F31,Lookup_Tables!Product,Cost),0)</f>
        <v>38530</v>
      </c>
      <c r="Q31">
        <f t="shared" si="3"/>
        <v>9193.4000000000015</v>
      </c>
      <c r="R31" s="2">
        <f t="shared" si="4"/>
        <v>0.19263925034679008</v>
      </c>
    </row>
    <row r="32" spans="1:18" x14ac:dyDescent="0.3">
      <c r="A32" t="s">
        <v>89</v>
      </c>
      <c r="B32" s="1">
        <v>45529</v>
      </c>
      <c r="C32" t="s">
        <v>6</v>
      </c>
      <c r="D32" t="s">
        <v>56</v>
      </c>
      <c r="E32" t="s">
        <v>26</v>
      </c>
      <c r="F32" t="s">
        <v>23</v>
      </c>
      <c r="G32" t="str">
        <f>INDEX(Lookup_Tables!$B$1:$B$7,MATCH(Cleaned_Data!F32,Lookup_Tables!$A$1:$A$7,0))</f>
        <v>Electronics</v>
      </c>
      <c r="H32" t="s">
        <v>54</v>
      </c>
      <c r="I32">
        <v>9</v>
      </c>
      <c r="J32">
        <v>49552</v>
      </c>
      <c r="K32">
        <v>0.1</v>
      </c>
      <c r="L32">
        <f t="shared" si="0"/>
        <v>0.1</v>
      </c>
      <c r="M32">
        <v>22087</v>
      </c>
      <c r="N32">
        <f t="shared" si="1"/>
        <v>445968</v>
      </c>
      <c r="O32">
        <f t="shared" si="2"/>
        <v>401371.2</v>
      </c>
      <c r="P32">
        <f>I32*IFERROR(_xlfn.XLOOKUP(F32,Lookup_Tables!Product,Cost),0)</f>
        <v>173385</v>
      </c>
      <c r="Q32">
        <f t="shared" si="3"/>
        <v>227986.2</v>
      </c>
      <c r="R32" s="2">
        <f t="shared" si="4"/>
        <v>0.56801833315394823</v>
      </c>
    </row>
    <row r="33" spans="1:18" x14ac:dyDescent="0.3">
      <c r="A33" t="s">
        <v>90</v>
      </c>
      <c r="B33" s="1">
        <v>45479</v>
      </c>
      <c r="C33" t="s">
        <v>6</v>
      </c>
      <c r="D33" t="s">
        <v>76</v>
      </c>
      <c r="E33" t="s">
        <v>27</v>
      </c>
      <c r="F33" t="s">
        <v>58</v>
      </c>
      <c r="G33" t="str">
        <f>INDEX(Lookup_Tables!$B$1:$B$7,MATCH(Cleaned_Data!F33,Lookup_Tables!$A$1:$A$7,0))</f>
        <v>Electronics</v>
      </c>
      <c r="H33" t="s">
        <v>54</v>
      </c>
      <c r="I33">
        <v>6</v>
      </c>
      <c r="J33">
        <v>26441</v>
      </c>
      <c r="L33">
        <f t="shared" si="0"/>
        <v>0</v>
      </c>
      <c r="M33">
        <v>21986</v>
      </c>
      <c r="N33">
        <f t="shared" si="1"/>
        <v>158646</v>
      </c>
      <c r="O33">
        <f t="shared" si="2"/>
        <v>158646</v>
      </c>
      <c r="P33">
        <f>I33*IFERROR(_xlfn.XLOOKUP(F33,Lookup_Tables!Product,Cost),0)</f>
        <v>17328</v>
      </c>
      <c r="Q33">
        <f t="shared" si="3"/>
        <v>141318</v>
      </c>
      <c r="R33" s="2">
        <f t="shared" si="4"/>
        <v>0.89077568927045114</v>
      </c>
    </row>
    <row r="34" spans="1:18" x14ac:dyDescent="0.3">
      <c r="A34" t="s">
        <v>91</v>
      </c>
      <c r="B34" s="1">
        <v>45561</v>
      </c>
      <c r="C34" t="s">
        <v>5</v>
      </c>
      <c r="D34" t="s">
        <v>53</v>
      </c>
      <c r="E34" t="s">
        <v>25</v>
      </c>
      <c r="F34" t="s">
        <v>61</v>
      </c>
      <c r="G34" t="str">
        <f>INDEX(Lookup_Tables!$B$1:$B$7,MATCH(Cleaned_Data!F34,Lookup_Tables!$A$1:$A$7,0))</f>
        <v>Electronics</v>
      </c>
      <c r="H34" t="s">
        <v>54</v>
      </c>
      <c r="I34">
        <v>9</v>
      </c>
      <c r="J34">
        <v>30588</v>
      </c>
      <c r="K34">
        <v>0.1</v>
      </c>
      <c r="L34">
        <f t="shared" si="0"/>
        <v>0.1</v>
      </c>
      <c r="M34">
        <v>22011</v>
      </c>
      <c r="N34">
        <f t="shared" si="1"/>
        <v>275292</v>
      </c>
      <c r="O34">
        <f t="shared" si="2"/>
        <v>247762.8</v>
      </c>
      <c r="P34">
        <f>I34*IFERROR(_xlfn.XLOOKUP(F34,Lookup_Tables!Product,Cost),0)</f>
        <v>66456</v>
      </c>
      <c r="Q34">
        <f t="shared" si="3"/>
        <v>181306.8</v>
      </c>
      <c r="R34" s="2">
        <f t="shared" si="4"/>
        <v>0.73177571451404322</v>
      </c>
    </row>
    <row r="35" spans="1:18" x14ac:dyDescent="0.3">
      <c r="A35" t="s">
        <v>92</v>
      </c>
      <c r="B35" s="1">
        <v>45336</v>
      </c>
      <c r="C35" t="s">
        <v>3</v>
      </c>
      <c r="D35" t="s">
        <v>69</v>
      </c>
      <c r="E35" t="s">
        <v>25</v>
      </c>
      <c r="F35" t="s">
        <v>58</v>
      </c>
      <c r="G35" t="str">
        <f>INDEX(Lookup_Tables!$B$1:$B$7,MATCH(Cleaned_Data!F35,Lookup_Tables!$A$1:$A$7,0))</f>
        <v>Electronics</v>
      </c>
      <c r="H35" t="s">
        <v>54</v>
      </c>
      <c r="I35">
        <v>9</v>
      </c>
      <c r="J35">
        <v>27695</v>
      </c>
      <c r="L35">
        <f t="shared" si="0"/>
        <v>0</v>
      </c>
      <c r="N35">
        <f t="shared" si="1"/>
        <v>249255</v>
      </c>
      <c r="O35">
        <f t="shared" si="2"/>
        <v>249255</v>
      </c>
      <c r="P35">
        <f>I35*IFERROR(_xlfn.XLOOKUP(F35,Lookup_Tables!Product,Cost),0)</f>
        <v>25992</v>
      </c>
      <c r="Q35">
        <f t="shared" si="3"/>
        <v>223263</v>
      </c>
      <c r="R35" s="2">
        <f t="shared" si="4"/>
        <v>0.89572124932298247</v>
      </c>
    </row>
    <row r="36" spans="1:18" x14ac:dyDescent="0.3">
      <c r="A36" t="s">
        <v>93</v>
      </c>
      <c r="B36" s="1">
        <v>45642</v>
      </c>
      <c r="C36" t="s">
        <v>3</v>
      </c>
      <c r="D36" t="s">
        <v>49</v>
      </c>
      <c r="E36" t="s">
        <v>27</v>
      </c>
      <c r="F36" t="s">
        <v>61</v>
      </c>
      <c r="G36" t="str">
        <f>INDEX(Lookup_Tables!$B$1:$B$7,MATCH(Cleaned_Data!F36,Lookup_Tables!$A$1:$A$7,0))</f>
        <v>Electronics</v>
      </c>
      <c r="H36" t="s">
        <v>54</v>
      </c>
      <c r="I36">
        <v>2</v>
      </c>
      <c r="J36">
        <v>10738</v>
      </c>
      <c r="K36">
        <v>0</v>
      </c>
      <c r="L36">
        <f t="shared" si="0"/>
        <v>0</v>
      </c>
      <c r="M36">
        <v>5576</v>
      </c>
      <c r="N36">
        <f t="shared" si="1"/>
        <v>21476</v>
      </c>
      <c r="O36">
        <f t="shared" si="2"/>
        <v>21476</v>
      </c>
      <c r="P36">
        <f>I36*IFERROR(_xlfn.XLOOKUP(F36,Lookup_Tables!Product,Cost),0)</f>
        <v>14768</v>
      </c>
      <c r="Q36">
        <f t="shared" si="3"/>
        <v>6708</v>
      </c>
      <c r="R36" s="2">
        <f t="shared" si="4"/>
        <v>0.31234866828087166</v>
      </c>
    </row>
    <row r="37" spans="1:18" x14ac:dyDescent="0.3">
      <c r="A37" t="s">
        <v>94</v>
      </c>
      <c r="B37" s="1">
        <v>45336</v>
      </c>
      <c r="C37" t="s">
        <v>3</v>
      </c>
      <c r="D37" t="s">
        <v>49</v>
      </c>
      <c r="E37" t="s">
        <v>25</v>
      </c>
      <c r="F37" t="s">
        <v>58</v>
      </c>
      <c r="G37" t="str">
        <f>INDEX(Lookup_Tables!$B$1:$B$7,MATCH(Cleaned_Data!F37,Lookup_Tables!$A$1:$A$7,0))</f>
        <v>Electronics</v>
      </c>
      <c r="H37" t="s">
        <v>54</v>
      </c>
      <c r="I37">
        <v>6</v>
      </c>
      <c r="J37">
        <v>7619</v>
      </c>
      <c r="L37">
        <f t="shared" si="0"/>
        <v>0</v>
      </c>
      <c r="M37">
        <v>13277</v>
      </c>
      <c r="N37">
        <f t="shared" si="1"/>
        <v>45714</v>
      </c>
      <c r="O37">
        <f t="shared" si="2"/>
        <v>45714</v>
      </c>
      <c r="P37">
        <f>I37*IFERROR(_xlfn.XLOOKUP(F37,Lookup_Tables!Product,Cost),0)</f>
        <v>17328</v>
      </c>
      <c r="Q37">
        <f t="shared" si="3"/>
        <v>28386</v>
      </c>
      <c r="R37" s="2">
        <f t="shared" si="4"/>
        <v>0.62094763092269323</v>
      </c>
    </row>
    <row r="38" spans="1:18" x14ac:dyDescent="0.3">
      <c r="A38" t="s">
        <v>95</v>
      </c>
      <c r="B38" s="1">
        <v>45346</v>
      </c>
      <c r="C38" t="s">
        <v>3</v>
      </c>
      <c r="D38" t="s">
        <v>56</v>
      </c>
      <c r="E38" t="s">
        <v>28</v>
      </c>
      <c r="F38" t="s">
        <v>23</v>
      </c>
      <c r="G38" t="str">
        <f>INDEX(Lookup_Tables!$B$1:$B$7,MATCH(Cleaned_Data!F38,Lookup_Tables!$A$1:$A$7,0))</f>
        <v>Electronics</v>
      </c>
      <c r="H38" t="s">
        <v>54</v>
      </c>
      <c r="I38">
        <v>8</v>
      </c>
      <c r="J38">
        <v>37570</v>
      </c>
      <c r="L38">
        <f t="shared" si="0"/>
        <v>0</v>
      </c>
      <c r="N38">
        <f t="shared" si="1"/>
        <v>300560</v>
      </c>
      <c r="O38">
        <f t="shared" si="2"/>
        <v>300560</v>
      </c>
      <c r="P38">
        <f>I38*IFERROR(_xlfn.XLOOKUP(F38,Lookup_Tables!Product,Cost),0)</f>
        <v>154120</v>
      </c>
      <c r="Q38">
        <f t="shared" si="3"/>
        <v>146440</v>
      </c>
      <c r="R38" s="2">
        <f t="shared" si="4"/>
        <v>0.48722384881554431</v>
      </c>
    </row>
    <row r="39" spans="1:18" x14ac:dyDescent="0.3">
      <c r="A39" t="s">
        <v>96</v>
      </c>
      <c r="B39" s="1">
        <v>45560</v>
      </c>
      <c r="C39" t="s">
        <v>4</v>
      </c>
      <c r="D39" t="s">
        <v>56</v>
      </c>
      <c r="E39" t="s">
        <v>28</v>
      </c>
      <c r="F39" t="s">
        <v>61</v>
      </c>
      <c r="G39" t="str">
        <f>INDEX(Lookup_Tables!$B$1:$B$7,MATCH(Cleaned_Data!F39,Lookup_Tables!$A$1:$A$7,0))</f>
        <v>Electronics</v>
      </c>
      <c r="H39" t="s">
        <v>54</v>
      </c>
      <c r="I39">
        <v>1</v>
      </c>
      <c r="J39">
        <v>12074</v>
      </c>
      <c r="K39">
        <v>0.1</v>
      </c>
      <c r="L39">
        <f t="shared" si="0"/>
        <v>0.1</v>
      </c>
      <c r="N39">
        <f t="shared" si="1"/>
        <v>12074</v>
      </c>
      <c r="O39">
        <f t="shared" si="2"/>
        <v>10866.6</v>
      </c>
      <c r="P39">
        <f>I39*IFERROR(_xlfn.XLOOKUP(F39,Lookup_Tables!Product,Cost),0)</f>
        <v>7384</v>
      </c>
      <c r="Q39">
        <f t="shared" si="3"/>
        <v>3482.6000000000004</v>
      </c>
      <c r="R39" s="2">
        <f t="shared" si="4"/>
        <v>0.32048662875232364</v>
      </c>
    </row>
    <row r="40" spans="1:18" x14ac:dyDescent="0.3">
      <c r="A40" t="s">
        <v>97</v>
      </c>
      <c r="B40" s="1">
        <v>45397</v>
      </c>
      <c r="C40" t="s">
        <v>5</v>
      </c>
      <c r="D40" t="s">
        <v>69</v>
      </c>
      <c r="E40" t="s">
        <v>29</v>
      </c>
      <c r="F40" t="s">
        <v>61</v>
      </c>
      <c r="G40" t="str">
        <f>INDEX(Lookup_Tables!$B$1:$B$7,MATCH(Cleaned_Data!F40,Lookup_Tables!$A$1:$A$7,0))</f>
        <v>Electronics</v>
      </c>
      <c r="H40" t="s">
        <v>54</v>
      </c>
      <c r="I40">
        <v>1</v>
      </c>
      <c r="J40">
        <v>44737</v>
      </c>
      <c r="K40">
        <v>0.1</v>
      </c>
      <c r="L40">
        <f t="shared" si="0"/>
        <v>0.1</v>
      </c>
      <c r="M40">
        <v>24975</v>
      </c>
      <c r="N40">
        <f t="shared" si="1"/>
        <v>44737</v>
      </c>
      <c r="O40">
        <f t="shared" si="2"/>
        <v>40263.300000000003</v>
      </c>
      <c r="P40">
        <f>I40*IFERROR(_xlfn.XLOOKUP(F40,Lookup_Tables!Product,Cost),0)</f>
        <v>7384</v>
      </c>
      <c r="Q40">
        <f t="shared" si="3"/>
        <v>32879.300000000003</v>
      </c>
      <c r="R40" s="2">
        <f t="shared" si="4"/>
        <v>0.81660718321647752</v>
      </c>
    </row>
    <row r="41" spans="1:18" x14ac:dyDescent="0.3">
      <c r="A41" t="s">
        <v>98</v>
      </c>
      <c r="B41" s="1">
        <v>45329</v>
      </c>
      <c r="C41" t="s">
        <v>6</v>
      </c>
      <c r="D41" t="s">
        <v>76</v>
      </c>
      <c r="E41" t="s">
        <v>27</v>
      </c>
      <c r="F41" t="s">
        <v>24</v>
      </c>
      <c r="G41" t="str">
        <f>INDEX(Lookup_Tables!$B$1:$B$7,MATCH(Cleaned_Data!F41,Lookup_Tables!$A$1:$A$7,0))</f>
        <v>Electronics</v>
      </c>
      <c r="H41" t="s">
        <v>54</v>
      </c>
      <c r="I41">
        <v>8</v>
      </c>
      <c r="J41">
        <v>19251</v>
      </c>
      <c r="K41">
        <v>0.05</v>
      </c>
      <c r="L41">
        <f t="shared" si="0"/>
        <v>0.05</v>
      </c>
      <c r="M41">
        <v>26894</v>
      </c>
      <c r="N41">
        <f t="shared" si="1"/>
        <v>154008</v>
      </c>
      <c r="O41">
        <f t="shared" si="2"/>
        <v>146307.6</v>
      </c>
      <c r="P41">
        <f>I41*IFERROR(_xlfn.XLOOKUP(F41,Lookup_Tables!Product,Cost),0)</f>
        <v>224368</v>
      </c>
      <c r="Q41">
        <f t="shared" si="3"/>
        <v>-78060.399999999994</v>
      </c>
      <c r="R41" s="2">
        <f t="shared" si="4"/>
        <v>-0.53353619360853433</v>
      </c>
    </row>
    <row r="42" spans="1:18" x14ac:dyDescent="0.3">
      <c r="A42" t="s">
        <v>99</v>
      </c>
      <c r="B42" s="1">
        <v>45591</v>
      </c>
      <c r="C42" t="s">
        <v>5</v>
      </c>
      <c r="D42" t="s">
        <v>53</v>
      </c>
      <c r="E42" t="s">
        <v>26</v>
      </c>
      <c r="F42" t="s">
        <v>22</v>
      </c>
      <c r="G42" t="str">
        <f>INDEX(Lookup_Tables!$B$1:$B$7,MATCH(Cleaned_Data!F42,Lookup_Tables!$A$1:$A$7,0))</f>
        <v>Furniture</v>
      </c>
      <c r="H42" t="s">
        <v>51</v>
      </c>
      <c r="I42">
        <v>3</v>
      </c>
      <c r="J42">
        <v>48694</v>
      </c>
      <c r="K42">
        <v>0</v>
      </c>
      <c r="L42">
        <f t="shared" si="0"/>
        <v>0</v>
      </c>
      <c r="M42">
        <v>6974</v>
      </c>
      <c r="N42">
        <f t="shared" si="1"/>
        <v>146082</v>
      </c>
      <c r="O42">
        <f t="shared" si="2"/>
        <v>146082</v>
      </c>
      <c r="P42">
        <f>I42*IFERROR(_xlfn.XLOOKUP(F42,Lookup_Tables!Product,Cost),0)</f>
        <v>39120</v>
      </c>
      <c r="Q42">
        <f t="shared" si="3"/>
        <v>106962</v>
      </c>
      <c r="R42" s="2">
        <f t="shared" si="4"/>
        <v>0.73220519981927956</v>
      </c>
    </row>
    <row r="43" spans="1:18" x14ac:dyDescent="0.3">
      <c r="A43" t="s">
        <v>100</v>
      </c>
      <c r="B43" s="1">
        <v>45620</v>
      </c>
      <c r="C43" t="s">
        <v>6</v>
      </c>
      <c r="D43" t="s">
        <v>49</v>
      </c>
      <c r="E43" t="s">
        <v>27</v>
      </c>
      <c r="F43" t="s">
        <v>50</v>
      </c>
      <c r="G43" t="str">
        <f>INDEX(Lookup_Tables!$B$1:$B$7,MATCH(Cleaned_Data!F43,Lookup_Tables!$A$1:$A$7,0))</f>
        <v>Furniture</v>
      </c>
      <c r="H43" t="s">
        <v>51</v>
      </c>
      <c r="I43">
        <v>1</v>
      </c>
      <c r="J43">
        <v>35665</v>
      </c>
      <c r="K43">
        <v>0.1</v>
      </c>
      <c r="L43">
        <f t="shared" si="0"/>
        <v>0.1</v>
      </c>
      <c r="N43">
        <f t="shared" si="1"/>
        <v>35665</v>
      </c>
      <c r="O43">
        <f t="shared" si="2"/>
        <v>32098.5</v>
      </c>
      <c r="P43">
        <f>I43*IFERROR(_xlfn.XLOOKUP(F43,Lookup_Tables!Product,Cost),0)</f>
        <v>13271</v>
      </c>
      <c r="Q43">
        <f t="shared" si="3"/>
        <v>18827.5</v>
      </c>
      <c r="R43" s="2">
        <f t="shared" si="4"/>
        <v>0.58655388881100368</v>
      </c>
    </row>
    <row r="44" spans="1:18" x14ac:dyDescent="0.3">
      <c r="A44" t="s">
        <v>101</v>
      </c>
      <c r="B44" s="1">
        <v>45455</v>
      </c>
      <c r="C44" t="s">
        <v>5</v>
      </c>
      <c r="D44" t="s">
        <v>49</v>
      </c>
      <c r="E44" t="s">
        <v>25</v>
      </c>
      <c r="F44" t="s">
        <v>50</v>
      </c>
      <c r="G44" t="str">
        <f>INDEX(Lookup_Tables!$B$1:$B$7,MATCH(Cleaned_Data!F44,Lookup_Tables!$A$1:$A$7,0))</f>
        <v>Furniture</v>
      </c>
      <c r="H44" t="s">
        <v>51</v>
      </c>
      <c r="I44">
        <v>1</v>
      </c>
      <c r="J44">
        <v>18940</v>
      </c>
      <c r="K44">
        <v>0</v>
      </c>
      <c r="L44">
        <f t="shared" si="0"/>
        <v>0</v>
      </c>
      <c r="N44">
        <f t="shared" si="1"/>
        <v>18940</v>
      </c>
      <c r="O44">
        <f t="shared" si="2"/>
        <v>18940</v>
      </c>
      <c r="P44">
        <f>I44*IFERROR(_xlfn.XLOOKUP(F44,Lookup_Tables!Product,Cost),0)</f>
        <v>13271</v>
      </c>
      <c r="Q44">
        <f t="shared" si="3"/>
        <v>5669</v>
      </c>
      <c r="R44" s="2">
        <f t="shared" si="4"/>
        <v>0.29931362196409717</v>
      </c>
    </row>
    <row r="45" spans="1:18" x14ac:dyDescent="0.3">
      <c r="A45" t="s">
        <v>102</v>
      </c>
      <c r="B45" s="1">
        <v>45349</v>
      </c>
      <c r="C45" t="s">
        <v>3</v>
      </c>
      <c r="D45" t="s">
        <v>76</v>
      </c>
      <c r="E45" t="s">
        <v>26</v>
      </c>
      <c r="F45" t="s">
        <v>61</v>
      </c>
      <c r="G45" t="str">
        <f>INDEX(Lookup_Tables!$B$1:$B$7,MATCH(Cleaned_Data!F45,Lookup_Tables!$A$1:$A$7,0))</f>
        <v>Electronics</v>
      </c>
      <c r="H45" t="s">
        <v>54</v>
      </c>
      <c r="I45">
        <v>3</v>
      </c>
      <c r="J45">
        <v>672</v>
      </c>
      <c r="K45">
        <v>0.05</v>
      </c>
      <c r="L45">
        <f t="shared" si="0"/>
        <v>0.05</v>
      </c>
      <c r="M45">
        <v>16590</v>
      </c>
      <c r="N45">
        <f t="shared" si="1"/>
        <v>2016</v>
      </c>
      <c r="O45">
        <f t="shared" si="2"/>
        <v>1915.2</v>
      </c>
      <c r="P45">
        <f>I45*IFERROR(_xlfn.XLOOKUP(F45,Lookup_Tables!Product,Cost),0)</f>
        <v>22152</v>
      </c>
      <c r="Q45">
        <f t="shared" si="3"/>
        <v>-20236.8</v>
      </c>
      <c r="R45" s="2">
        <f t="shared" si="4"/>
        <v>-10.56641604010025</v>
      </c>
    </row>
    <row r="46" spans="1:18" x14ac:dyDescent="0.3">
      <c r="A46" t="s">
        <v>103</v>
      </c>
      <c r="B46" s="1">
        <v>45539</v>
      </c>
      <c r="C46" t="s">
        <v>6</v>
      </c>
      <c r="D46" t="s">
        <v>69</v>
      </c>
      <c r="E46" t="s">
        <v>26</v>
      </c>
      <c r="F46" t="s">
        <v>50</v>
      </c>
      <c r="G46" t="str">
        <f>INDEX(Lookup_Tables!$B$1:$B$7,MATCH(Cleaned_Data!F46,Lookup_Tables!$A$1:$A$7,0))</f>
        <v>Furniture</v>
      </c>
      <c r="H46" t="s">
        <v>51</v>
      </c>
      <c r="I46">
        <v>1</v>
      </c>
      <c r="J46">
        <v>18649</v>
      </c>
      <c r="K46">
        <v>0.1</v>
      </c>
      <c r="L46">
        <f t="shared" si="0"/>
        <v>0.1</v>
      </c>
      <c r="M46">
        <v>9880</v>
      </c>
      <c r="N46">
        <f t="shared" si="1"/>
        <v>18649</v>
      </c>
      <c r="O46">
        <f t="shared" si="2"/>
        <v>16784.099999999999</v>
      </c>
      <c r="P46">
        <f>I46*IFERROR(_xlfn.XLOOKUP(F46,Lookup_Tables!Product,Cost),0)</f>
        <v>13271</v>
      </c>
      <c r="Q46">
        <f t="shared" si="3"/>
        <v>3513.0999999999985</v>
      </c>
      <c r="R46" s="2">
        <f t="shared" si="4"/>
        <v>0.20931119333178419</v>
      </c>
    </row>
    <row r="47" spans="1:18" x14ac:dyDescent="0.3">
      <c r="A47" t="s">
        <v>104</v>
      </c>
      <c r="B47" s="1">
        <v>45428</v>
      </c>
      <c r="C47" t="s">
        <v>3</v>
      </c>
      <c r="D47" t="s">
        <v>64</v>
      </c>
      <c r="E47" t="s">
        <v>25</v>
      </c>
      <c r="F47" t="s">
        <v>50</v>
      </c>
      <c r="G47" t="str">
        <f>INDEX(Lookup_Tables!$B$1:$B$7,MATCH(Cleaned_Data!F47,Lookup_Tables!$A$1:$A$7,0))</f>
        <v>Furniture</v>
      </c>
      <c r="H47" t="s">
        <v>51</v>
      </c>
      <c r="I47">
        <v>4</v>
      </c>
      <c r="J47">
        <v>12994</v>
      </c>
      <c r="L47">
        <f t="shared" si="0"/>
        <v>0</v>
      </c>
      <c r="M47">
        <v>969</v>
      </c>
      <c r="N47">
        <f t="shared" si="1"/>
        <v>51976</v>
      </c>
      <c r="O47">
        <f t="shared" si="2"/>
        <v>51976</v>
      </c>
      <c r="P47">
        <f>I47*IFERROR(_xlfn.XLOOKUP(F47,Lookup_Tables!Product,Cost),0)</f>
        <v>53084</v>
      </c>
      <c r="Q47">
        <f t="shared" si="3"/>
        <v>-1108</v>
      </c>
      <c r="R47" s="2">
        <f t="shared" si="4"/>
        <v>-2.1317531168231492E-2</v>
      </c>
    </row>
    <row r="48" spans="1:18" x14ac:dyDescent="0.3">
      <c r="A48" t="s">
        <v>105</v>
      </c>
      <c r="B48" s="1">
        <v>45432</v>
      </c>
      <c r="C48" t="s">
        <v>5</v>
      </c>
      <c r="D48" t="s">
        <v>64</v>
      </c>
      <c r="E48" t="s">
        <v>29</v>
      </c>
      <c r="F48" t="s">
        <v>50</v>
      </c>
      <c r="G48" t="str">
        <f>INDEX(Lookup_Tables!$B$1:$B$7,MATCH(Cleaned_Data!F48,Lookup_Tables!$A$1:$A$7,0))</f>
        <v>Furniture</v>
      </c>
      <c r="H48" t="s">
        <v>51</v>
      </c>
      <c r="I48">
        <v>8</v>
      </c>
      <c r="J48">
        <v>9668</v>
      </c>
      <c r="K48">
        <v>0.1</v>
      </c>
      <c r="L48">
        <f t="shared" si="0"/>
        <v>0.1</v>
      </c>
      <c r="N48">
        <f t="shared" si="1"/>
        <v>77344</v>
      </c>
      <c r="O48">
        <f t="shared" si="2"/>
        <v>69609.600000000006</v>
      </c>
      <c r="P48">
        <f>I48*IFERROR(_xlfn.XLOOKUP(F48,Lookup_Tables!Product,Cost),0)</f>
        <v>106168</v>
      </c>
      <c r="Q48">
        <f t="shared" si="3"/>
        <v>-36558.399999999994</v>
      </c>
      <c r="R48" s="2">
        <f t="shared" si="4"/>
        <v>-0.52519192755022281</v>
      </c>
    </row>
    <row r="49" spans="1:18" x14ac:dyDescent="0.3">
      <c r="A49" t="s">
        <v>106</v>
      </c>
      <c r="B49" s="1">
        <v>45518</v>
      </c>
      <c r="C49" t="s">
        <v>6</v>
      </c>
      <c r="D49" t="s">
        <v>53</v>
      </c>
      <c r="E49" t="s">
        <v>29</v>
      </c>
      <c r="F49" t="s">
        <v>58</v>
      </c>
      <c r="G49" t="str">
        <f>INDEX(Lookup_Tables!$B$1:$B$7,MATCH(Cleaned_Data!F49,Lookup_Tables!$A$1:$A$7,0))</f>
        <v>Electronics</v>
      </c>
      <c r="H49" t="s">
        <v>54</v>
      </c>
      <c r="I49">
        <v>6</v>
      </c>
      <c r="J49">
        <v>38361</v>
      </c>
      <c r="K49">
        <v>0</v>
      </c>
      <c r="L49">
        <f t="shared" si="0"/>
        <v>0</v>
      </c>
      <c r="N49">
        <f t="shared" si="1"/>
        <v>230166</v>
      </c>
      <c r="O49">
        <f t="shared" si="2"/>
        <v>230166</v>
      </c>
      <c r="P49">
        <f>I49*IFERROR(_xlfn.XLOOKUP(F49,Lookup_Tables!Product,Cost),0)</f>
        <v>17328</v>
      </c>
      <c r="Q49">
        <f t="shared" si="3"/>
        <v>212838</v>
      </c>
      <c r="R49" s="2">
        <f t="shared" si="4"/>
        <v>0.92471520554730069</v>
      </c>
    </row>
    <row r="50" spans="1:18" x14ac:dyDescent="0.3">
      <c r="A50" t="s">
        <v>107</v>
      </c>
      <c r="B50" s="1">
        <v>45454</v>
      </c>
      <c r="C50" t="s">
        <v>4</v>
      </c>
      <c r="D50" t="s">
        <v>76</v>
      </c>
      <c r="E50" t="s">
        <v>25</v>
      </c>
      <c r="F50" t="s">
        <v>22</v>
      </c>
      <c r="G50" t="str">
        <f>INDEX(Lookup_Tables!$B$1:$B$7,MATCH(Cleaned_Data!F50,Lookup_Tables!$A$1:$A$7,0))</f>
        <v>Furniture</v>
      </c>
      <c r="H50" t="s">
        <v>51</v>
      </c>
      <c r="I50">
        <v>4</v>
      </c>
      <c r="J50">
        <v>2202</v>
      </c>
      <c r="K50">
        <v>0.05</v>
      </c>
      <c r="L50">
        <f t="shared" si="0"/>
        <v>0.05</v>
      </c>
      <c r="M50">
        <v>25372</v>
      </c>
      <c r="N50">
        <f t="shared" si="1"/>
        <v>8808</v>
      </c>
      <c r="O50">
        <f t="shared" si="2"/>
        <v>8367.6</v>
      </c>
      <c r="P50">
        <f>I50*IFERROR(_xlfn.XLOOKUP(F50,Lookup_Tables!Product,Cost),0)</f>
        <v>52160</v>
      </c>
      <c r="Q50">
        <f t="shared" si="3"/>
        <v>-43792.4</v>
      </c>
      <c r="R50" s="2">
        <f t="shared" si="4"/>
        <v>-5.2335675701515365</v>
      </c>
    </row>
    <row r="51" spans="1:18" x14ac:dyDescent="0.3">
      <c r="A51" t="s">
        <v>108</v>
      </c>
      <c r="B51" s="1">
        <v>45639</v>
      </c>
      <c r="C51" t="s">
        <v>3</v>
      </c>
      <c r="D51" t="s">
        <v>69</v>
      </c>
      <c r="E51" t="s">
        <v>28</v>
      </c>
      <c r="F51" t="s">
        <v>24</v>
      </c>
      <c r="G51" t="str">
        <f>INDEX(Lookup_Tables!$B$1:$B$7,MATCH(Cleaned_Data!F51,Lookup_Tables!$A$1:$A$7,0))</f>
        <v>Electronics</v>
      </c>
      <c r="H51" t="s">
        <v>54</v>
      </c>
      <c r="I51">
        <v>7</v>
      </c>
      <c r="J51">
        <v>43713</v>
      </c>
      <c r="K51">
        <v>0.1</v>
      </c>
      <c r="L51">
        <f t="shared" si="0"/>
        <v>0.1</v>
      </c>
      <c r="N51">
        <f t="shared" si="1"/>
        <v>305991</v>
      </c>
      <c r="O51">
        <f t="shared" si="2"/>
        <v>275391.90000000002</v>
      </c>
      <c r="P51">
        <f>I51*IFERROR(_xlfn.XLOOKUP(F51,Lookup_Tables!Product,Cost),0)</f>
        <v>196322</v>
      </c>
      <c r="Q51">
        <f t="shared" si="3"/>
        <v>79069.900000000023</v>
      </c>
      <c r="R51" s="2">
        <f t="shared" si="4"/>
        <v>0.28711774020949787</v>
      </c>
    </row>
    <row r="52" spans="1:18" x14ac:dyDescent="0.3">
      <c r="A52" t="s">
        <v>109</v>
      </c>
      <c r="B52" s="1">
        <v>45399</v>
      </c>
      <c r="C52" t="s">
        <v>3</v>
      </c>
      <c r="D52" t="s">
        <v>76</v>
      </c>
      <c r="E52" t="s">
        <v>29</v>
      </c>
      <c r="F52" t="s">
        <v>23</v>
      </c>
      <c r="G52" t="str">
        <f>INDEX(Lookup_Tables!$B$1:$B$7,MATCH(Cleaned_Data!F52,Lookup_Tables!$A$1:$A$7,0))</f>
        <v>Electronics</v>
      </c>
      <c r="H52" t="s">
        <v>54</v>
      </c>
      <c r="I52">
        <v>8</v>
      </c>
      <c r="J52">
        <v>1172</v>
      </c>
      <c r="L52">
        <f t="shared" si="0"/>
        <v>0</v>
      </c>
      <c r="N52">
        <f t="shared" si="1"/>
        <v>9376</v>
      </c>
      <c r="O52">
        <f t="shared" si="2"/>
        <v>9376</v>
      </c>
      <c r="P52">
        <f>I52*IFERROR(_xlfn.XLOOKUP(F52,Lookup_Tables!Product,Cost),0)</f>
        <v>154120</v>
      </c>
      <c r="Q52">
        <f t="shared" si="3"/>
        <v>-144744</v>
      </c>
      <c r="R52" s="2">
        <f t="shared" si="4"/>
        <v>-15.437713310580206</v>
      </c>
    </row>
    <row r="53" spans="1:18" x14ac:dyDescent="0.3">
      <c r="A53" t="s">
        <v>110</v>
      </c>
      <c r="B53" s="1">
        <v>45568</v>
      </c>
      <c r="C53" t="s">
        <v>4</v>
      </c>
      <c r="D53" t="s">
        <v>76</v>
      </c>
      <c r="E53" t="s">
        <v>25</v>
      </c>
      <c r="F53" t="s">
        <v>58</v>
      </c>
      <c r="G53" t="str">
        <f>INDEX(Lookup_Tables!$B$1:$B$7,MATCH(Cleaned_Data!F53,Lookup_Tables!$A$1:$A$7,0))</f>
        <v>Electronics</v>
      </c>
      <c r="H53" t="s">
        <v>54</v>
      </c>
      <c r="I53">
        <v>2</v>
      </c>
      <c r="J53">
        <v>28932</v>
      </c>
      <c r="L53">
        <f t="shared" si="0"/>
        <v>0</v>
      </c>
      <c r="M53">
        <v>19839</v>
      </c>
      <c r="N53">
        <f t="shared" si="1"/>
        <v>57864</v>
      </c>
      <c r="O53">
        <f t="shared" si="2"/>
        <v>57864</v>
      </c>
      <c r="P53">
        <f>I53*IFERROR(_xlfn.XLOOKUP(F53,Lookup_Tables!Product,Cost),0)</f>
        <v>5776</v>
      </c>
      <c r="Q53">
        <f t="shared" si="3"/>
        <v>52088</v>
      </c>
      <c r="R53" s="2">
        <f t="shared" si="4"/>
        <v>0.90017973178487487</v>
      </c>
    </row>
    <row r="54" spans="1:18" x14ac:dyDescent="0.3">
      <c r="A54" t="s">
        <v>111</v>
      </c>
      <c r="B54" s="1">
        <v>45379</v>
      </c>
      <c r="C54" t="s">
        <v>5</v>
      </c>
      <c r="D54" t="s">
        <v>56</v>
      </c>
      <c r="E54" t="s">
        <v>29</v>
      </c>
      <c r="F54" t="s">
        <v>61</v>
      </c>
      <c r="G54" t="str">
        <f>INDEX(Lookup_Tables!$B$1:$B$7,MATCH(Cleaned_Data!F54,Lookup_Tables!$A$1:$A$7,0))</f>
        <v>Electronics</v>
      </c>
      <c r="H54" t="s">
        <v>54</v>
      </c>
      <c r="I54">
        <v>9</v>
      </c>
      <c r="J54">
        <v>12134</v>
      </c>
      <c r="K54">
        <v>0</v>
      </c>
      <c r="L54">
        <f t="shared" si="0"/>
        <v>0</v>
      </c>
      <c r="N54">
        <f t="shared" si="1"/>
        <v>109206</v>
      </c>
      <c r="O54">
        <f t="shared" si="2"/>
        <v>109206</v>
      </c>
      <c r="P54">
        <f>I54*IFERROR(_xlfn.XLOOKUP(F54,Lookup_Tables!Product,Cost),0)</f>
        <v>66456</v>
      </c>
      <c r="Q54">
        <f t="shared" si="3"/>
        <v>42750</v>
      </c>
      <c r="R54" s="2">
        <f t="shared" si="4"/>
        <v>0.391462007582001</v>
      </c>
    </row>
    <row r="55" spans="1:18" x14ac:dyDescent="0.3">
      <c r="A55" t="s">
        <v>112</v>
      </c>
      <c r="B55" s="1">
        <v>45619</v>
      </c>
      <c r="C55" t="s">
        <v>5</v>
      </c>
      <c r="D55" t="s">
        <v>53</v>
      </c>
      <c r="E55" t="s">
        <v>27</v>
      </c>
      <c r="F55" t="s">
        <v>50</v>
      </c>
      <c r="G55" t="str">
        <f>INDEX(Lookup_Tables!$B$1:$B$7,MATCH(Cleaned_Data!F55,Lookup_Tables!$A$1:$A$7,0))</f>
        <v>Furniture</v>
      </c>
      <c r="H55" t="s">
        <v>51</v>
      </c>
      <c r="I55">
        <v>6</v>
      </c>
      <c r="J55">
        <v>28535</v>
      </c>
      <c r="K55">
        <v>0.05</v>
      </c>
      <c r="L55">
        <f t="shared" si="0"/>
        <v>0.05</v>
      </c>
      <c r="N55">
        <f t="shared" si="1"/>
        <v>171210</v>
      </c>
      <c r="O55">
        <f t="shared" si="2"/>
        <v>162649.5</v>
      </c>
      <c r="P55">
        <f>I55*IFERROR(_xlfn.XLOOKUP(F55,Lookup_Tables!Product,Cost),0)</f>
        <v>79626</v>
      </c>
      <c r="Q55">
        <f t="shared" si="3"/>
        <v>83023.5</v>
      </c>
      <c r="R55" s="2">
        <f t="shared" si="4"/>
        <v>0.51044423745538725</v>
      </c>
    </row>
    <row r="56" spans="1:18" x14ac:dyDescent="0.3">
      <c r="A56" t="s">
        <v>113</v>
      </c>
      <c r="B56" s="1">
        <v>45367</v>
      </c>
      <c r="C56" t="s">
        <v>4</v>
      </c>
      <c r="D56" t="s">
        <v>64</v>
      </c>
      <c r="E56" t="s">
        <v>28</v>
      </c>
      <c r="F56" t="s">
        <v>61</v>
      </c>
      <c r="G56" t="str">
        <f>INDEX(Lookup_Tables!$B$1:$B$7,MATCH(Cleaned_Data!F56,Lookup_Tables!$A$1:$A$7,0))</f>
        <v>Electronics</v>
      </c>
      <c r="H56" t="s">
        <v>54</v>
      </c>
      <c r="I56">
        <v>10</v>
      </c>
      <c r="J56">
        <v>18292</v>
      </c>
      <c r="L56">
        <f t="shared" si="0"/>
        <v>0</v>
      </c>
      <c r="N56">
        <f t="shared" si="1"/>
        <v>182920</v>
      </c>
      <c r="O56">
        <f t="shared" si="2"/>
        <v>182920</v>
      </c>
      <c r="P56">
        <f>I56*IFERROR(_xlfn.XLOOKUP(F56,Lookup_Tables!Product,Cost),0)</f>
        <v>73840</v>
      </c>
      <c r="Q56">
        <f t="shared" si="3"/>
        <v>109080</v>
      </c>
      <c r="R56" s="2">
        <f t="shared" si="4"/>
        <v>0.59632626284714629</v>
      </c>
    </row>
    <row r="57" spans="1:18" x14ac:dyDescent="0.3">
      <c r="A57" t="s">
        <v>114</v>
      </c>
      <c r="B57" s="1">
        <v>45453</v>
      </c>
      <c r="C57" t="s">
        <v>4</v>
      </c>
      <c r="D57" t="s">
        <v>56</v>
      </c>
      <c r="E57" t="s">
        <v>26</v>
      </c>
      <c r="F57" t="s">
        <v>58</v>
      </c>
      <c r="G57" t="str">
        <f>INDEX(Lookup_Tables!$B$1:$B$7,MATCH(Cleaned_Data!F57,Lookup_Tables!$A$1:$A$7,0))</f>
        <v>Electronics</v>
      </c>
      <c r="H57" t="s">
        <v>54</v>
      </c>
      <c r="I57">
        <v>1</v>
      </c>
      <c r="J57">
        <v>21732</v>
      </c>
      <c r="K57">
        <v>0.1</v>
      </c>
      <c r="L57">
        <f t="shared" si="0"/>
        <v>0.1</v>
      </c>
      <c r="M57">
        <v>3127</v>
      </c>
      <c r="N57">
        <f t="shared" si="1"/>
        <v>21732</v>
      </c>
      <c r="O57">
        <f t="shared" si="2"/>
        <v>19558.8</v>
      </c>
      <c r="P57">
        <f>I57*IFERROR(_xlfn.XLOOKUP(F57,Lookup_Tables!Product,Cost),0)</f>
        <v>2888</v>
      </c>
      <c r="Q57">
        <f t="shared" si="3"/>
        <v>16670.8</v>
      </c>
      <c r="R57" s="2">
        <f t="shared" si="4"/>
        <v>0.85234267950999043</v>
      </c>
    </row>
    <row r="58" spans="1:18" x14ac:dyDescent="0.3">
      <c r="A58" t="s">
        <v>115</v>
      </c>
      <c r="B58" s="1">
        <v>45612</v>
      </c>
      <c r="C58" t="s">
        <v>6</v>
      </c>
      <c r="D58" t="s">
        <v>69</v>
      </c>
      <c r="E58" t="s">
        <v>29</v>
      </c>
      <c r="F58" t="s">
        <v>61</v>
      </c>
      <c r="G58" t="str">
        <f>INDEX(Lookup_Tables!$B$1:$B$7,MATCH(Cleaned_Data!F58,Lookup_Tables!$A$1:$A$7,0))</f>
        <v>Electronics</v>
      </c>
      <c r="H58" t="s">
        <v>54</v>
      </c>
      <c r="I58">
        <v>9</v>
      </c>
      <c r="J58">
        <v>33284</v>
      </c>
      <c r="K58">
        <v>0.05</v>
      </c>
      <c r="L58">
        <f t="shared" si="0"/>
        <v>0.05</v>
      </c>
      <c r="N58">
        <f t="shared" si="1"/>
        <v>299556</v>
      </c>
      <c r="O58">
        <f t="shared" si="2"/>
        <v>284578.2</v>
      </c>
      <c r="P58">
        <f>I58*IFERROR(_xlfn.XLOOKUP(F58,Lookup_Tables!Product,Cost),0)</f>
        <v>66456</v>
      </c>
      <c r="Q58">
        <f t="shared" si="3"/>
        <v>218122.2</v>
      </c>
      <c r="R58" s="2">
        <f t="shared" si="4"/>
        <v>0.76647543627726933</v>
      </c>
    </row>
    <row r="59" spans="1:18" x14ac:dyDescent="0.3">
      <c r="A59" t="s">
        <v>116</v>
      </c>
      <c r="B59" s="1">
        <v>45589</v>
      </c>
      <c r="C59" t="s">
        <v>6</v>
      </c>
      <c r="D59" t="s">
        <v>76</v>
      </c>
      <c r="E59" t="s">
        <v>28</v>
      </c>
      <c r="F59" t="s">
        <v>23</v>
      </c>
      <c r="G59" t="str">
        <f>INDEX(Lookup_Tables!$B$1:$B$7,MATCH(Cleaned_Data!F59,Lookup_Tables!$A$1:$A$7,0))</f>
        <v>Electronics</v>
      </c>
      <c r="H59" t="s">
        <v>54</v>
      </c>
      <c r="I59">
        <v>7</v>
      </c>
      <c r="J59">
        <v>10389</v>
      </c>
      <c r="L59">
        <f t="shared" si="0"/>
        <v>0</v>
      </c>
      <c r="M59">
        <v>22159</v>
      </c>
      <c r="N59">
        <f t="shared" si="1"/>
        <v>72723</v>
      </c>
      <c r="O59">
        <f t="shared" si="2"/>
        <v>72723</v>
      </c>
      <c r="P59">
        <f>I59*IFERROR(_xlfn.XLOOKUP(F59,Lookup_Tables!Product,Cost),0)</f>
        <v>134855</v>
      </c>
      <c r="Q59">
        <f t="shared" si="3"/>
        <v>-62132</v>
      </c>
      <c r="R59" s="2">
        <f t="shared" si="4"/>
        <v>-0.85436519395514487</v>
      </c>
    </row>
    <row r="60" spans="1:18" x14ac:dyDescent="0.3">
      <c r="A60" t="s">
        <v>117</v>
      </c>
      <c r="B60" s="1">
        <v>45326</v>
      </c>
      <c r="C60" t="s">
        <v>4</v>
      </c>
      <c r="D60" t="s">
        <v>53</v>
      </c>
      <c r="E60" t="s">
        <v>26</v>
      </c>
      <c r="F60" t="s">
        <v>50</v>
      </c>
      <c r="G60" t="str">
        <f>INDEX(Lookup_Tables!$B$1:$B$7,MATCH(Cleaned_Data!F60,Lookup_Tables!$A$1:$A$7,0))</f>
        <v>Furniture</v>
      </c>
      <c r="H60" t="s">
        <v>51</v>
      </c>
      <c r="I60">
        <v>9</v>
      </c>
      <c r="J60">
        <v>5625</v>
      </c>
      <c r="L60">
        <f t="shared" si="0"/>
        <v>0</v>
      </c>
      <c r="M60">
        <v>9293</v>
      </c>
      <c r="N60">
        <f t="shared" si="1"/>
        <v>50625</v>
      </c>
      <c r="O60">
        <f t="shared" si="2"/>
        <v>50625</v>
      </c>
      <c r="P60">
        <f>I60*IFERROR(_xlfn.XLOOKUP(F60,Lookup_Tables!Product,Cost),0)</f>
        <v>119439</v>
      </c>
      <c r="Q60">
        <f t="shared" si="3"/>
        <v>-68814</v>
      </c>
      <c r="R60" s="2">
        <f t="shared" si="4"/>
        <v>-1.359288888888889</v>
      </c>
    </row>
    <row r="61" spans="1:18" x14ac:dyDescent="0.3">
      <c r="A61" t="s">
        <v>118</v>
      </c>
      <c r="B61" s="1">
        <v>45606</v>
      </c>
      <c r="C61" t="s">
        <v>5</v>
      </c>
      <c r="D61" t="s">
        <v>76</v>
      </c>
      <c r="E61" t="s">
        <v>25</v>
      </c>
      <c r="F61" t="s">
        <v>24</v>
      </c>
      <c r="G61" t="str">
        <f>INDEX(Lookup_Tables!$B$1:$B$7,MATCH(Cleaned_Data!F61,Lookup_Tables!$A$1:$A$7,0))</f>
        <v>Electronics</v>
      </c>
      <c r="H61" t="s">
        <v>54</v>
      </c>
      <c r="I61">
        <v>7</v>
      </c>
      <c r="J61">
        <v>40540</v>
      </c>
      <c r="K61">
        <v>0</v>
      </c>
      <c r="L61">
        <f t="shared" si="0"/>
        <v>0</v>
      </c>
      <c r="N61">
        <f t="shared" si="1"/>
        <v>283780</v>
      </c>
      <c r="O61">
        <f t="shared" si="2"/>
        <v>283780</v>
      </c>
      <c r="P61">
        <f>I61*IFERROR(_xlfn.XLOOKUP(F61,Lookup_Tables!Product,Cost),0)</f>
        <v>196322</v>
      </c>
      <c r="Q61">
        <f t="shared" si="3"/>
        <v>87458</v>
      </c>
      <c r="R61" s="2">
        <f t="shared" si="4"/>
        <v>0.30818944252590036</v>
      </c>
    </row>
    <row r="62" spans="1:18" x14ac:dyDescent="0.3">
      <c r="A62" t="s">
        <v>119</v>
      </c>
      <c r="B62" s="1">
        <v>45596</v>
      </c>
      <c r="C62" t="s">
        <v>3</v>
      </c>
      <c r="D62" t="s">
        <v>53</v>
      </c>
      <c r="E62" t="s">
        <v>26</v>
      </c>
      <c r="F62" t="s">
        <v>22</v>
      </c>
      <c r="G62" t="str">
        <f>INDEX(Lookup_Tables!$B$1:$B$7,MATCH(Cleaned_Data!F62,Lookup_Tables!$A$1:$A$7,0))</f>
        <v>Furniture</v>
      </c>
      <c r="H62" t="s">
        <v>51</v>
      </c>
      <c r="I62">
        <v>2</v>
      </c>
      <c r="J62">
        <v>1279</v>
      </c>
      <c r="K62">
        <v>0.05</v>
      </c>
      <c r="L62">
        <f t="shared" si="0"/>
        <v>0.05</v>
      </c>
      <c r="M62">
        <v>7957</v>
      </c>
      <c r="N62">
        <f t="shared" si="1"/>
        <v>2558</v>
      </c>
      <c r="O62">
        <f t="shared" si="2"/>
        <v>2430.1</v>
      </c>
      <c r="P62">
        <f>I62*IFERROR(_xlfn.XLOOKUP(F62,Lookup_Tables!Product,Cost),0)</f>
        <v>26080</v>
      </c>
      <c r="Q62">
        <f t="shared" si="3"/>
        <v>-23649.9</v>
      </c>
      <c r="R62" s="2">
        <f t="shared" si="4"/>
        <v>-9.7320686391506523</v>
      </c>
    </row>
    <row r="63" spans="1:18" x14ac:dyDescent="0.3">
      <c r="A63" t="s">
        <v>120</v>
      </c>
      <c r="B63" s="1">
        <v>45475</v>
      </c>
      <c r="C63" t="s">
        <v>6</v>
      </c>
      <c r="D63" t="s">
        <v>53</v>
      </c>
      <c r="E63" t="s">
        <v>26</v>
      </c>
      <c r="F63" t="s">
        <v>24</v>
      </c>
      <c r="G63" t="str">
        <f>INDEX(Lookup_Tables!$B$1:$B$7,MATCH(Cleaned_Data!F63,Lookup_Tables!$A$1:$A$7,0))</f>
        <v>Electronics</v>
      </c>
      <c r="H63" t="s">
        <v>54</v>
      </c>
      <c r="I63">
        <v>7</v>
      </c>
      <c r="J63">
        <v>16631</v>
      </c>
      <c r="K63">
        <v>0.1</v>
      </c>
      <c r="L63">
        <f t="shared" si="0"/>
        <v>0.1</v>
      </c>
      <c r="M63">
        <v>4214</v>
      </c>
      <c r="N63">
        <f t="shared" si="1"/>
        <v>116417</v>
      </c>
      <c r="O63">
        <f t="shared" si="2"/>
        <v>104775.3</v>
      </c>
      <c r="P63">
        <f>I63*IFERROR(_xlfn.XLOOKUP(F63,Lookup_Tables!Product,Cost),0)</f>
        <v>196322</v>
      </c>
      <c r="Q63">
        <f t="shared" si="3"/>
        <v>-91546.7</v>
      </c>
      <c r="R63" s="2">
        <f t="shared" si="4"/>
        <v>-0.87374314366076733</v>
      </c>
    </row>
    <row r="64" spans="1:18" x14ac:dyDescent="0.3">
      <c r="A64" t="s">
        <v>121</v>
      </c>
      <c r="B64" s="1">
        <v>45558</v>
      </c>
      <c r="C64" t="s">
        <v>6</v>
      </c>
      <c r="D64" t="s">
        <v>53</v>
      </c>
      <c r="E64" t="s">
        <v>25</v>
      </c>
      <c r="F64" t="s">
        <v>50</v>
      </c>
      <c r="G64" t="str">
        <f>INDEX(Lookup_Tables!$B$1:$B$7,MATCH(Cleaned_Data!F64,Lookup_Tables!$A$1:$A$7,0))</f>
        <v>Furniture</v>
      </c>
      <c r="H64" t="s">
        <v>51</v>
      </c>
      <c r="I64">
        <v>7</v>
      </c>
      <c r="J64">
        <v>32756</v>
      </c>
      <c r="K64">
        <v>0</v>
      </c>
      <c r="L64">
        <f t="shared" si="0"/>
        <v>0</v>
      </c>
      <c r="M64">
        <v>16465</v>
      </c>
      <c r="N64">
        <f t="shared" si="1"/>
        <v>229292</v>
      </c>
      <c r="O64">
        <f t="shared" si="2"/>
        <v>229292</v>
      </c>
      <c r="P64">
        <f>I64*IFERROR(_xlfn.XLOOKUP(F64,Lookup_Tables!Product,Cost),0)</f>
        <v>92897</v>
      </c>
      <c r="Q64">
        <f t="shared" si="3"/>
        <v>136395</v>
      </c>
      <c r="R64" s="2">
        <f t="shared" si="4"/>
        <v>0.59485285138600563</v>
      </c>
    </row>
    <row r="65" spans="1:18" x14ac:dyDescent="0.3">
      <c r="A65" t="s">
        <v>122</v>
      </c>
      <c r="B65" s="1">
        <v>45562</v>
      </c>
      <c r="C65" t="s">
        <v>6</v>
      </c>
      <c r="D65" t="s">
        <v>49</v>
      </c>
      <c r="E65" t="s">
        <v>27</v>
      </c>
      <c r="F65" t="s">
        <v>61</v>
      </c>
      <c r="G65" t="str">
        <f>INDEX(Lookup_Tables!$B$1:$B$7,MATCH(Cleaned_Data!F65,Lookup_Tables!$A$1:$A$7,0))</f>
        <v>Electronics</v>
      </c>
      <c r="H65" t="s">
        <v>54</v>
      </c>
      <c r="I65">
        <v>7</v>
      </c>
      <c r="J65">
        <v>22550</v>
      </c>
      <c r="K65">
        <v>0.1</v>
      </c>
      <c r="L65">
        <f t="shared" si="0"/>
        <v>0.1</v>
      </c>
      <c r="N65">
        <f t="shared" si="1"/>
        <v>157850</v>
      </c>
      <c r="O65">
        <f t="shared" si="2"/>
        <v>142065</v>
      </c>
      <c r="P65">
        <f>I65*IFERROR(_xlfn.XLOOKUP(F65,Lookup_Tables!Product,Cost),0)</f>
        <v>51688</v>
      </c>
      <c r="Q65">
        <f t="shared" si="3"/>
        <v>90377</v>
      </c>
      <c r="R65" s="2">
        <f t="shared" si="4"/>
        <v>0.63616654348361668</v>
      </c>
    </row>
    <row r="66" spans="1:18" x14ac:dyDescent="0.3">
      <c r="A66" t="s">
        <v>123</v>
      </c>
      <c r="B66" s="1">
        <v>45636</v>
      </c>
      <c r="C66" t="s">
        <v>6</v>
      </c>
      <c r="D66" t="s">
        <v>53</v>
      </c>
      <c r="E66" t="s">
        <v>26</v>
      </c>
      <c r="F66" t="s">
        <v>22</v>
      </c>
      <c r="G66" t="str">
        <f>INDEX(Lookup_Tables!$B$1:$B$7,MATCH(Cleaned_Data!F66,Lookup_Tables!$A$1:$A$7,0))</f>
        <v>Furniture</v>
      </c>
      <c r="H66" t="s">
        <v>51</v>
      </c>
      <c r="I66">
        <v>8</v>
      </c>
      <c r="J66">
        <v>22339</v>
      </c>
      <c r="K66">
        <v>0</v>
      </c>
      <c r="L66">
        <f t="shared" si="0"/>
        <v>0</v>
      </c>
      <c r="M66">
        <v>2121</v>
      </c>
      <c r="N66">
        <f t="shared" si="1"/>
        <v>178712</v>
      </c>
      <c r="O66">
        <f t="shared" si="2"/>
        <v>178712</v>
      </c>
      <c r="P66">
        <f>I66*IFERROR(_xlfn.XLOOKUP(F66,Lookup_Tables!Product,Cost),0)</f>
        <v>104320</v>
      </c>
      <c r="Q66">
        <f t="shared" si="3"/>
        <v>74392</v>
      </c>
      <c r="R66" s="2">
        <f t="shared" si="4"/>
        <v>0.41626751421281166</v>
      </c>
    </row>
    <row r="67" spans="1:18" x14ac:dyDescent="0.3">
      <c r="A67" t="s">
        <v>124</v>
      </c>
      <c r="B67" s="1">
        <v>45507</v>
      </c>
      <c r="C67" t="s">
        <v>3</v>
      </c>
      <c r="D67" t="s">
        <v>64</v>
      </c>
      <c r="E67" t="s">
        <v>26</v>
      </c>
      <c r="F67" t="s">
        <v>23</v>
      </c>
      <c r="G67" t="str">
        <f>INDEX(Lookup_Tables!$B$1:$B$7,MATCH(Cleaned_Data!F67,Lookup_Tables!$A$1:$A$7,0))</f>
        <v>Electronics</v>
      </c>
      <c r="H67" t="s">
        <v>54</v>
      </c>
      <c r="I67">
        <v>2</v>
      </c>
      <c r="J67">
        <v>46159</v>
      </c>
      <c r="K67">
        <v>0.05</v>
      </c>
      <c r="L67">
        <f t="shared" ref="L67:L130" si="5">IF(ISBLANK(K67),0,K67)</f>
        <v>0.05</v>
      </c>
      <c r="N67">
        <f t="shared" ref="N67:N130" si="6">I67*J67</f>
        <v>92318</v>
      </c>
      <c r="O67">
        <f t="shared" ref="O67:O130" si="7">N67-(N67*L67)</f>
        <v>87702.1</v>
      </c>
      <c r="P67">
        <f>I67*IFERROR(_xlfn.XLOOKUP(F67,Lookup_Tables!Product,Cost),0)</f>
        <v>38530</v>
      </c>
      <c r="Q67">
        <f t="shared" ref="Q67:Q130" si="8">O67-P67</f>
        <v>49172.100000000006</v>
      </c>
      <c r="R67" s="2">
        <f t="shared" ref="R67:R130" si="9">Q67/O67</f>
        <v>0.56067186532591584</v>
      </c>
    </row>
    <row r="68" spans="1:18" x14ac:dyDescent="0.3">
      <c r="A68" t="s">
        <v>125</v>
      </c>
      <c r="B68" s="1">
        <v>45328</v>
      </c>
      <c r="C68" t="s">
        <v>6</v>
      </c>
      <c r="D68" t="s">
        <v>76</v>
      </c>
      <c r="E68" t="s">
        <v>27</v>
      </c>
      <c r="F68" t="s">
        <v>22</v>
      </c>
      <c r="G68" t="str">
        <f>INDEX(Lookup_Tables!$B$1:$B$7,MATCH(Cleaned_Data!F68,Lookup_Tables!$A$1:$A$7,0))</f>
        <v>Furniture</v>
      </c>
      <c r="H68" t="s">
        <v>51</v>
      </c>
      <c r="I68">
        <v>6</v>
      </c>
      <c r="J68">
        <v>22125</v>
      </c>
      <c r="K68">
        <v>0</v>
      </c>
      <c r="L68">
        <f t="shared" si="5"/>
        <v>0</v>
      </c>
      <c r="M68">
        <v>29712</v>
      </c>
      <c r="N68">
        <f t="shared" si="6"/>
        <v>132750</v>
      </c>
      <c r="O68">
        <f t="shared" si="7"/>
        <v>132750</v>
      </c>
      <c r="P68">
        <f>I68*IFERROR(_xlfn.XLOOKUP(F68,Lookup_Tables!Product,Cost),0)</f>
        <v>78240</v>
      </c>
      <c r="Q68">
        <f t="shared" si="8"/>
        <v>54510</v>
      </c>
      <c r="R68" s="2">
        <f t="shared" si="9"/>
        <v>0.41062146892655366</v>
      </c>
    </row>
    <row r="69" spans="1:18" x14ac:dyDescent="0.3">
      <c r="A69" t="s">
        <v>126</v>
      </c>
      <c r="B69" s="1">
        <v>45594</v>
      </c>
      <c r="C69" t="s">
        <v>5</v>
      </c>
      <c r="D69" t="s">
        <v>56</v>
      </c>
      <c r="E69" t="s">
        <v>27</v>
      </c>
      <c r="F69" t="s">
        <v>24</v>
      </c>
      <c r="G69" t="str">
        <f>INDEX(Lookup_Tables!$B$1:$B$7,MATCH(Cleaned_Data!F69,Lookup_Tables!$A$1:$A$7,0))</f>
        <v>Electronics</v>
      </c>
      <c r="H69" t="s">
        <v>54</v>
      </c>
      <c r="I69">
        <v>6</v>
      </c>
      <c r="J69">
        <v>41323</v>
      </c>
      <c r="L69">
        <f t="shared" si="5"/>
        <v>0</v>
      </c>
      <c r="M69">
        <v>17325</v>
      </c>
      <c r="N69">
        <f t="shared" si="6"/>
        <v>247938</v>
      </c>
      <c r="O69">
        <f t="shared" si="7"/>
        <v>247938</v>
      </c>
      <c r="P69">
        <f>I69*IFERROR(_xlfn.XLOOKUP(F69,Lookup_Tables!Product,Cost),0)</f>
        <v>168276</v>
      </c>
      <c r="Q69">
        <f t="shared" si="8"/>
        <v>79662</v>
      </c>
      <c r="R69" s="2">
        <f t="shared" si="9"/>
        <v>0.32129806645209691</v>
      </c>
    </row>
    <row r="70" spans="1:18" x14ac:dyDescent="0.3">
      <c r="A70" t="s">
        <v>127</v>
      </c>
      <c r="B70" s="1">
        <v>45300</v>
      </c>
      <c r="C70" t="s">
        <v>3</v>
      </c>
      <c r="D70" t="s">
        <v>53</v>
      </c>
      <c r="E70" t="s">
        <v>28</v>
      </c>
      <c r="F70" t="s">
        <v>22</v>
      </c>
      <c r="G70" t="str">
        <f>INDEX(Lookup_Tables!$B$1:$B$7,MATCH(Cleaned_Data!F70,Lookup_Tables!$A$1:$A$7,0))</f>
        <v>Furniture</v>
      </c>
      <c r="H70" t="s">
        <v>51</v>
      </c>
      <c r="I70">
        <v>3</v>
      </c>
      <c r="J70">
        <v>28541</v>
      </c>
      <c r="K70">
        <v>0.1</v>
      </c>
      <c r="L70">
        <f t="shared" si="5"/>
        <v>0.1</v>
      </c>
      <c r="M70">
        <v>6771</v>
      </c>
      <c r="N70">
        <f t="shared" si="6"/>
        <v>85623</v>
      </c>
      <c r="O70">
        <f t="shared" si="7"/>
        <v>77060.7</v>
      </c>
      <c r="P70">
        <f>I70*IFERROR(_xlfn.XLOOKUP(F70,Lookup_Tables!Product,Cost),0)</f>
        <v>39120</v>
      </c>
      <c r="Q70">
        <f t="shared" si="8"/>
        <v>37940.699999999997</v>
      </c>
      <c r="R70" s="2">
        <f t="shared" si="9"/>
        <v>0.49234823976423781</v>
      </c>
    </row>
    <row r="71" spans="1:18" x14ac:dyDescent="0.3">
      <c r="A71" t="s">
        <v>128</v>
      </c>
      <c r="B71" s="1">
        <v>45582</v>
      </c>
      <c r="C71" t="s">
        <v>5</v>
      </c>
      <c r="D71" t="s">
        <v>76</v>
      </c>
      <c r="E71" t="s">
        <v>26</v>
      </c>
      <c r="F71" t="s">
        <v>50</v>
      </c>
      <c r="G71" t="str">
        <f>INDEX(Lookup_Tables!$B$1:$B$7,MATCH(Cleaned_Data!F71,Lookup_Tables!$A$1:$A$7,0))</f>
        <v>Furniture</v>
      </c>
      <c r="H71" t="s">
        <v>51</v>
      </c>
      <c r="I71">
        <v>7</v>
      </c>
      <c r="J71">
        <v>16466</v>
      </c>
      <c r="L71">
        <f t="shared" si="5"/>
        <v>0</v>
      </c>
      <c r="M71">
        <v>22928</v>
      </c>
      <c r="N71">
        <f t="shared" si="6"/>
        <v>115262</v>
      </c>
      <c r="O71">
        <f t="shared" si="7"/>
        <v>115262</v>
      </c>
      <c r="P71">
        <f>I71*IFERROR(_xlfn.XLOOKUP(F71,Lookup_Tables!Product,Cost),0)</f>
        <v>92897</v>
      </c>
      <c r="Q71">
        <f t="shared" si="8"/>
        <v>22365</v>
      </c>
      <c r="R71" s="2">
        <f t="shared" si="9"/>
        <v>0.1940361957974007</v>
      </c>
    </row>
    <row r="72" spans="1:18" x14ac:dyDescent="0.3">
      <c r="A72" t="s">
        <v>129</v>
      </c>
      <c r="B72" s="1">
        <v>45310</v>
      </c>
      <c r="C72" t="s">
        <v>4</v>
      </c>
      <c r="D72" t="s">
        <v>76</v>
      </c>
      <c r="E72" t="s">
        <v>25</v>
      </c>
      <c r="F72" t="s">
        <v>22</v>
      </c>
      <c r="G72" t="str">
        <f>INDEX(Lookup_Tables!$B$1:$B$7,MATCH(Cleaned_Data!F72,Lookup_Tables!$A$1:$A$7,0))</f>
        <v>Furniture</v>
      </c>
      <c r="H72" t="s">
        <v>51</v>
      </c>
      <c r="I72">
        <v>2</v>
      </c>
      <c r="J72">
        <v>12316</v>
      </c>
      <c r="L72">
        <f t="shared" si="5"/>
        <v>0</v>
      </c>
      <c r="N72">
        <f t="shared" si="6"/>
        <v>24632</v>
      </c>
      <c r="O72">
        <f t="shared" si="7"/>
        <v>24632</v>
      </c>
      <c r="P72">
        <f>I72*IFERROR(_xlfn.XLOOKUP(F72,Lookup_Tables!Product,Cost),0)</f>
        <v>26080</v>
      </c>
      <c r="Q72">
        <f t="shared" si="8"/>
        <v>-1448</v>
      </c>
      <c r="R72" s="2">
        <f t="shared" si="9"/>
        <v>-5.8785319909061384E-2</v>
      </c>
    </row>
    <row r="73" spans="1:18" x14ac:dyDescent="0.3">
      <c r="A73" t="s">
        <v>130</v>
      </c>
      <c r="B73" s="1">
        <v>45491</v>
      </c>
      <c r="C73" t="s">
        <v>3</v>
      </c>
      <c r="D73" t="s">
        <v>49</v>
      </c>
      <c r="E73" t="s">
        <v>26</v>
      </c>
      <c r="F73" t="s">
        <v>22</v>
      </c>
      <c r="G73" t="str">
        <f>INDEX(Lookup_Tables!$B$1:$B$7,MATCH(Cleaned_Data!F73,Lookup_Tables!$A$1:$A$7,0))</f>
        <v>Furniture</v>
      </c>
      <c r="H73" t="s">
        <v>51</v>
      </c>
      <c r="I73">
        <v>10</v>
      </c>
      <c r="J73">
        <v>34687</v>
      </c>
      <c r="L73">
        <f t="shared" si="5"/>
        <v>0</v>
      </c>
      <c r="M73">
        <v>10859</v>
      </c>
      <c r="N73">
        <f t="shared" si="6"/>
        <v>346870</v>
      </c>
      <c r="O73">
        <f t="shared" si="7"/>
        <v>346870</v>
      </c>
      <c r="P73">
        <f>I73*IFERROR(_xlfn.XLOOKUP(F73,Lookup_Tables!Product,Cost),0)</f>
        <v>130400</v>
      </c>
      <c r="Q73">
        <f t="shared" si="8"/>
        <v>216470</v>
      </c>
      <c r="R73" s="2">
        <f t="shared" si="9"/>
        <v>0.62406665321301924</v>
      </c>
    </row>
    <row r="74" spans="1:18" x14ac:dyDescent="0.3">
      <c r="A74" t="s">
        <v>131</v>
      </c>
      <c r="B74" s="1">
        <v>45626</v>
      </c>
      <c r="C74" t="s">
        <v>4</v>
      </c>
      <c r="D74" t="s">
        <v>64</v>
      </c>
      <c r="E74" t="s">
        <v>26</v>
      </c>
      <c r="F74" t="s">
        <v>22</v>
      </c>
      <c r="G74" t="str">
        <f>INDEX(Lookup_Tables!$B$1:$B$7,MATCH(Cleaned_Data!F74,Lookup_Tables!$A$1:$A$7,0))</f>
        <v>Furniture</v>
      </c>
      <c r="H74" t="s">
        <v>51</v>
      </c>
      <c r="I74">
        <v>4</v>
      </c>
      <c r="J74">
        <v>32319</v>
      </c>
      <c r="K74">
        <v>0.05</v>
      </c>
      <c r="L74">
        <f t="shared" si="5"/>
        <v>0.05</v>
      </c>
      <c r="M74">
        <v>20290</v>
      </c>
      <c r="N74">
        <f t="shared" si="6"/>
        <v>129276</v>
      </c>
      <c r="O74">
        <f t="shared" si="7"/>
        <v>122812.2</v>
      </c>
      <c r="P74">
        <f>I74*IFERROR(_xlfn.XLOOKUP(F74,Lookup_Tables!Product,Cost),0)</f>
        <v>52160</v>
      </c>
      <c r="Q74">
        <f t="shared" si="8"/>
        <v>70652.2</v>
      </c>
      <c r="R74" s="2">
        <f t="shared" si="9"/>
        <v>0.57528649433851031</v>
      </c>
    </row>
    <row r="75" spans="1:18" x14ac:dyDescent="0.3">
      <c r="A75" t="s">
        <v>132</v>
      </c>
      <c r="B75" s="1">
        <v>45323</v>
      </c>
      <c r="C75" t="s">
        <v>6</v>
      </c>
      <c r="D75" t="s">
        <v>64</v>
      </c>
      <c r="E75" t="s">
        <v>29</v>
      </c>
      <c r="F75" t="s">
        <v>58</v>
      </c>
      <c r="G75" t="str">
        <f>INDEX(Lookup_Tables!$B$1:$B$7,MATCH(Cleaned_Data!F75,Lookup_Tables!$A$1:$A$7,0))</f>
        <v>Electronics</v>
      </c>
      <c r="H75" t="s">
        <v>54</v>
      </c>
      <c r="I75">
        <v>1</v>
      </c>
      <c r="J75">
        <v>1976</v>
      </c>
      <c r="K75">
        <v>0.05</v>
      </c>
      <c r="L75">
        <f t="shared" si="5"/>
        <v>0.05</v>
      </c>
      <c r="M75">
        <v>5597</v>
      </c>
      <c r="N75">
        <f t="shared" si="6"/>
        <v>1976</v>
      </c>
      <c r="O75">
        <f t="shared" si="7"/>
        <v>1877.2</v>
      </c>
      <c r="P75">
        <f>I75*IFERROR(_xlfn.XLOOKUP(F75,Lookup_Tables!Product,Cost),0)</f>
        <v>2888</v>
      </c>
      <c r="Q75">
        <f t="shared" si="8"/>
        <v>-1010.8</v>
      </c>
      <c r="R75" s="2">
        <f t="shared" si="9"/>
        <v>-0.53846153846153844</v>
      </c>
    </row>
    <row r="76" spans="1:18" x14ac:dyDescent="0.3">
      <c r="A76" t="s">
        <v>133</v>
      </c>
      <c r="B76" s="1">
        <v>45336</v>
      </c>
      <c r="C76" t="s">
        <v>5</v>
      </c>
      <c r="D76" t="s">
        <v>53</v>
      </c>
      <c r="E76" t="s">
        <v>26</v>
      </c>
      <c r="F76" t="s">
        <v>61</v>
      </c>
      <c r="G76" t="str">
        <f>INDEX(Lookup_Tables!$B$1:$B$7,MATCH(Cleaned_Data!F76,Lookup_Tables!$A$1:$A$7,0))</f>
        <v>Electronics</v>
      </c>
      <c r="H76" t="s">
        <v>54</v>
      </c>
      <c r="I76">
        <v>4</v>
      </c>
      <c r="J76">
        <v>27237</v>
      </c>
      <c r="K76">
        <v>0</v>
      </c>
      <c r="L76">
        <f t="shared" si="5"/>
        <v>0</v>
      </c>
      <c r="M76">
        <v>17550</v>
      </c>
      <c r="N76">
        <f t="shared" si="6"/>
        <v>108948</v>
      </c>
      <c r="O76">
        <f t="shared" si="7"/>
        <v>108948</v>
      </c>
      <c r="P76">
        <f>I76*IFERROR(_xlfn.XLOOKUP(F76,Lookup_Tables!Product,Cost),0)</f>
        <v>29536</v>
      </c>
      <c r="Q76">
        <f t="shared" si="8"/>
        <v>79412</v>
      </c>
      <c r="R76" s="2">
        <f t="shared" si="9"/>
        <v>0.72889818996218381</v>
      </c>
    </row>
    <row r="77" spans="1:18" x14ac:dyDescent="0.3">
      <c r="A77" t="s">
        <v>134</v>
      </c>
      <c r="B77" s="1">
        <v>45424</v>
      </c>
      <c r="C77" t="s">
        <v>5</v>
      </c>
      <c r="D77" t="s">
        <v>76</v>
      </c>
      <c r="E77" t="s">
        <v>26</v>
      </c>
      <c r="F77" t="s">
        <v>24</v>
      </c>
      <c r="G77" t="str">
        <f>INDEX(Lookup_Tables!$B$1:$B$7,MATCH(Cleaned_Data!F77,Lookup_Tables!$A$1:$A$7,0))</f>
        <v>Electronics</v>
      </c>
      <c r="H77" t="s">
        <v>54</v>
      </c>
      <c r="I77">
        <v>8</v>
      </c>
      <c r="J77">
        <v>36429</v>
      </c>
      <c r="K77">
        <v>0.05</v>
      </c>
      <c r="L77">
        <f t="shared" si="5"/>
        <v>0.05</v>
      </c>
      <c r="M77">
        <v>15686</v>
      </c>
      <c r="N77">
        <f t="shared" si="6"/>
        <v>291432</v>
      </c>
      <c r="O77">
        <f t="shared" si="7"/>
        <v>276860.40000000002</v>
      </c>
      <c r="P77">
        <f>I77*IFERROR(_xlfn.XLOOKUP(F77,Lookup_Tables!Product,Cost),0)</f>
        <v>224368</v>
      </c>
      <c r="Q77">
        <f t="shared" si="8"/>
        <v>52492.400000000023</v>
      </c>
      <c r="R77" s="2">
        <f t="shared" si="9"/>
        <v>0.18959880141760982</v>
      </c>
    </row>
    <row r="78" spans="1:18" x14ac:dyDescent="0.3">
      <c r="A78" t="s">
        <v>135</v>
      </c>
      <c r="B78" s="1">
        <v>45579</v>
      </c>
      <c r="C78" t="s">
        <v>4</v>
      </c>
      <c r="D78" t="s">
        <v>76</v>
      </c>
      <c r="E78" t="s">
        <v>25</v>
      </c>
      <c r="F78" t="s">
        <v>50</v>
      </c>
      <c r="G78" t="str">
        <f>INDEX(Lookup_Tables!$B$1:$B$7,MATCH(Cleaned_Data!F78,Lookup_Tables!$A$1:$A$7,0))</f>
        <v>Furniture</v>
      </c>
      <c r="H78" t="s">
        <v>51</v>
      </c>
      <c r="I78">
        <v>7</v>
      </c>
      <c r="J78">
        <v>30010</v>
      </c>
      <c r="K78">
        <v>0</v>
      </c>
      <c r="L78">
        <f t="shared" si="5"/>
        <v>0</v>
      </c>
      <c r="M78">
        <v>6503</v>
      </c>
      <c r="N78">
        <f t="shared" si="6"/>
        <v>210070</v>
      </c>
      <c r="O78">
        <f t="shared" si="7"/>
        <v>210070</v>
      </c>
      <c r="P78">
        <f>I78*IFERROR(_xlfn.XLOOKUP(F78,Lookup_Tables!Product,Cost),0)</f>
        <v>92897</v>
      </c>
      <c r="Q78">
        <f t="shared" si="8"/>
        <v>117173</v>
      </c>
      <c r="R78" s="2">
        <f t="shared" si="9"/>
        <v>0.55778073975341558</v>
      </c>
    </row>
    <row r="79" spans="1:18" x14ac:dyDescent="0.3">
      <c r="A79" t="s">
        <v>136</v>
      </c>
      <c r="B79" s="1">
        <v>45351</v>
      </c>
      <c r="C79" t="s">
        <v>4</v>
      </c>
      <c r="D79" t="s">
        <v>56</v>
      </c>
      <c r="E79" t="s">
        <v>28</v>
      </c>
      <c r="F79" t="s">
        <v>23</v>
      </c>
      <c r="G79" t="str">
        <f>INDEX(Lookup_Tables!$B$1:$B$7,MATCH(Cleaned_Data!F79,Lookup_Tables!$A$1:$A$7,0))</f>
        <v>Electronics</v>
      </c>
      <c r="H79" t="s">
        <v>54</v>
      </c>
      <c r="I79">
        <v>2</v>
      </c>
      <c r="J79">
        <v>15440</v>
      </c>
      <c r="K79">
        <v>0.1</v>
      </c>
      <c r="L79">
        <f t="shared" si="5"/>
        <v>0.1</v>
      </c>
      <c r="M79">
        <v>18884</v>
      </c>
      <c r="N79">
        <f t="shared" si="6"/>
        <v>30880</v>
      </c>
      <c r="O79">
        <f t="shared" si="7"/>
        <v>27792</v>
      </c>
      <c r="P79">
        <f>I79*IFERROR(_xlfn.XLOOKUP(F79,Lookup_Tables!Product,Cost),0)</f>
        <v>38530</v>
      </c>
      <c r="Q79">
        <f t="shared" si="8"/>
        <v>-10738</v>
      </c>
      <c r="R79" s="2">
        <f t="shared" si="9"/>
        <v>-0.38637017846862404</v>
      </c>
    </row>
    <row r="80" spans="1:18" x14ac:dyDescent="0.3">
      <c r="A80" t="s">
        <v>137</v>
      </c>
      <c r="B80" s="1">
        <v>45339</v>
      </c>
      <c r="C80" t="s">
        <v>5</v>
      </c>
      <c r="D80" t="s">
        <v>64</v>
      </c>
      <c r="E80" t="s">
        <v>28</v>
      </c>
      <c r="F80" t="s">
        <v>24</v>
      </c>
      <c r="G80" t="str">
        <f>INDEX(Lookup_Tables!$B$1:$B$7,MATCH(Cleaned_Data!F80,Lookup_Tables!$A$1:$A$7,0))</f>
        <v>Electronics</v>
      </c>
      <c r="H80" t="s">
        <v>54</v>
      </c>
      <c r="I80">
        <v>1</v>
      </c>
      <c r="J80">
        <v>26526</v>
      </c>
      <c r="K80">
        <v>0.05</v>
      </c>
      <c r="L80">
        <f t="shared" si="5"/>
        <v>0.05</v>
      </c>
      <c r="N80">
        <f t="shared" si="6"/>
        <v>26526</v>
      </c>
      <c r="O80">
        <f t="shared" si="7"/>
        <v>25199.7</v>
      </c>
      <c r="P80">
        <f>I80*IFERROR(_xlfn.XLOOKUP(F80,Lookup_Tables!Product,Cost),0)</f>
        <v>28046</v>
      </c>
      <c r="Q80">
        <f t="shared" si="8"/>
        <v>-2846.2999999999993</v>
      </c>
      <c r="R80" s="2">
        <f t="shared" si="9"/>
        <v>-0.11294975733838097</v>
      </c>
    </row>
    <row r="81" spans="1:18" x14ac:dyDescent="0.3">
      <c r="A81" t="s">
        <v>138</v>
      </c>
      <c r="B81" s="1">
        <v>45303</v>
      </c>
      <c r="C81" t="s">
        <v>5</v>
      </c>
      <c r="D81" t="s">
        <v>76</v>
      </c>
      <c r="E81" t="s">
        <v>29</v>
      </c>
      <c r="F81" t="s">
        <v>24</v>
      </c>
      <c r="G81" t="str">
        <f>INDEX(Lookup_Tables!$B$1:$B$7,MATCH(Cleaned_Data!F81,Lookup_Tables!$A$1:$A$7,0))</f>
        <v>Electronics</v>
      </c>
      <c r="H81" t="s">
        <v>54</v>
      </c>
      <c r="I81">
        <v>10</v>
      </c>
      <c r="J81">
        <v>41127</v>
      </c>
      <c r="K81">
        <v>0.05</v>
      </c>
      <c r="L81">
        <f t="shared" si="5"/>
        <v>0.05</v>
      </c>
      <c r="M81">
        <v>2039</v>
      </c>
      <c r="N81">
        <f t="shared" si="6"/>
        <v>411270</v>
      </c>
      <c r="O81">
        <f t="shared" si="7"/>
        <v>390706.5</v>
      </c>
      <c r="P81">
        <f>I81*IFERROR(_xlfn.XLOOKUP(F81,Lookup_Tables!Product,Cost),0)</f>
        <v>280460</v>
      </c>
      <c r="Q81">
        <f t="shared" si="8"/>
        <v>110246.5</v>
      </c>
      <c r="R81" s="2">
        <f t="shared" si="9"/>
        <v>0.28217216759895214</v>
      </c>
    </row>
    <row r="82" spans="1:18" x14ac:dyDescent="0.3">
      <c r="A82" t="s">
        <v>139</v>
      </c>
      <c r="B82" s="1">
        <v>45596</v>
      </c>
      <c r="C82" t="s">
        <v>6</v>
      </c>
      <c r="D82" t="s">
        <v>49</v>
      </c>
      <c r="E82" t="s">
        <v>28</v>
      </c>
      <c r="F82" t="s">
        <v>24</v>
      </c>
      <c r="G82" t="str">
        <f>INDEX(Lookup_Tables!$B$1:$B$7,MATCH(Cleaned_Data!F82,Lookup_Tables!$A$1:$A$7,0))</f>
        <v>Electronics</v>
      </c>
      <c r="H82" t="s">
        <v>54</v>
      </c>
      <c r="I82">
        <v>7</v>
      </c>
      <c r="J82">
        <v>5533</v>
      </c>
      <c r="K82">
        <v>0.05</v>
      </c>
      <c r="L82">
        <f t="shared" si="5"/>
        <v>0.05</v>
      </c>
      <c r="N82">
        <f t="shared" si="6"/>
        <v>38731</v>
      </c>
      <c r="O82">
        <f t="shared" si="7"/>
        <v>36794.449999999997</v>
      </c>
      <c r="P82">
        <f>I82*IFERROR(_xlfn.XLOOKUP(F82,Lookup_Tables!Product,Cost),0)</f>
        <v>196322</v>
      </c>
      <c r="Q82">
        <f t="shared" si="8"/>
        <v>-159527.54999999999</v>
      </c>
      <c r="R82" s="2">
        <f t="shared" si="9"/>
        <v>-4.3356416524774799</v>
      </c>
    </row>
    <row r="83" spans="1:18" x14ac:dyDescent="0.3">
      <c r="A83" t="s">
        <v>140</v>
      </c>
      <c r="B83" s="1">
        <v>45310</v>
      </c>
      <c r="C83" t="s">
        <v>6</v>
      </c>
      <c r="D83" t="s">
        <v>49</v>
      </c>
      <c r="E83" t="s">
        <v>26</v>
      </c>
      <c r="F83" t="s">
        <v>50</v>
      </c>
      <c r="G83" t="str">
        <f>INDEX(Lookup_Tables!$B$1:$B$7,MATCH(Cleaned_Data!F83,Lookup_Tables!$A$1:$A$7,0))</f>
        <v>Furniture</v>
      </c>
      <c r="H83" t="s">
        <v>51</v>
      </c>
      <c r="I83">
        <v>1</v>
      </c>
      <c r="J83">
        <v>4265</v>
      </c>
      <c r="K83">
        <v>0.1</v>
      </c>
      <c r="L83">
        <f t="shared" si="5"/>
        <v>0.1</v>
      </c>
      <c r="N83">
        <f t="shared" si="6"/>
        <v>4265</v>
      </c>
      <c r="O83">
        <f t="shared" si="7"/>
        <v>3838.5</v>
      </c>
      <c r="P83">
        <f>I83*IFERROR(_xlfn.XLOOKUP(F83,Lookup_Tables!Product,Cost),0)</f>
        <v>13271</v>
      </c>
      <c r="Q83">
        <f t="shared" si="8"/>
        <v>-9432.5</v>
      </c>
      <c r="R83" s="2">
        <f t="shared" si="9"/>
        <v>-2.4573401068125569</v>
      </c>
    </row>
    <row r="84" spans="1:18" x14ac:dyDescent="0.3">
      <c r="A84" t="s">
        <v>141</v>
      </c>
      <c r="B84" s="1">
        <v>45495</v>
      </c>
      <c r="C84" t="s">
        <v>4</v>
      </c>
      <c r="D84" t="s">
        <v>64</v>
      </c>
      <c r="E84" t="s">
        <v>27</v>
      </c>
      <c r="F84" t="s">
        <v>58</v>
      </c>
      <c r="G84" t="str">
        <f>INDEX(Lookup_Tables!$B$1:$B$7,MATCH(Cleaned_Data!F84,Lookup_Tables!$A$1:$A$7,0))</f>
        <v>Electronics</v>
      </c>
      <c r="H84" t="s">
        <v>54</v>
      </c>
      <c r="I84">
        <v>1</v>
      </c>
      <c r="J84">
        <v>40542</v>
      </c>
      <c r="L84">
        <f t="shared" si="5"/>
        <v>0</v>
      </c>
      <c r="N84">
        <f t="shared" si="6"/>
        <v>40542</v>
      </c>
      <c r="O84">
        <f t="shared" si="7"/>
        <v>40542</v>
      </c>
      <c r="P84">
        <f>I84*IFERROR(_xlfn.XLOOKUP(F84,Lookup_Tables!Product,Cost),0)</f>
        <v>2888</v>
      </c>
      <c r="Q84">
        <f t="shared" si="8"/>
        <v>37654</v>
      </c>
      <c r="R84" s="2">
        <f t="shared" si="9"/>
        <v>0.92876523111834641</v>
      </c>
    </row>
    <row r="85" spans="1:18" x14ac:dyDescent="0.3">
      <c r="A85" t="s">
        <v>142</v>
      </c>
      <c r="B85" s="1">
        <v>45421</v>
      </c>
      <c r="C85" t="s">
        <v>5</v>
      </c>
      <c r="D85" t="s">
        <v>64</v>
      </c>
      <c r="E85" t="s">
        <v>28</v>
      </c>
      <c r="F85" t="s">
        <v>61</v>
      </c>
      <c r="G85" t="str">
        <f>INDEX(Lookup_Tables!$B$1:$B$7,MATCH(Cleaned_Data!F85,Lookup_Tables!$A$1:$A$7,0))</f>
        <v>Electronics</v>
      </c>
      <c r="H85" t="s">
        <v>54</v>
      </c>
      <c r="I85">
        <v>1</v>
      </c>
      <c r="J85">
        <v>10295</v>
      </c>
      <c r="L85">
        <f t="shared" si="5"/>
        <v>0</v>
      </c>
      <c r="M85">
        <v>9606</v>
      </c>
      <c r="N85">
        <f t="shared" si="6"/>
        <v>10295</v>
      </c>
      <c r="O85">
        <f t="shared" si="7"/>
        <v>10295</v>
      </c>
      <c r="P85">
        <f>I85*IFERROR(_xlfn.XLOOKUP(F85,Lookup_Tables!Product,Cost),0)</f>
        <v>7384</v>
      </c>
      <c r="Q85">
        <f t="shared" si="8"/>
        <v>2911</v>
      </c>
      <c r="R85" s="2">
        <f t="shared" si="9"/>
        <v>0.28275862068965518</v>
      </c>
    </row>
    <row r="86" spans="1:18" x14ac:dyDescent="0.3">
      <c r="A86" t="s">
        <v>143</v>
      </c>
      <c r="B86" s="1">
        <v>45614</v>
      </c>
      <c r="C86" t="s">
        <v>4</v>
      </c>
      <c r="D86" t="s">
        <v>56</v>
      </c>
      <c r="E86" t="s">
        <v>27</v>
      </c>
      <c r="F86" t="s">
        <v>24</v>
      </c>
      <c r="G86" t="str">
        <f>INDEX(Lookup_Tables!$B$1:$B$7,MATCH(Cleaned_Data!F86,Lookup_Tables!$A$1:$A$7,0))</f>
        <v>Electronics</v>
      </c>
      <c r="H86" t="s">
        <v>54</v>
      </c>
      <c r="I86">
        <v>10</v>
      </c>
      <c r="J86">
        <v>43135</v>
      </c>
      <c r="L86">
        <f t="shared" si="5"/>
        <v>0</v>
      </c>
      <c r="N86">
        <f t="shared" si="6"/>
        <v>431350</v>
      </c>
      <c r="O86">
        <f t="shared" si="7"/>
        <v>431350</v>
      </c>
      <c r="P86">
        <f>I86*IFERROR(_xlfn.XLOOKUP(F86,Lookup_Tables!Product,Cost),0)</f>
        <v>280460</v>
      </c>
      <c r="Q86">
        <f t="shared" si="8"/>
        <v>150890</v>
      </c>
      <c r="R86" s="2">
        <f t="shared" si="9"/>
        <v>0.34980874000231832</v>
      </c>
    </row>
    <row r="87" spans="1:18" x14ac:dyDescent="0.3">
      <c r="A87" t="s">
        <v>144</v>
      </c>
      <c r="B87" s="1">
        <v>45428</v>
      </c>
      <c r="C87" t="s">
        <v>4</v>
      </c>
      <c r="D87" t="s">
        <v>53</v>
      </c>
      <c r="E87" t="s">
        <v>29</v>
      </c>
      <c r="F87" t="s">
        <v>61</v>
      </c>
      <c r="G87" t="str">
        <f>INDEX(Lookup_Tables!$B$1:$B$7,MATCH(Cleaned_Data!F87,Lookup_Tables!$A$1:$A$7,0))</f>
        <v>Electronics</v>
      </c>
      <c r="H87" t="s">
        <v>54</v>
      </c>
      <c r="I87">
        <v>3</v>
      </c>
      <c r="J87">
        <v>22790</v>
      </c>
      <c r="K87">
        <v>0.05</v>
      </c>
      <c r="L87">
        <f t="shared" si="5"/>
        <v>0.05</v>
      </c>
      <c r="N87">
        <f t="shared" si="6"/>
        <v>68370</v>
      </c>
      <c r="O87">
        <f t="shared" si="7"/>
        <v>64951.5</v>
      </c>
      <c r="P87">
        <f>I87*IFERROR(_xlfn.XLOOKUP(F87,Lookup_Tables!Product,Cost),0)</f>
        <v>22152</v>
      </c>
      <c r="Q87">
        <f t="shared" si="8"/>
        <v>42799.5</v>
      </c>
      <c r="R87" s="2">
        <f t="shared" si="9"/>
        <v>0.65894552088866309</v>
      </c>
    </row>
    <row r="88" spans="1:18" x14ac:dyDescent="0.3">
      <c r="A88" t="s">
        <v>145</v>
      </c>
      <c r="B88" s="1">
        <v>45311</v>
      </c>
      <c r="C88" t="s">
        <v>3</v>
      </c>
      <c r="D88" t="s">
        <v>49</v>
      </c>
      <c r="E88" t="s">
        <v>28</v>
      </c>
      <c r="F88" t="s">
        <v>23</v>
      </c>
      <c r="G88" t="str">
        <f>INDEX(Lookup_Tables!$B$1:$B$7,MATCH(Cleaned_Data!F88,Lookup_Tables!$A$1:$A$7,0))</f>
        <v>Electronics</v>
      </c>
      <c r="H88" t="s">
        <v>54</v>
      </c>
      <c r="I88">
        <v>10</v>
      </c>
      <c r="J88">
        <v>36203</v>
      </c>
      <c r="K88">
        <v>0.05</v>
      </c>
      <c r="L88">
        <f t="shared" si="5"/>
        <v>0.05</v>
      </c>
      <c r="M88">
        <v>4593</v>
      </c>
      <c r="N88">
        <f t="shared" si="6"/>
        <v>362030</v>
      </c>
      <c r="O88">
        <f t="shared" si="7"/>
        <v>343928.5</v>
      </c>
      <c r="P88">
        <f>I88*IFERROR(_xlfn.XLOOKUP(F88,Lookup_Tables!Product,Cost),0)</f>
        <v>192650</v>
      </c>
      <c r="Q88">
        <f t="shared" si="8"/>
        <v>151278.5</v>
      </c>
      <c r="R88" s="2">
        <f t="shared" si="9"/>
        <v>0.43985450464268011</v>
      </c>
    </row>
    <row r="89" spans="1:18" x14ac:dyDescent="0.3">
      <c r="A89" t="s">
        <v>146</v>
      </c>
      <c r="B89" s="1">
        <v>45452</v>
      </c>
      <c r="C89" t="s">
        <v>3</v>
      </c>
      <c r="D89" t="s">
        <v>64</v>
      </c>
      <c r="E89" t="s">
        <v>28</v>
      </c>
      <c r="F89" t="s">
        <v>50</v>
      </c>
      <c r="G89" t="str">
        <f>INDEX(Lookup_Tables!$B$1:$B$7,MATCH(Cleaned_Data!F89,Lookup_Tables!$A$1:$A$7,0))</f>
        <v>Furniture</v>
      </c>
      <c r="H89" t="s">
        <v>51</v>
      </c>
      <c r="I89">
        <v>2</v>
      </c>
      <c r="J89">
        <v>29990</v>
      </c>
      <c r="K89">
        <v>0</v>
      </c>
      <c r="L89">
        <f t="shared" si="5"/>
        <v>0</v>
      </c>
      <c r="N89">
        <f t="shared" si="6"/>
        <v>59980</v>
      </c>
      <c r="O89">
        <f t="shared" si="7"/>
        <v>59980</v>
      </c>
      <c r="P89">
        <f>I89*IFERROR(_xlfn.XLOOKUP(F89,Lookup_Tables!Product,Cost),0)</f>
        <v>26542</v>
      </c>
      <c r="Q89">
        <f t="shared" si="8"/>
        <v>33438</v>
      </c>
      <c r="R89" s="2">
        <f t="shared" si="9"/>
        <v>0.55748582860953655</v>
      </c>
    </row>
    <row r="90" spans="1:18" x14ac:dyDescent="0.3">
      <c r="A90" t="s">
        <v>147</v>
      </c>
      <c r="B90" s="1">
        <v>45402</v>
      </c>
      <c r="C90" t="s">
        <v>5</v>
      </c>
      <c r="D90" t="s">
        <v>64</v>
      </c>
      <c r="E90" t="s">
        <v>25</v>
      </c>
      <c r="F90" t="s">
        <v>22</v>
      </c>
      <c r="G90" t="str">
        <f>INDEX(Lookup_Tables!$B$1:$B$7,MATCH(Cleaned_Data!F90,Lookup_Tables!$A$1:$A$7,0))</f>
        <v>Furniture</v>
      </c>
      <c r="H90" t="s">
        <v>51</v>
      </c>
      <c r="I90">
        <v>2</v>
      </c>
      <c r="J90">
        <v>34584</v>
      </c>
      <c r="L90">
        <f t="shared" si="5"/>
        <v>0</v>
      </c>
      <c r="N90">
        <f t="shared" si="6"/>
        <v>69168</v>
      </c>
      <c r="O90">
        <f t="shared" si="7"/>
        <v>69168</v>
      </c>
      <c r="P90">
        <f>I90*IFERROR(_xlfn.XLOOKUP(F90,Lookup_Tables!Product,Cost),0)</f>
        <v>26080</v>
      </c>
      <c r="Q90">
        <f t="shared" si="8"/>
        <v>43088</v>
      </c>
      <c r="R90" s="2">
        <f t="shared" si="9"/>
        <v>0.62294702752718023</v>
      </c>
    </row>
    <row r="91" spans="1:18" x14ac:dyDescent="0.3">
      <c r="A91" t="s">
        <v>148</v>
      </c>
      <c r="B91" s="1">
        <v>45332</v>
      </c>
      <c r="C91" t="s">
        <v>6</v>
      </c>
      <c r="D91" t="s">
        <v>76</v>
      </c>
      <c r="E91" t="s">
        <v>26</v>
      </c>
      <c r="F91" t="s">
        <v>22</v>
      </c>
      <c r="G91" t="str">
        <f>INDEX(Lookup_Tables!$B$1:$B$7,MATCH(Cleaned_Data!F91,Lookup_Tables!$A$1:$A$7,0))</f>
        <v>Furniture</v>
      </c>
      <c r="H91" t="s">
        <v>51</v>
      </c>
      <c r="I91">
        <v>8</v>
      </c>
      <c r="J91">
        <v>6065</v>
      </c>
      <c r="K91">
        <v>0.05</v>
      </c>
      <c r="L91">
        <f t="shared" si="5"/>
        <v>0.05</v>
      </c>
      <c r="M91">
        <v>11003</v>
      </c>
      <c r="N91">
        <f t="shared" si="6"/>
        <v>48520</v>
      </c>
      <c r="O91">
        <f t="shared" si="7"/>
        <v>46094</v>
      </c>
      <c r="P91">
        <f>I91*IFERROR(_xlfn.XLOOKUP(F91,Lookup_Tables!Product,Cost),0)</f>
        <v>104320</v>
      </c>
      <c r="Q91">
        <f t="shared" si="8"/>
        <v>-58226</v>
      </c>
      <c r="R91" s="2">
        <f t="shared" si="9"/>
        <v>-1.2632012843320173</v>
      </c>
    </row>
    <row r="92" spans="1:18" x14ac:dyDescent="0.3">
      <c r="A92" t="s">
        <v>149</v>
      </c>
      <c r="B92" s="1">
        <v>45651</v>
      </c>
      <c r="C92" t="s">
        <v>6</v>
      </c>
      <c r="D92" t="s">
        <v>49</v>
      </c>
      <c r="E92" t="s">
        <v>25</v>
      </c>
      <c r="F92" t="s">
        <v>61</v>
      </c>
      <c r="G92" t="str">
        <f>INDEX(Lookup_Tables!$B$1:$B$7,MATCH(Cleaned_Data!F92,Lookup_Tables!$A$1:$A$7,0))</f>
        <v>Electronics</v>
      </c>
      <c r="H92" t="s">
        <v>54</v>
      </c>
      <c r="I92">
        <v>9</v>
      </c>
      <c r="J92">
        <v>35616</v>
      </c>
      <c r="L92">
        <f t="shared" si="5"/>
        <v>0</v>
      </c>
      <c r="M92">
        <v>14753</v>
      </c>
      <c r="N92">
        <f t="shared" si="6"/>
        <v>320544</v>
      </c>
      <c r="O92">
        <f t="shared" si="7"/>
        <v>320544</v>
      </c>
      <c r="P92">
        <f>I92*IFERROR(_xlfn.XLOOKUP(F92,Lookup_Tables!Product,Cost),0)</f>
        <v>66456</v>
      </c>
      <c r="Q92">
        <f t="shared" si="8"/>
        <v>254088</v>
      </c>
      <c r="R92" s="2">
        <f t="shared" si="9"/>
        <v>0.79267744833782572</v>
      </c>
    </row>
    <row r="93" spans="1:18" x14ac:dyDescent="0.3">
      <c r="A93" t="s">
        <v>150</v>
      </c>
      <c r="B93" s="1">
        <v>45542</v>
      </c>
      <c r="C93" t="s">
        <v>6</v>
      </c>
      <c r="D93" t="s">
        <v>56</v>
      </c>
      <c r="E93" t="s">
        <v>28</v>
      </c>
      <c r="F93" t="s">
        <v>58</v>
      </c>
      <c r="G93" t="str">
        <f>INDEX(Lookup_Tables!$B$1:$B$7,MATCH(Cleaned_Data!F93,Lookup_Tables!$A$1:$A$7,0))</f>
        <v>Electronics</v>
      </c>
      <c r="H93" t="s">
        <v>54</v>
      </c>
      <c r="I93">
        <v>7</v>
      </c>
      <c r="J93">
        <v>14701</v>
      </c>
      <c r="K93">
        <v>0.05</v>
      </c>
      <c r="L93">
        <f t="shared" si="5"/>
        <v>0.05</v>
      </c>
      <c r="N93">
        <f t="shared" si="6"/>
        <v>102907</v>
      </c>
      <c r="O93">
        <f t="shared" si="7"/>
        <v>97761.65</v>
      </c>
      <c r="P93">
        <f>I93*IFERROR(_xlfn.XLOOKUP(F93,Lookup_Tables!Product,Cost),0)</f>
        <v>20216</v>
      </c>
      <c r="Q93">
        <f t="shared" si="8"/>
        <v>77545.649999999994</v>
      </c>
      <c r="R93" s="2">
        <f t="shared" si="9"/>
        <v>0.79321134616692746</v>
      </c>
    </row>
    <row r="94" spans="1:18" x14ac:dyDescent="0.3">
      <c r="A94" t="s">
        <v>151</v>
      </c>
      <c r="B94" s="1">
        <v>45592</v>
      </c>
      <c r="C94" t="s">
        <v>4</v>
      </c>
      <c r="D94" t="s">
        <v>69</v>
      </c>
      <c r="E94" t="s">
        <v>28</v>
      </c>
      <c r="F94" t="s">
        <v>61</v>
      </c>
      <c r="G94" t="str">
        <f>INDEX(Lookup_Tables!$B$1:$B$7,MATCH(Cleaned_Data!F94,Lookup_Tables!$A$1:$A$7,0))</f>
        <v>Electronics</v>
      </c>
      <c r="H94" t="s">
        <v>54</v>
      </c>
      <c r="I94">
        <v>8</v>
      </c>
      <c r="J94">
        <v>11159</v>
      </c>
      <c r="L94">
        <f t="shared" si="5"/>
        <v>0</v>
      </c>
      <c r="M94">
        <v>959</v>
      </c>
      <c r="N94">
        <f t="shared" si="6"/>
        <v>89272</v>
      </c>
      <c r="O94">
        <f t="shared" si="7"/>
        <v>89272</v>
      </c>
      <c r="P94">
        <f>I94*IFERROR(_xlfn.XLOOKUP(F94,Lookup_Tables!Product,Cost),0)</f>
        <v>59072</v>
      </c>
      <c r="Q94">
        <f t="shared" si="8"/>
        <v>30200</v>
      </c>
      <c r="R94" s="2">
        <f t="shared" si="9"/>
        <v>0.33829196164530873</v>
      </c>
    </row>
    <row r="95" spans="1:18" x14ac:dyDescent="0.3">
      <c r="A95" t="s">
        <v>152</v>
      </c>
      <c r="B95" s="1">
        <v>45471</v>
      </c>
      <c r="C95" t="s">
        <v>6</v>
      </c>
      <c r="D95" t="s">
        <v>64</v>
      </c>
      <c r="E95" t="s">
        <v>25</v>
      </c>
      <c r="F95" t="s">
        <v>58</v>
      </c>
      <c r="G95" t="str">
        <f>INDEX(Lookup_Tables!$B$1:$B$7,MATCH(Cleaned_Data!F95,Lookup_Tables!$A$1:$A$7,0))</f>
        <v>Electronics</v>
      </c>
      <c r="H95" t="s">
        <v>54</v>
      </c>
      <c r="I95">
        <v>6</v>
      </c>
      <c r="J95">
        <v>39961</v>
      </c>
      <c r="K95">
        <v>0.1</v>
      </c>
      <c r="L95">
        <f t="shared" si="5"/>
        <v>0.1</v>
      </c>
      <c r="M95">
        <v>24009</v>
      </c>
      <c r="N95">
        <f t="shared" si="6"/>
        <v>239766</v>
      </c>
      <c r="O95">
        <f t="shared" si="7"/>
        <v>215789.4</v>
      </c>
      <c r="P95">
        <f>I95*IFERROR(_xlfn.XLOOKUP(F95,Lookup_Tables!Product,Cost),0)</f>
        <v>17328</v>
      </c>
      <c r="Q95">
        <f t="shared" si="8"/>
        <v>198461.4</v>
      </c>
      <c r="R95" s="2">
        <f t="shared" si="9"/>
        <v>0.91969948477543384</v>
      </c>
    </row>
    <row r="96" spans="1:18" x14ac:dyDescent="0.3">
      <c r="A96" t="s">
        <v>153</v>
      </c>
      <c r="B96" s="1">
        <v>45383</v>
      </c>
      <c r="C96" t="s">
        <v>3</v>
      </c>
      <c r="D96" t="s">
        <v>64</v>
      </c>
      <c r="E96" t="s">
        <v>25</v>
      </c>
      <c r="F96" t="s">
        <v>61</v>
      </c>
      <c r="G96" t="str">
        <f>INDEX(Lookup_Tables!$B$1:$B$7,MATCH(Cleaned_Data!F96,Lookup_Tables!$A$1:$A$7,0))</f>
        <v>Electronics</v>
      </c>
      <c r="H96" t="s">
        <v>54</v>
      </c>
      <c r="I96">
        <v>9</v>
      </c>
      <c r="J96">
        <v>12105</v>
      </c>
      <c r="K96">
        <v>0.05</v>
      </c>
      <c r="L96">
        <f t="shared" si="5"/>
        <v>0.05</v>
      </c>
      <c r="N96">
        <f t="shared" si="6"/>
        <v>108945</v>
      </c>
      <c r="O96">
        <f t="shared" si="7"/>
        <v>103497.75</v>
      </c>
      <c r="P96">
        <f>I96*IFERROR(_xlfn.XLOOKUP(F96,Lookup_Tables!Product,Cost),0)</f>
        <v>66456</v>
      </c>
      <c r="Q96">
        <f t="shared" si="8"/>
        <v>37041.75</v>
      </c>
      <c r="R96" s="2">
        <f t="shared" si="9"/>
        <v>0.35789908476271221</v>
      </c>
    </row>
    <row r="97" spans="1:18" x14ac:dyDescent="0.3">
      <c r="A97" t="s">
        <v>154</v>
      </c>
      <c r="B97" s="1">
        <v>45516</v>
      </c>
      <c r="C97" t="s">
        <v>3</v>
      </c>
      <c r="D97" t="s">
        <v>49</v>
      </c>
      <c r="E97" t="s">
        <v>28</v>
      </c>
      <c r="F97" t="s">
        <v>50</v>
      </c>
      <c r="G97" t="str">
        <f>INDEX(Lookup_Tables!$B$1:$B$7,MATCH(Cleaned_Data!F97,Lookup_Tables!$A$1:$A$7,0))</f>
        <v>Furniture</v>
      </c>
      <c r="H97" t="s">
        <v>51</v>
      </c>
      <c r="I97">
        <v>4</v>
      </c>
      <c r="J97">
        <v>18667</v>
      </c>
      <c r="K97">
        <v>0.1</v>
      </c>
      <c r="L97">
        <f t="shared" si="5"/>
        <v>0.1</v>
      </c>
      <c r="M97">
        <v>13662</v>
      </c>
      <c r="N97">
        <f t="shared" si="6"/>
        <v>74668</v>
      </c>
      <c r="O97">
        <f t="shared" si="7"/>
        <v>67201.2</v>
      </c>
      <c r="P97">
        <f>I97*IFERROR(_xlfn.XLOOKUP(F97,Lookup_Tables!Product,Cost),0)</f>
        <v>53084</v>
      </c>
      <c r="Q97">
        <f t="shared" si="8"/>
        <v>14117.199999999997</v>
      </c>
      <c r="R97" s="2">
        <f t="shared" si="9"/>
        <v>0.21007362963756596</v>
      </c>
    </row>
    <row r="98" spans="1:18" x14ac:dyDescent="0.3">
      <c r="A98" t="s">
        <v>155</v>
      </c>
      <c r="B98" s="1">
        <v>45390</v>
      </c>
      <c r="C98" t="s">
        <v>6</v>
      </c>
      <c r="D98" t="s">
        <v>56</v>
      </c>
      <c r="E98" t="s">
        <v>26</v>
      </c>
      <c r="F98" t="s">
        <v>61</v>
      </c>
      <c r="G98" t="str">
        <f>INDEX(Lookup_Tables!$B$1:$B$7,MATCH(Cleaned_Data!F98,Lookup_Tables!$A$1:$A$7,0))</f>
        <v>Electronics</v>
      </c>
      <c r="H98" t="s">
        <v>54</v>
      </c>
      <c r="I98">
        <v>9</v>
      </c>
      <c r="J98">
        <v>30848</v>
      </c>
      <c r="K98">
        <v>0.1</v>
      </c>
      <c r="L98">
        <f t="shared" si="5"/>
        <v>0.1</v>
      </c>
      <c r="M98">
        <v>24623</v>
      </c>
      <c r="N98">
        <f t="shared" si="6"/>
        <v>277632</v>
      </c>
      <c r="O98">
        <f t="shared" si="7"/>
        <v>249868.79999999999</v>
      </c>
      <c r="P98">
        <f>I98*IFERROR(_xlfn.XLOOKUP(F98,Lookup_Tables!Product,Cost),0)</f>
        <v>66456</v>
      </c>
      <c r="Q98">
        <f t="shared" si="8"/>
        <v>183412.8</v>
      </c>
      <c r="R98" s="2">
        <f t="shared" si="9"/>
        <v>0.73403642231443056</v>
      </c>
    </row>
    <row r="99" spans="1:18" x14ac:dyDescent="0.3">
      <c r="A99" t="s">
        <v>156</v>
      </c>
      <c r="B99" s="1">
        <v>45345</v>
      </c>
      <c r="C99" t="s">
        <v>5</v>
      </c>
      <c r="D99" t="s">
        <v>64</v>
      </c>
      <c r="E99" t="s">
        <v>26</v>
      </c>
      <c r="F99" t="s">
        <v>23</v>
      </c>
      <c r="G99" t="str">
        <f>INDEX(Lookup_Tables!$B$1:$B$7,MATCH(Cleaned_Data!F99,Lookup_Tables!$A$1:$A$7,0))</f>
        <v>Electronics</v>
      </c>
      <c r="H99" t="s">
        <v>54</v>
      </c>
      <c r="I99">
        <v>9</v>
      </c>
      <c r="J99">
        <v>2772</v>
      </c>
      <c r="K99">
        <v>0.05</v>
      </c>
      <c r="L99">
        <f t="shared" si="5"/>
        <v>0.05</v>
      </c>
      <c r="M99">
        <v>969</v>
      </c>
      <c r="N99">
        <f t="shared" si="6"/>
        <v>24948</v>
      </c>
      <c r="O99">
        <f t="shared" si="7"/>
        <v>23700.6</v>
      </c>
      <c r="P99">
        <f>I99*IFERROR(_xlfn.XLOOKUP(F99,Lookup_Tables!Product,Cost),0)</f>
        <v>173385</v>
      </c>
      <c r="Q99">
        <f t="shared" si="8"/>
        <v>-149684.4</v>
      </c>
      <c r="R99" s="2">
        <f t="shared" si="9"/>
        <v>-6.3156375787954735</v>
      </c>
    </row>
    <row r="100" spans="1:18" x14ac:dyDescent="0.3">
      <c r="A100" t="s">
        <v>157</v>
      </c>
      <c r="B100" s="1">
        <v>45366</v>
      </c>
      <c r="C100" t="s">
        <v>6</v>
      </c>
      <c r="D100" t="s">
        <v>49</v>
      </c>
      <c r="E100" t="s">
        <v>27</v>
      </c>
      <c r="F100" t="s">
        <v>50</v>
      </c>
      <c r="G100" t="str">
        <f>INDEX(Lookup_Tables!$B$1:$B$7,MATCH(Cleaned_Data!F100,Lookup_Tables!$A$1:$A$7,0))</f>
        <v>Furniture</v>
      </c>
      <c r="H100" t="s">
        <v>51</v>
      </c>
      <c r="I100">
        <v>9</v>
      </c>
      <c r="J100">
        <v>30646</v>
      </c>
      <c r="K100">
        <v>0</v>
      </c>
      <c r="L100">
        <f t="shared" si="5"/>
        <v>0</v>
      </c>
      <c r="N100">
        <f t="shared" si="6"/>
        <v>275814</v>
      </c>
      <c r="O100">
        <f t="shared" si="7"/>
        <v>275814</v>
      </c>
      <c r="P100">
        <f>I100*IFERROR(_xlfn.XLOOKUP(F100,Lookup_Tables!Product,Cost),0)</f>
        <v>119439</v>
      </c>
      <c r="Q100">
        <f t="shared" si="8"/>
        <v>156375</v>
      </c>
      <c r="R100" s="2">
        <f t="shared" si="9"/>
        <v>0.56695816746068006</v>
      </c>
    </row>
    <row r="101" spans="1:18" x14ac:dyDescent="0.3">
      <c r="A101" t="s">
        <v>158</v>
      </c>
      <c r="B101" s="1">
        <v>45652</v>
      </c>
      <c r="C101" t="s">
        <v>3</v>
      </c>
      <c r="D101" t="s">
        <v>64</v>
      </c>
      <c r="E101" t="s">
        <v>28</v>
      </c>
      <c r="F101" t="s">
        <v>23</v>
      </c>
      <c r="G101" t="str">
        <f>INDEX(Lookup_Tables!$B$1:$B$7,MATCH(Cleaned_Data!F101,Lookup_Tables!$A$1:$A$7,0))</f>
        <v>Electronics</v>
      </c>
      <c r="H101" t="s">
        <v>54</v>
      </c>
      <c r="I101">
        <v>9</v>
      </c>
      <c r="J101">
        <v>42832</v>
      </c>
      <c r="K101">
        <v>0</v>
      </c>
      <c r="L101">
        <f t="shared" si="5"/>
        <v>0</v>
      </c>
      <c r="M101">
        <v>5782</v>
      </c>
      <c r="N101">
        <f t="shared" si="6"/>
        <v>385488</v>
      </c>
      <c r="O101">
        <f t="shared" si="7"/>
        <v>385488</v>
      </c>
      <c r="P101">
        <f>I101*IFERROR(_xlfn.XLOOKUP(F101,Lookup_Tables!Product,Cost),0)</f>
        <v>173385</v>
      </c>
      <c r="Q101">
        <f t="shared" si="8"/>
        <v>212103</v>
      </c>
      <c r="R101" s="2">
        <f t="shared" si="9"/>
        <v>0.55021946208442285</v>
      </c>
    </row>
    <row r="102" spans="1:18" x14ac:dyDescent="0.3">
      <c r="A102" t="s">
        <v>159</v>
      </c>
      <c r="B102" s="1">
        <v>45354</v>
      </c>
      <c r="C102" t="s">
        <v>3</v>
      </c>
      <c r="D102" t="s">
        <v>69</v>
      </c>
      <c r="E102" t="s">
        <v>26</v>
      </c>
      <c r="F102" t="s">
        <v>58</v>
      </c>
      <c r="G102" t="str">
        <f>INDEX(Lookup_Tables!$B$1:$B$7,MATCH(Cleaned_Data!F102,Lookup_Tables!$A$1:$A$7,0))</f>
        <v>Electronics</v>
      </c>
      <c r="H102" t="s">
        <v>54</v>
      </c>
      <c r="I102">
        <v>2</v>
      </c>
      <c r="J102">
        <v>14634</v>
      </c>
      <c r="K102">
        <v>0.1</v>
      </c>
      <c r="L102">
        <f t="shared" si="5"/>
        <v>0.1</v>
      </c>
      <c r="N102">
        <f t="shared" si="6"/>
        <v>29268</v>
      </c>
      <c r="O102">
        <f t="shared" si="7"/>
        <v>26341.200000000001</v>
      </c>
      <c r="P102">
        <f>I102*IFERROR(_xlfn.XLOOKUP(F102,Lookup_Tables!Product,Cost),0)</f>
        <v>5776</v>
      </c>
      <c r="Q102">
        <f t="shared" si="8"/>
        <v>20565.2</v>
      </c>
      <c r="R102" s="2">
        <f t="shared" si="9"/>
        <v>0.7807237331632576</v>
      </c>
    </row>
    <row r="103" spans="1:18" x14ac:dyDescent="0.3">
      <c r="A103" t="s">
        <v>160</v>
      </c>
      <c r="B103" s="1">
        <v>45450</v>
      </c>
      <c r="C103" t="s">
        <v>6</v>
      </c>
      <c r="D103" t="s">
        <v>69</v>
      </c>
      <c r="E103" t="s">
        <v>26</v>
      </c>
      <c r="F103" t="s">
        <v>24</v>
      </c>
      <c r="G103" t="str">
        <f>INDEX(Lookup_Tables!$B$1:$B$7,MATCH(Cleaned_Data!F103,Lookup_Tables!$A$1:$A$7,0))</f>
        <v>Electronics</v>
      </c>
      <c r="H103" t="s">
        <v>54</v>
      </c>
      <c r="I103">
        <v>5</v>
      </c>
      <c r="J103">
        <v>40273</v>
      </c>
      <c r="K103">
        <v>0.05</v>
      </c>
      <c r="L103">
        <f t="shared" si="5"/>
        <v>0.05</v>
      </c>
      <c r="N103">
        <f t="shared" si="6"/>
        <v>201365</v>
      </c>
      <c r="O103">
        <f t="shared" si="7"/>
        <v>191296.75</v>
      </c>
      <c r="P103">
        <f>I103*IFERROR(_xlfn.XLOOKUP(F103,Lookup_Tables!Product,Cost),0)</f>
        <v>140230</v>
      </c>
      <c r="Q103">
        <f t="shared" si="8"/>
        <v>51066.75</v>
      </c>
      <c r="R103" s="2">
        <f t="shared" si="9"/>
        <v>0.2669504317245327</v>
      </c>
    </row>
    <row r="104" spans="1:18" x14ac:dyDescent="0.3">
      <c r="A104" t="s">
        <v>161</v>
      </c>
      <c r="B104" s="1">
        <v>45590</v>
      </c>
      <c r="C104" t="s">
        <v>4</v>
      </c>
      <c r="D104" t="s">
        <v>69</v>
      </c>
      <c r="E104" t="s">
        <v>28</v>
      </c>
      <c r="F104" t="s">
        <v>58</v>
      </c>
      <c r="G104" t="str">
        <f>INDEX(Lookup_Tables!$B$1:$B$7,MATCH(Cleaned_Data!F104,Lookup_Tables!$A$1:$A$7,0))</f>
        <v>Electronics</v>
      </c>
      <c r="H104" t="s">
        <v>54</v>
      </c>
      <c r="I104">
        <v>2</v>
      </c>
      <c r="J104">
        <v>5905</v>
      </c>
      <c r="K104">
        <v>0.05</v>
      </c>
      <c r="L104">
        <f t="shared" si="5"/>
        <v>0.05</v>
      </c>
      <c r="N104">
        <f t="shared" si="6"/>
        <v>11810</v>
      </c>
      <c r="O104">
        <f t="shared" si="7"/>
        <v>11219.5</v>
      </c>
      <c r="P104">
        <f>I104*IFERROR(_xlfn.XLOOKUP(F104,Lookup_Tables!Product,Cost),0)</f>
        <v>5776</v>
      </c>
      <c r="Q104">
        <f t="shared" si="8"/>
        <v>5443.5</v>
      </c>
      <c r="R104" s="2">
        <f t="shared" si="9"/>
        <v>0.48518204911092294</v>
      </c>
    </row>
    <row r="105" spans="1:18" x14ac:dyDescent="0.3">
      <c r="A105" t="s">
        <v>162</v>
      </c>
      <c r="B105" s="1">
        <v>45518</v>
      </c>
      <c r="C105" t="s">
        <v>6</v>
      </c>
      <c r="D105" t="s">
        <v>56</v>
      </c>
      <c r="E105" t="s">
        <v>29</v>
      </c>
      <c r="F105" t="s">
        <v>22</v>
      </c>
      <c r="G105" t="str">
        <f>INDEX(Lookup_Tables!$B$1:$B$7,MATCH(Cleaned_Data!F105,Lookup_Tables!$A$1:$A$7,0))</f>
        <v>Furniture</v>
      </c>
      <c r="H105" t="s">
        <v>51</v>
      </c>
      <c r="I105">
        <v>4</v>
      </c>
      <c r="J105">
        <v>11473</v>
      </c>
      <c r="L105">
        <f t="shared" si="5"/>
        <v>0</v>
      </c>
      <c r="N105">
        <f t="shared" si="6"/>
        <v>45892</v>
      </c>
      <c r="O105">
        <f t="shared" si="7"/>
        <v>45892</v>
      </c>
      <c r="P105">
        <f>I105*IFERROR(_xlfn.XLOOKUP(F105,Lookup_Tables!Product,Cost),0)</f>
        <v>52160</v>
      </c>
      <c r="Q105">
        <f t="shared" si="8"/>
        <v>-6268</v>
      </c>
      <c r="R105" s="2">
        <f t="shared" si="9"/>
        <v>-0.13658153926610303</v>
      </c>
    </row>
    <row r="106" spans="1:18" x14ac:dyDescent="0.3">
      <c r="A106" t="s">
        <v>163</v>
      </c>
      <c r="B106" s="1">
        <v>45441</v>
      </c>
      <c r="C106" t="s">
        <v>3</v>
      </c>
      <c r="D106" t="s">
        <v>69</v>
      </c>
      <c r="E106" t="s">
        <v>29</v>
      </c>
      <c r="F106" t="s">
        <v>22</v>
      </c>
      <c r="G106" t="str">
        <f>INDEX(Lookup_Tables!$B$1:$B$7,MATCH(Cleaned_Data!F106,Lookup_Tables!$A$1:$A$7,0))</f>
        <v>Furniture</v>
      </c>
      <c r="H106" t="s">
        <v>51</v>
      </c>
      <c r="I106">
        <v>3</v>
      </c>
      <c r="J106">
        <v>6379</v>
      </c>
      <c r="K106">
        <v>0.1</v>
      </c>
      <c r="L106">
        <f t="shared" si="5"/>
        <v>0.1</v>
      </c>
      <c r="M106">
        <v>8916</v>
      </c>
      <c r="N106">
        <f t="shared" si="6"/>
        <v>19137</v>
      </c>
      <c r="O106">
        <f t="shared" si="7"/>
        <v>17223.3</v>
      </c>
      <c r="P106">
        <f>I106*IFERROR(_xlfn.XLOOKUP(F106,Lookup_Tables!Product,Cost),0)</f>
        <v>39120</v>
      </c>
      <c r="Q106">
        <f t="shared" si="8"/>
        <v>-21896.7</v>
      </c>
      <c r="R106" s="2">
        <f t="shared" si="9"/>
        <v>-1.2713417289369633</v>
      </c>
    </row>
    <row r="107" spans="1:18" x14ac:dyDescent="0.3">
      <c r="A107" t="s">
        <v>164</v>
      </c>
      <c r="B107" s="1">
        <v>45383</v>
      </c>
      <c r="C107" t="s">
        <v>4</v>
      </c>
      <c r="D107" t="s">
        <v>69</v>
      </c>
      <c r="E107" t="s">
        <v>25</v>
      </c>
      <c r="F107" t="s">
        <v>24</v>
      </c>
      <c r="G107" t="str">
        <f>INDEX(Lookup_Tables!$B$1:$B$7,MATCH(Cleaned_Data!F107,Lookup_Tables!$A$1:$A$7,0))</f>
        <v>Electronics</v>
      </c>
      <c r="H107" t="s">
        <v>54</v>
      </c>
      <c r="I107">
        <v>7</v>
      </c>
      <c r="J107">
        <v>5824</v>
      </c>
      <c r="L107">
        <f t="shared" si="5"/>
        <v>0</v>
      </c>
      <c r="M107">
        <v>4007</v>
      </c>
      <c r="N107">
        <f t="shared" si="6"/>
        <v>40768</v>
      </c>
      <c r="O107">
        <f t="shared" si="7"/>
        <v>40768</v>
      </c>
      <c r="P107">
        <f>I107*IFERROR(_xlfn.XLOOKUP(F107,Lookup_Tables!Product,Cost),0)</f>
        <v>196322</v>
      </c>
      <c r="Q107">
        <f t="shared" si="8"/>
        <v>-155554</v>
      </c>
      <c r="R107" s="2">
        <f t="shared" si="9"/>
        <v>-3.8155906593406592</v>
      </c>
    </row>
    <row r="108" spans="1:18" x14ac:dyDescent="0.3">
      <c r="A108" t="s">
        <v>165</v>
      </c>
      <c r="B108" s="1">
        <v>45346</v>
      </c>
      <c r="C108" t="s">
        <v>5</v>
      </c>
      <c r="D108" t="s">
        <v>56</v>
      </c>
      <c r="E108" t="s">
        <v>25</v>
      </c>
      <c r="F108" t="s">
        <v>61</v>
      </c>
      <c r="G108" t="str">
        <f>INDEX(Lookup_Tables!$B$1:$B$7,MATCH(Cleaned_Data!F108,Lookup_Tables!$A$1:$A$7,0))</f>
        <v>Electronics</v>
      </c>
      <c r="H108" t="s">
        <v>54</v>
      </c>
      <c r="I108">
        <v>4</v>
      </c>
      <c r="J108">
        <v>35086</v>
      </c>
      <c r="K108">
        <v>0</v>
      </c>
      <c r="L108">
        <f t="shared" si="5"/>
        <v>0</v>
      </c>
      <c r="M108">
        <v>18816</v>
      </c>
      <c r="N108">
        <f t="shared" si="6"/>
        <v>140344</v>
      </c>
      <c r="O108">
        <f t="shared" si="7"/>
        <v>140344</v>
      </c>
      <c r="P108">
        <f>I108*IFERROR(_xlfn.XLOOKUP(F108,Lookup_Tables!Product,Cost),0)</f>
        <v>29536</v>
      </c>
      <c r="Q108">
        <f t="shared" si="8"/>
        <v>110808</v>
      </c>
      <c r="R108" s="2">
        <f t="shared" si="9"/>
        <v>0.78954568773869915</v>
      </c>
    </row>
    <row r="109" spans="1:18" x14ac:dyDescent="0.3">
      <c r="A109" t="s">
        <v>166</v>
      </c>
      <c r="B109" s="1">
        <v>45393</v>
      </c>
      <c r="C109" t="s">
        <v>6</v>
      </c>
      <c r="D109" t="s">
        <v>76</v>
      </c>
      <c r="E109" t="s">
        <v>25</v>
      </c>
      <c r="F109" t="s">
        <v>22</v>
      </c>
      <c r="G109" t="str">
        <f>INDEX(Lookup_Tables!$B$1:$B$7,MATCH(Cleaned_Data!F109,Lookup_Tables!$A$1:$A$7,0))</f>
        <v>Furniture</v>
      </c>
      <c r="H109" t="s">
        <v>51</v>
      </c>
      <c r="I109">
        <v>1</v>
      </c>
      <c r="J109">
        <v>4208</v>
      </c>
      <c r="K109">
        <v>0.1</v>
      </c>
      <c r="L109">
        <f t="shared" si="5"/>
        <v>0.1</v>
      </c>
      <c r="N109">
        <f t="shared" si="6"/>
        <v>4208</v>
      </c>
      <c r="O109">
        <f t="shared" si="7"/>
        <v>3787.2</v>
      </c>
      <c r="P109">
        <f>I109*IFERROR(_xlfn.XLOOKUP(F109,Lookup_Tables!Product,Cost),0)</f>
        <v>13040</v>
      </c>
      <c r="Q109">
        <f t="shared" si="8"/>
        <v>-9252.7999999999993</v>
      </c>
      <c r="R109" s="2">
        <f t="shared" si="9"/>
        <v>-2.4431770173215037</v>
      </c>
    </row>
    <row r="110" spans="1:18" x14ac:dyDescent="0.3">
      <c r="A110" t="s">
        <v>167</v>
      </c>
      <c r="B110" s="1">
        <v>45412</v>
      </c>
      <c r="C110" t="s">
        <v>6</v>
      </c>
      <c r="D110" t="s">
        <v>56</v>
      </c>
      <c r="E110" t="s">
        <v>29</v>
      </c>
      <c r="F110" t="s">
        <v>58</v>
      </c>
      <c r="G110" t="str">
        <f>INDEX(Lookup_Tables!$B$1:$B$7,MATCH(Cleaned_Data!F110,Lookup_Tables!$A$1:$A$7,0))</f>
        <v>Electronics</v>
      </c>
      <c r="H110" t="s">
        <v>54</v>
      </c>
      <c r="I110">
        <v>10</v>
      </c>
      <c r="J110">
        <v>31197</v>
      </c>
      <c r="K110">
        <v>0.05</v>
      </c>
      <c r="L110">
        <f t="shared" si="5"/>
        <v>0.05</v>
      </c>
      <c r="N110">
        <f t="shared" si="6"/>
        <v>311970</v>
      </c>
      <c r="O110">
        <f t="shared" si="7"/>
        <v>296371.5</v>
      </c>
      <c r="P110">
        <f>I110*IFERROR(_xlfn.XLOOKUP(F110,Lookup_Tables!Product,Cost),0)</f>
        <v>28880</v>
      </c>
      <c r="Q110">
        <f t="shared" si="8"/>
        <v>267491.5</v>
      </c>
      <c r="R110" s="2">
        <f t="shared" si="9"/>
        <v>0.90255473282687437</v>
      </c>
    </row>
    <row r="111" spans="1:18" x14ac:dyDescent="0.3">
      <c r="A111" t="s">
        <v>168</v>
      </c>
      <c r="B111" s="1">
        <v>45345</v>
      </c>
      <c r="C111" t="s">
        <v>3</v>
      </c>
      <c r="D111" t="s">
        <v>53</v>
      </c>
      <c r="E111" t="s">
        <v>26</v>
      </c>
      <c r="F111" t="s">
        <v>23</v>
      </c>
      <c r="G111" t="str">
        <f>INDEX(Lookup_Tables!$B$1:$B$7,MATCH(Cleaned_Data!F111,Lookup_Tables!$A$1:$A$7,0))</f>
        <v>Electronics</v>
      </c>
      <c r="H111" t="s">
        <v>54</v>
      </c>
      <c r="I111">
        <v>5</v>
      </c>
      <c r="J111">
        <v>6205</v>
      </c>
      <c r="L111">
        <f t="shared" si="5"/>
        <v>0</v>
      </c>
      <c r="M111">
        <v>10875</v>
      </c>
      <c r="N111">
        <f t="shared" si="6"/>
        <v>31025</v>
      </c>
      <c r="O111">
        <f t="shared" si="7"/>
        <v>31025</v>
      </c>
      <c r="P111">
        <f>I111*IFERROR(_xlfn.XLOOKUP(F111,Lookup_Tables!Product,Cost),0)</f>
        <v>96325</v>
      </c>
      <c r="Q111">
        <f t="shared" si="8"/>
        <v>-65300</v>
      </c>
      <c r="R111" s="2">
        <f t="shared" si="9"/>
        <v>-2.104754230459307</v>
      </c>
    </row>
    <row r="112" spans="1:18" x14ac:dyDescent="0.3">
      <c r="A112" t="s">
        <v>169</v>
      </c>
      <c r="B112" s="1">
        <v>45313</v>
      </c>
      <c r="C112" t="s">
        <v>3</v>
      </c>
      <c r="D112" t="s">
        <v>64</v>
      </c>
      <c r="E112" t="s">
        <v>26</v>
      </c>
      <c r="F112" t="s">
        <v>61</v>
      </c>
      <c r="G112" t="str">
        <f>INDEX(Lookup_Tables!$B$1:$B$7,MATCH(Cleaned_Data!F112,Lookup_Tables!$A$1:$A$7,0))</f>
        <v>Electronics</v>
      </c>
      <c r="H112" t="s">
        <v>54</v>
      </c>
      <c r="I112">
        <v>6</v>
      </c>
      <c r="J112">
        <v>20006</v>
      </c>
      <c r="K112">
        <v>0.05</v>
      </c>
      <c r="L112">
        <f t="shared" si="5"/>
        <v>0.05</v>
      </c>
      <c r="N112">
        <f t="shared" si="6"/>
        <v>120036</v>
      </c>
      <c r="O112">
        <f t="shared" si="7"/>
        <v>114034.2</v>
      </c>
      <c r="P112">
        <f>I112*IFERROR(_xlfn.XLOOKUP(F112,Lookup_Tables!Product,Cost),0)</f>
        <v>44304</v>
      </c>
      <c r="Q112">
        <f t="shared" si="8"/>
        <v>69730.2</v>
      </c>
      <c r="R112" s="2">
        <f t="shared" si="9"/>
        <v>0.61148497555996362</v>
      </c>
    </row>
    <row r="113" spans="1:18" x14ac:dyDescent="0.3">
      <c r="A113" t="s">
        <v>170</v>
      </c>
      <c r="B113" s="1">
        <v>45309</v>
      </c>
      <c r="C113" t="s">
        <v>3</v>
      </c>
      <c r="D113" t="s">
        <v>53</v>
      </c>
      <c r="E113" t="s">
        <v>27</v>
      </c>
      <c r="F113" t="s">
        <v>24</v>
      </c>
      <c r="G113" t="str">
        <f>INDEX(Lookup_Tables!$B$1:$B$7,MATCH(Cleaned_Data!F113,Lookup_Tables!$A$1:$A$7,0))</f>
        <v>Electronics</v>
      </c>
      <c r="H113" t="s">
        <v>54</v>
      </c>
      <c r="I113">
        <v>8</v>
      </c>
      <c r="J113">
        <v>5405</v>
      </c>
      <c r="L113">
        <f t="shared" si="5"/>
        <v>0</v>
      </c>
      <c r="N113">
        <f t="shared" si="6"/>
        <v>43240</v>
      </c>
      <c r="O113">
        <f t="shared" si="7"/>
        <v>43240</v>
      </c>
      <c r="P113">
        <f>I113*IFERROR(_xlfn.XLOOKUP(F113,Lookup_Tables!Product,Cost),0)</f>
        <v>224368</v>
      </c>
      <c r="Q113">
        <f t="shared" si="8"/>
        <v>-181128</v>
      </c>
      <c r="R113" s="2">
        <f t="shared" si="9"/>
        <v>-4.1888991674375582</v>
      </c>
    </row>
    <row r="114" spans="1:18" x14ac:dyDescent="0.3">
      <c r="A114" t="s">
        <v>171</v>
      </c>
      <c r="B114" s="1">
        <v>45564</v>
      </c>
      <c r="C114" t="s">
        <v>4</v>
      </c>
      <c r="D114" t="s">
        <v>49</v>
      </c>
      <c r="E114" t="s">
        <v>28</v>
      </c>
      <c r="F114" t="s">
        <v>23</v>
      </c>
      <c r="G114" t="str">
        <f>INDEX(Lookup_Tables!$B$1:$B$7,MATCH(Cleaned_Data!F114,Lookup_Tables!$A$1:$A$7,0))</f>
        <v>Electronics</v>
      </c>
      <c r="H114" t="s">
        <v>54</v>
      </c>
      <c r="I114">
        <v>2</v>
      </c>
      <c r="J114">
        <v>9694</v>
      </c>
      <c r="K114">
        <v>0.1</v>
      </c>
      <c r="L114">
        <f t="shared" si="5"/>
        <v>0.1</v>
      </c>
      <c r="N114">
        <f t="shared" si="6"/>
        <v>19388</v>
      </c>
      <c r="O114">
        <f t="shared" si="7"/>
        <v>17449.2</v>
      </c>
      <c r="P114">
        <f>I114*IFERROR(_xlfn.XLOOKUP(F114,Lookup_Tables!Product,Cost),0)</f>
        <v>38530</v>
      </c>
      <c r="Q114">
        <f t="shared" si="8"/>
        <v>-21080.799999999999</v>
      </c>
      <c r="R114" s="2">
        <f t="shared" si="9"/>
        <v>-1.20812415468904</v>
      </c>
    </row>
    <row r="115" spans="1:18" x14ac:dyDescent="0.3">
      <c r="A115" t="s">
        <v>172</v>
      </c>
      <c r="B115" s="1">
        <v>45444</v>
      </c>
      <c r="C115" t="s">
        <v>6</v>
      </c>
      <c r="D115" t="s">
        <v>53</v>
      </c>
      <c r="E115" t="s">
        <v>27</v>
      </c>
      <c r="F115" t="s">
        <v>23</v>
      </c>
      <c r="G115" t="str">
        <f>INDEX(Lookup_Tables!$B$1:$B$7,MATCH(Cleaned_Data!F115,Lookup_Tables!$A$1:$A$7,0))</f>
        <v>Electronics</v>
      </c>
      <c r="H115" t="s">
        <v>54</v>
      </c>
      <c r="I115">
        <v>6</v>
      </c>
      <c r="J115">
        <v>22417</v>
      </c>
      <c r="L115">
        <f t="shared" si="5"/>
        <v>0</v>
      </c>
      <c r="N115">
        <f t="shared" si="6"/>
        <v>134502</v>
      </c>
      <c r="O115">
        <f t="shared" si="7"/>
        <v>134502</v>
      </c>
      <c r="P115">
        <f>I115*IFERROR(_xlfn.XLOOKUP(F115,Lookup_Tables!Product,Cost),0)</f>
        <v>115590</v>
      </c>
      <c r="Q115">
        <f t="shared" si="8"/>
        <v>18912</v>
      </c>
      <c r="R115" s="2">
        <f t="shared" si="9"/>
        <v>0.140607574608556</v>
      </c>
    </row>
    <row r="116" spans="1:18" x14ac:dyDescent="0.3">
      <c r="A116" t="s">
        <v>173</v>
      </c>
      <c r="B116" s="1">
        <v>45486</v>
      </c>
      <c r="C116" t="s">
        <v>3</v>
      </c>
      <c r="D116" t="s">
        <v>76</v>
      </c>
      <c r="E116" t="s">
        <v>29</v>
      </c>
      <c r="F116" t="s">
        <v>50</v>
      </c>
      <c r="G116" t="str">
        <f>INDEX(Lookup_Tables!$B$1:$B$7,MATCH(Cleaned_Data!F116,Lookup_Tables!$A$1:$A$7,0))</f>
        <v>Furniture</v>
      </c>
      <c r="H116" t="s">
        <v>51</v>
      </c>
      <c r="I116">
        <v>1</v>
      </c>
      <c r="J116">
        <v>11146</v>
      </c>
      <c r="L116">
        <f t="shared" si="5"/>
        <v>0</v>
      </c>
      <c r="N116">
        <f t="shared" si="6"/>
        <v>11146</v>
      </c>
      <c r="O116">
        <f t="shared" si="7"/>
        <v>11146</v>
      </c>
      <c r="P116">
        <f>I116*IFERROR(_xlfn.XLOOKUP(F116,Lookup_Tables!Product,Cost),0)</f>
        <v>13271</v>
      </c>
      <c r="Q116">
        <f t="shared" si="8"/>
        <v>-2125</v>
      </c>
      <c r="R116" s="2">
        <f t="shared" si="9"/>
        <v>-0.19065135474609726</v>
      </c>
    </row>
    <row r="117" spans="1:18" x14ac:dyDescent="0.3">
      <c r="A117" t="s">
        <v>174</v>
      </c>
      <c r="B117" s="1">
        <v>45611</v>
      </c>
      <c r="C117" t="s">
        <v>4</v>
      </c>
      <c r="D117" t="s">
        <v>76</v>
      </c>
      <c r="E117" t="s">
        <v>29</v>
      </c>
      <c r="F117" t="s">
        <v>23</v>
      </c>
      <c r="G117" t="str">
        <f>INDEX(Lookup_Tables!$B$1:$B$7,MATCH(Cleaned_Data!F117,Lookup_Tables!$A$1:$A$7,0))</f>
        <v>Electronics</v>
      </c>
      <c r="H117" t="s">
        <v>54</v>
      </c>
      <c r="I117">
        <v>3</v>
      </c>
      <c r="J117">
        <v>45216</v>
      </c>
      <c r="K117">
        <v>0.1</v>
      </c>
      <c r="L117">
        <f t="shared" si="5"/>
        <v>0.1</v>
      </c>
      <c r="M117">
        <v>3805</v>
      </c>
      <c r="N117">
        <f t="shared" si="6"/>
        <v>135648</v>
      </c>
      <c r="O117">
        <f t="shared" si="7"/>
        <v>122083.2</v>
      </c>
      <c r="P117">
        <f>I117*IFERROR(_xlfn.XLOOKUP(F117,Lookup_Tables!Product,Cost),0)</f>
        <v>57795</v>
      </c>
      <c r="Q117">
        <f t="shared" si="8"/>
        <v>64288.2</v>
      </c>
      <c r="R117" s="2">
        <f t="shared" si="9"/>
        <v>0.52659333962412513</v>
      </c>
    </row>
    <row r="118" spans="1:18" x14ac:dyDescent="0.3">
      <c r="A118" t="s">
        <v>175</v>
      </c>
      <c r="B118" s="1">
        <v>45465</v>
      </c>
      <c r="C118" t="s">
        <v>5</v>
      </c>
      <c r="D118" t="s">
        <v>53</v>
      </c>
      <c r="E118" t="s">
        <v>28</v>
      </c>
      <c r="F118" t="s">
        <v>58</v>
      </c>
      <c r="G118" t="str">
        <f>INDEX(Lookup_Tables!$B$1:$B$7,MATCH(Cleaned_Data!F118,Lookup_Tables!$A$1:$A$7,0))</f>
        <v>Electronics</v>
      </c>
      <c r="H118" t="s">
        <v>54</v>
      </c>
      <c r="I118">
        <v>1</v>
      </c>
      <c r="J118">
        <v>36735</v>
      </c>
      <c r="L118">
        <f t="shared" si="5"/>
        <v>0</v>
      </c>
      <c r="N118">
        <f t="shared" si="6"/>
        <v>36735</v>
      </c>
      <c r="O118">
        <f t="shared" si="7"/>
        <v>36735</v>
      </c>
      <c r="P118">
        <f>I118*IFERROR(_xlfn.XLOOKUP(F118,Lookup_Tables!Product,Cost),0)</f>
        <v>2888</v>
      </c>
      <c r="Q118">
        <f t="shared" si="8"/>
        <v>33847</v>
      </c>
      <c r="R118" s="2">
        <f t="shared" si="9"/>
        <v>0.92138287736491087</v>
      </c>
    </row>
    <row r="119" spans="1:18" x14ac:dyDescent="0.3">
      <c r="A119" t="s">
        <v>176</v>
      </c>
      <c r="B119" s="1">
        <v>45372</v>
      </c>
      <c r="C119" t="s">
        <v>4</v>
      </c>
      <c r="D119" t="s">
        <v>56</v>
      </c>
      <c r="E119" t="s">
        <v>29</v>
      </c>
      <c r="F119" t="s">
        <v>22</v>
      </c>
      <c r="G119" t="str">
        <f>INDEX(Lookup_Tables!$B$1:$B$7,MATCH(Cleaned_Data!F119,Lookup_Tables!$A$1:$A$7,0))</f>
        <v>Furniture</v>
      </c>
      <c r="H119" t="s">
        <v>51</v>
      </c>
      <c r="I119">
        <v>2</v>
      </c>
      <c r="J119">
        <v>13627</v>
      </c>
      <c r="K119">
        <v>0.1</v>
      </c>
      <c r="L119">
        <f t="shared" si="5"/>
        <v>0.1</v>
      </c>
      <c r="N119">
        <f t="shared" si="6"/>
        <v>27254</v>
      </c>
      <c r="O119">
        <f t="shared" si="7"/>
        <v>24528.6</v>
      </c>
      <c r="P119">
        <f>I119*IFERROR(_xlfn.XLOOKUP(F119,Lookup_Tables!Product,Cost),0)</f>
        <v>26080</v>
      </c>
      <c r="Q119">
        <f t="shared" si="8"/>
        <v>-1551.4000000000015</v>
      </c>
      <c r="R119" s="2">
        <f t="shared" si="9"/>
        <v>-6.3248615901437572E-2</v>
      </c>
    </row>
    <row r="120" spans="1:18" x14ac:dyDescent="0.3">
      <c r="A120" t="s">
        <v>177</v>
      </c>
      <c r="B120" s="1">
        <v>45466</v>
      </c>
      <c r="C120" t="s">
        <v>3</v>
      </c>
      <c r="D120" t="s">
        <v>49</v>
      </c>
      <c r="E120" t="s">
        <v>29</v>
      </c>
      <c r="F120" t="s">
        <v>22</v>
      </c>
      <c r="G120" t="str">
        <f>INDEX(Lookup_Tables!$B$1:$B$7,MATCH(Cleaned_Data!F120,Lookup_Tables!$A$1:$A$7,0))</f>
        <v>Furniture</v>
      </c>
      <c r="H120" t="s">
        <v>51</v>
      </c>
      <c r="I120">
        <v>6</v>
      </c>
      <c r="J120">
        <v>19988</v>
      </c>
      <c r="K120">
        <v>0.1</v>
      </c>
      <c r="L120">
        <f t="shared" si="5"/>
        <v>0.1</v>
      </c>
      <c r="N120">
        <f t="shared" si="6"/>
        <v>119928</v>
      </c>
      <c r="O120">
        <f t="shared" si="7"/>
        <v>107935.2</v>
      </c>
      <c r="P120">
        <f>I120*IFERROR(_xlfn.XLOOKUP(F120,Lookup_Tables!Product,Cost),0)</f>
        <v>78240</v>
      </c>
      <c r="Q120">
        <f t="shared" si="8"/>
        <v>29695.199999999997</v>
      </c>
      <c r="R120" s="2">
        <f t="shared" si="9"/>
        <v>0.2751206279323149</v>
      </c>
    </row>
    <row r="121" spans="1:18" x14ac:dyDescent="0.3">
      <c r="A121" t="s">
        <v>178</v>
      </c>
      <c r="B121" s="1">
        <v>45596</v>
      </c>
      <c r="C121" t="s">
        <v>4</v>
      </c>
      <c r="D121" t="s">
        <v>69</v>
      </c>
      <c r="E121" t="s">
        <v>27</v>
      </c>
      <c r="F121" t="s">
        <v>23</v>
      </c>
      <c r="G121" t="str">
        <f>INDEX(Lookup_Tables!$B$1:$B$7,MATCH(Cleaned_Data!F121,Lookup_Tables!$A$1:$A$7,0))</f>
        <v>Electronics</v>
      </c>
      <c r="H121" t="s">
        <v>54</v>
      </c>
      <c r="I121">
        <v>10</v>
      </c>
      <c r="J121">
        <v>38361</v>
      </c>
      <c r="L121">
        <f t="shared" si="5"/>
        <v>0</v>
      </c>
      <c r="N121">
        <f t="shared" si="6"/>
        <v>383610</v>
      </c>
      <c r="O121">
        <f t="shared" si="7"/>
        <v>383610</v>
      </c>
      <c r="P121">
        <f>I121*IFERROR(_xlfn.XLOOKUP(F121,Lookup_Tables!Product,Cost),0)</f>
        <v>192650</v>
      </c>
      <c r="Q121">
        <f t="shared" si="8"/>
        <v>190960</v>
      </c>
      <c r="R121" s="2">
        <f t="shared" si="9"/>
        <v>0.49779724199056335</v>
      </c>
    </row>
    <row r="122" spans="1:18" x14ac:dyDescent="0.3">
      <c r="A122" t="s">
        <v>179</v>
      </c>
      <c r="B122" s="1">
        <v>45360</v>
      </c>
      <c r="C122" t="s">
        <v>4</v>
      </c>
      <c r="D122" t="s">
        <v>76</v>
      </c>
      <c r="E122" t="s">
        <v>26</v>
      </c>
      <c r="F122" t="s">
        <v>58</v>
      </c>
      <c r="G122" t="str">
        <f>INDEX(Lookup_Tables!$B$1:$B$7,MATCH(Cleaned_Data!F122,Lookup_Tables!$A$1:$A$7,0))</f>
        <v>Electronics</v>
      </c>
      <c r="H122" t="s">
        <v>54</v>
      </c>
      <c r="I122">
        <v>6</v>
      </c>
      <c r="J122">
        <v>13980</v>
      </c>
      <c r="K122">
        <v>0.05</v>
      </c>
      <c r="L122">
        <f t="shared" si="5"/>
        <v>0.05</v>
      </c>
      <c r="N122">
        <f t="shared" si="6"/>
        <v>83880</v>
      </c>
      <c r="O122">
        <f t="shared" si="7"/>
        <v>79686</v>
      </c>
      <c r="P122">
        <f>I122*IFERROR(_xlfn.XLOOKUP(F122,Lookup_Tables!Product,Cost),0)</f>
        <v>17328</v>
      </c>
      <c r="Q122">
        <f t="shared" si="8"/>
        <v>62358</v>
      </c>
      <c r="R122" s="2">
        <f t="shared" si="9"/>
        <v>0.7825464949928469</v>
      </c>
    </row>
    <row r="123" spans="1:18" x14ac:dyDescent="0.3">
      <c r="A123" t="s">
        <v>180</v>
      </c>
      <c r="B123" s="1">
        <v>45490</v>
      </c>
      <c r="C123" t="s">
        <v>5</v>
      </c>
      <c r="D123" t="s">
        <v>76</v>
      </c>
      <c r="E123" t="s">
        <v>27</v>
      </c>
      <c r="F123" t="s">
        <v>24</v>
      </c>
      <c r="G123" t="str">
        <f>INDEX(Lookup_Tables!$B$1:$B$7,MATCH(Cleaned_Data!F123,Lookup_Tables!$A$1:$A$7,0))</f>
        <v>Electronics</v>
      </c>
      <c r="H123" t="s">
        <v>54</v>
      </c>
      <c r="I123">
        <v>2</v>
      </c>
      <c r="J123">
        <v>13646</v>
      </c>
      <c r="L123">
        <f t="shared" si="5"/>
        <v>0</v>
      </c>
      <c r="N123">
        <f t="shared" si="6"/>
        <v>27292</v>
      </c>
      <c r="O123">
        <f t="shared" si="7"/>
        <v>27292</v>
      </c>
      <c r="P123">
        <f>I123*IFERROR(_xlfn.XLOOKUP(F123,Lookup_Tables!Product,Cost),0)</f>
        <v>56092</v>
      </c>
      <c r="Q123">
        <f t="shared" si="8"/>
        <v>-28800</v>
      </c>
      <c r="R123" s="2">
        <f t="shared" si="9"/>
        <v>-1.0552542869705408</v>
      </c>
    </row>
    <row r="124" spans="1:18" x14ac:dyDescent="0.3">
      <c r="A124" t="s">
        <v>181</v>
      </c>
      <c r="B124" s="1">
        <v>45376</v>
      </c>
      <c r="C124" t="s">
        <v>3</v>
      </c>
      <c r="D124" t="s">
        <v>49</v>
      </c>
      <c r="E124" t="s">
        <v>25</v>
      </c>
      <c r="F124" t="s">
        <v>24</v>
      </c>
      <c r="G124" t="str">
        <f>INDEX(Lookup_Tables!$B$1:$B$7,MATCH(Cleaned_Data!F124,Lookup_Tables!$A$1:$A$7,0))</f>
        <v>Electronics</v>
      </c>
      <c r="H124" t="s">
        <v>54</v>
      </c>
      <c r="I124">
        <v>5</v>
      </c>
      <c r="J124">
        <v>13629</v>
      </c>
      <c r="K124">
        <v>0</v>
      </c>
      <c r="L124">
        <f t="shared" si="5"/>
        <v>0</v>
      </c>
      <c r="M124">
        <v>17099</v>
      </c>
      <c r="N124">
        <f t="shared" si="6"/>
        <v>68145</v>
      </c>
      <c r="O124">
        <f t="shared" si="7"/>
        <v>68145</v>
      </c>
      <c r="P124">
        <f>I124*IFERROR(_xlfn.XLOOKUP(F124,Lookup_Tables!Product,Cost),0)</f>
        <v>140230</v>
      </c>
      <c r="Q124">
        <f t="shared" si="8"/>
        <v>-72085</v>
      </c>
      <c r="R124" s="2">
        <f t="shared" si="9"/>
        <v>-1.0578178883263629</v>
      </c>
    </row>
    <row r="125" spans="1:18" x14ac:dyDescent="0.3">
      <c r="A125" t="s">
        <v>182</v>
      </c>
      <c r="B125" s="1">
        <v>45594</v>
      </c>
      <c r="C125" t="s">
        <v>3</v>
      </c>
      <c r="D125" t="s">
        <v>64</v>
      </c>
      <c r="E125" t="s">
        <v>26</v>
      </c>
      <c r="F125" t="s">
        <v>58</v>
      </c>
      <c r="G125" t="str">
        <f>INDEX(Lookup_Tables!$B$1:$B$7,MATCH(Cleaned_Data!F125,Lookup_Tables!$A$1:$A$7,0))</f>
        <v>Electronics</v>
      </c>
      <c r="H125" t="s">
        <v>54</v>
      </c>
      <c r="I125">
        <v>9</v>
      </c>
      <c r="J125">
        <v>17186</v>
      </c>
      <c r="K125">
        <v>0.1</v>
      </c>
      <c r="L125">
        <f t="shared" si="5"/>
        <v>0.1</v>
      </c>
      <c r="N125">
        <f t="shared" si="6"/>
        <v>154674</v>
      </c>
      <c r="O125">
        <f t="shared" si="7"/>
        <v>139206.6</v>
      </c>
      <c r="P125">
        <f>I125*IFERROR(_xlfn.XLOOKUP(F125,Lookup_Tables!Product,Cost),0)</f>
        <v>25992</v>
      </c>
      <c r="Q125">
        <f t="shared" si="8"/>
        <v>113214.6</v>
      </c>
      <c r="R125" s="2">
        <f t="shared" si="9"/>
        <v>0.81328471494886023</v>
      </c>
    </row>
    <row r="126" spans="1:18" x14ac:dyDescent="0.3">
      <c r="A126" t="s">
        <v>183</v>
      </c>
      <c r="B126" s="1">
        <v>45312</v>
      </c>
      <c r="C126" t="s">
        <v>3</v>
      </c>
      <c r="D126" t="s">
        <v>49</v>
      </c>
      <c r="E126" t="s">
        <v>29</v>
      </c>
      <c r="F126" t="s">
        <v>23</v>
      </c>
      <c r="G126" t="str">
        <f>INDEX(Lookup_Tables!$B$1:$B$7,MATCH(Cleaned_Data!F126,Lookup_Tables!$A$1:$A$7,0))</f>
        <v>Electronics</v>
      </c>
      <c r="H126" t="s">
        <v>54</v>
      </c>
      <c r="I126">
        <v>8</v>
      </c>
      <c r="J126">
        <v>13851</v>
      </c>
      <c r="K126">
        <v>0.05</v>
      </c>
      <c r="L126">
        <f t="shared" si="5"/>
        <v>0.05</v>
      </c>
      <c r="N126">
        <f t="shared" si="6"/>
        <v>110808</v>
      </c>
      <c r="O126">
        <f t="shared" si="7"/>
        <v>105267.6</v>
      </c>
      <c r="P126">
        <f>I126*IFERROR(_xlfn.XLOOKUP(F126,Lookup_Tables!Product,Cost),0)</f>
        <v>154120</v>
      </c>
      <c r="Q126">
        <f t="shared" si="8"/>
        <v>-48852.399999999994</v>
      </c>
      <c r="R126" s="2">
        <f t="shared" si="9"/>
        <v>-0.46407821589928899</v>
      </c>
    </row>
    <row r="127" spans="1:18" x14ac:dyDescent="0.3">
      <c r="A127" t="s">
        <v>184</v>
      </c>
      <c r="B127" s="1">
        <v>45510</v>
      </c>
      <c r="C127" t="s">
        <v>5</v>
      </c>
      <c r="D127" t="s">
        <v>64</v>
      </c>
      <c r="E127" t="s">
        <v>26</v>
      </c>
      <c r="F127" t="s">
        <v>23</v>
      </c>
      <c r="G127" t="str">
        <f>INDEX(Lookup_Tables!$B$1:$B$7,MATCH(Cleaned_Data!F127,Lookup_Tables!$A$1:$A$7,0))</f>
        <v>Electronics</v>
      </c>
      <c r="H127" t="s">
        <v>54</v>
      </c>
      <c r="I127">
        <v>2</v>
      </c>
      <c r="J127">
        <v>44793</v>
      </c>
      <c r="K127">
        <v>0.1</v>
      </c>
      <c r="L127">
        <f t="shared" si="5"/>
        <v>0.1</v>
      </c>
      <c r="N127">
        <f t="shared" si="6"/>
        <v>89586</v>
      </c>
      <c r="O127">
        <f t="shared" si="7"/>
        <v>80627.399999999994</v>
      </c>
      <c r="P127">
        <f>I127*IFERROR(_xlfn.XLOOKUP(F127,Lookup_Tables!Product,Cost),0)</f>
        <v>38530</v>
      </c>
      <c r="Q127">
        <f t="shared" si="8"/>
        <v>42097.399999999994</v>
      </c>
      <c r="R127" s="2">
        <f t="shared" si="9"/>
        <v>0.52212275231496985</v>
      </c>
    </row>
    <row r="128" spans="1:18" x14ac:dyDescent="0.3">
      <c r="A128" t="s">
        <v>185</v>
      </c>
      <c r="B128" s="1">
        <v>45389</v>
      </c>
      <c r="C128" t="s">
        <v>6</v>
      </c>
      <c r="D128" t="s">
        <v>49</v>
      </c>
      <c r="E128" t="s">
        <v>26</v>
      </c>
      <c r="F128" t="s">
        <v>50</v>
      </c>
      <c r="G128" t="str">
        <f>INDEX(Lookup_Tables!$B$1:$B$7,MATCH(Cleaned_Data!F128,Lookup_Tables!$A$1:$A$7,0))</f>
        <v>Furniture</v>
      </c>
      <c r="H128" t="s">
        <v>51</v>
      </c>
      <c r="I128">
        <v>6</v>
      </c>
      <c r="J128">
        <v>44120</v>
      </c>
      <c r="K128">
        <v>0.1</v>
      </c>
      <c r="L128">
        <f t="shared" si="5"/>
        <v>0.1</v>
      </c>
      <c r="M128">
        <v>2850</v>
      </c>
      <c r="N128">
        <f t="shared" si="6"/>
        <v>264720</v>
      </c>
      <c r="O128">
        <f t="shared" si="7"/>
        <v>238248</v>
      </c>
      <c r="P128">
        <f>I128*IFERROR(_xlfn.XLOOKUP(F128,Lookup_Tables!Product,Cost),0)</f>
        <v>79626</v>
      </c>
      <c r="Q128">
        <f t="shared" si="8"/>
        <v>158622</v>
      </c>
      <c r="R128" s="2">
        <f t="shared" si="9"/>
        <v>0.66578523219502372</v>
      </c>
    </row>
    <row r="129" spans="1:18" x14ac:dyDescent="0.3">
      <c r="A129" t="s">
        <v>186</v>
      </c>
      <c r="B129" s="1">
        <v>45436</v>
      </c>
      <c r="C129" t="s">
        <v>4</v>
      </c>
      <c r="D129" t="s">
        <v>53</v>
      </c>
      <c r="E129" t="s">
        <v>26</v>
      </c>
      <c r="F129" t="s">
        <v>50</v>
      </c>
      <c r="G129" t="str">
        <f>INDEX(Lookup_Tables!$B$1:$B$7,MATCH(Cleaned_Data!F129,Lookup_Tables!$A$1:$A$7,0))</f>
        <v>Furniture</v>
      </c>
      <c r="H129" t="s">
        <v>51</v>
      </c>
      <c r="I129">
        <v>6</v>
      </c>
      <c r="J129">
        <v>32644</v>
      </c>
      <c r="K129">
        <v>0</v>
      </c>
      <c r="L129">
        <f t="shared" si="5"/>
        <v>0</v>
      </c>
      <c r="N129">
        <f t="shared" si="6"/>
        <v>195864</v>
      </c>
      <c r="O129">
        <f t="shared" si="7"/>
        <v>195864</v>
      </c>
      <c r="P129">
        <f>I129*IFERROR(_xlfn.XLOOKUP(F129,Lookup_Tables!Product,Cost),0)</f>
        <v>79626</v>
      </c>
      <c r="Q129">
        <f t="shared" si="8"/>
        <v>116238</v>
      </c>
      <c r="R129" s="2">
        <f t="shared" si="9"/>
        <v>0.59346281093003306</v>
      </c>
    </row>
    <row r="130" spans="1:18" x14ac:dyDescent="0.3">
      <c r="A130" t="s">
        <v>187</v>
      </c>
      <c r="B130" s="1">
        <v>45343</v>
      </c>
      <c r="C130" t="s">
        <v>4</v>
      </c>
      <c r="D130" t="s">
        <v>49</v>
      </c>
      <c r="E130" t="s">
        <v>27</v>
      </c>
      <c r="F130" t="s">
        <v>58</v>
      </c>
      <c r="G130" t="str">
        <f>INDEX(Lookup_Tables!$B$1:$B$7,MATCH(Cleaned_Data!F130,Lookup_Tables!$A$1:$A$7,0))</f>
        <v>Electronics</v>
      </c>
      <c r="H130" t="s">
        <v>54</v>
      </c>
      <c r="I130">
        <v>1</v>
      </c>
      <c r="J130">
        <v>46296</v>
      </c>
      <c r="L130">
        <f t="shared" si="5"/>
        <v>0</v>
      </c>
      <c r="N130">
        <f t="shared" si="6"/>
        <v>46296</v>
      </c>
      <c r="O130">
        <f t="shared" si="7"/>
        <v>46296</v>
      </c>
      <c r="P130">
        <f>I130*IFERROR(_xlfn.XLOOKUP(F130,Lookup_Tables!Product,Cost),0)</f>
        <v>2888</v>
      </c>
      <c r="Q130">
        <f t="shared" si="8"/>
        <v>43408</v>
      </c>
      <c r="R130" s="2">
        <f t="shared" si="9"/>
        <v>0.93761880076032489</v>
      </c>
    </row>
    <row r="131" spans="1:18" x14ac:dyDescent="0.3">
      <c r="A131" t="s">
        <v>188</v>
      </c>
      <c r="B131" s="1">
        <v>45309</v>
      </c>
      <c r="C131" t="s">
        <v>3</v>
      </c>
      <c r="D131" t="s">
        <v>53</v>
      </c>
      <c r="E131" t="s">
        <v>25</v>
      </c>
      <c r="F131" t="s">
        <v>50</v>
      </c>
      <c r="G131" t="str">
        <f>INDEX(Lookup_Tables!$B$1:$B$7,MATCH(Cleaned_Data!F131,Lookup_Tables!$A$1:$A$7,0))</f>
        <v>Furniture</v>
      </c>
      <c r="H131" t="s">
        <v>51</v>
      </c>
      <c r="I131">
        <v>5</v>
      </c>
      <c r="J131">
        <v>29473</v>
      </c>
      <c r="K131">
        <v>0.1</v>
      </c>
      <c r="L131">
        <f t="shared" ref="L131:L194" si="10">IF(ISBLANK(K131),0,K131)</f>
        <v>0.1</v>
      </c>
      <c r="N131">
        <f t="shared" ref="N131:N194" si="11">I131*J131</f>
        <v>147365</v>
      </c>
      <c r="O131">
        <f t="shared" ref="O131:O194" si="12">N131-(N131*L131)</f>
        <v>132628.5</v>
      </c>
      <c r="P131">
        <f>I131*IFERROR(_xlfn.XLOOKUP(F131,Lookup_Tables!Product,Cost),0)</f>
        <v>66355</v>
      </c>
      <c r="Q131">
        <f t="shared" ref="Q131:Q194" si="13">O131-P131</f>
        <v>66273.5</v>
      </c>
      <c r="R131" s="2">
        <f t="shared" ref="R131:R194" si="14">Q131/O131</f>
        <v>0.49969275080393732</v>
      </c>
    </row>
    <row r="132" spans="1:18" x14ac:dyDescent="0.3">
      <c r="A132" t="s">
        <v>189</v>
      </c>
      <c r="B132" s="1">
        <v>45568</v>
      </c>
      <c r="C132" t="s">
        <v>6</v>
      </c>
      <c r="D132" t="s">
        <v>76</v>
      </c>
      <c r="E132" t="s">
        <v>27</v>
      </c>
      <c r="F132" t="s">
        <v>22</v>
      </c>
      <c r="G132" t="str">
        <f>INDEX(Lookup_Tables!$B$1:$B$7,MATCH(Cleaned_Data!F132,Lookup_Tables!$A$1:$A$7,0))</f>
        <v>Furniture</v>
      </c>
      <c r="H132" t="s">
        <v>51</v>
      </c>
      <c r="I132">
        <v>3</v>
      </c>
      <c r="J132">
        <v>823</v>
      </c>
      <c r="K132">
        <v>0.1</v>
      </c>
      <c r="L132">
        <f t="shared" si="10"/>
        <v>0.1</v>
      </c>
      <c r="M132">
        <v>9760</v>
      </c>
      <c r="N132">
        <f t="shared" si="11"/>
        <v>2469</v>
      </c>
      <c r="O132">
        <f t="shared" si="12"/>
        <v>2222.1</v>
      </c>
      <c r="P132">
        <f>I132*IFERROR(_xlfn.XLOOKUP(F132,Lookup_Tables!Product,Cost),0)</f>
        <v>39120</v>
      </c>
      <c r="Q132">
        <f t="shared" si="13"/>
        <v>-36897.9</v>
      </c>
      <c r="R132" s="2">
        <f t="shared" si="14"/>
        <v>-16.604968273255029</v>
      </c>
    </row>
    <row r="133" spans="1:18" x14ac:dyDescent="0.3">
      <c r="A133" t="s">
        <v>190</v>
      </c>
      <c r="B133" s="1">
        <v>45627</v>
      </c>
      <c r="C133" t="s">
        <v>3</v>
      </c>
      <c r="D133" t="s">
        <v>56</v>
      </c>
      <c r="E133" t="s">
        <v>25</v>
      </c>
      <c r="F133" t="s">
        <v>58</v>
      </c>
      <c r="G133" t="str">
        <f>INDEX(Lookup_Tables!$B$1:$B$7,MATCH(Cleaned_Data!F133,Lookup_Tables!$A$1:$A$7,0))</f>
        <v>Electronics</v>
      </c>
      <c r="H133" t="s">
        <v>54</v>
      </c>
      <c r="I133">
        <v>6</v>
      </c>
      <c r="J133">
        <v>29572</v>
      </c>
      <c r="L133">
        <f t="shared" si="10"/>
        <v>0</v>
      </c>
      <c r="N133">
        <f t="shared" si="11"/>
        <v>177432</v>
      </c>
      <c r="O133">
        <f t="shared" si="12"/>
        <v>177432</v>
      </c>
      <c r="P133">
        <f>I133*IFERROR(_xlfn.XLOOKUP(F133,Lookup_Tables!Product,Cost),0)</f>
        <v>17328</v>
      </c>
      <c r="Q133">
        <f t="shared" si="13"/>
        <v>160104</v>
      </c>
      <c r="R133" s="2">
        <f t="shared" si="14"/>
        <v>0.90234005139997298</v>
      </c>
    </row>
    <row r="134" spans="1:18" x14ac:dyDescent="0.3">
      <c r="A134" t="s">
        <v>191</v>
      </c>
      <c r="B134" s="1">
        <v>45657</v>
      </c>
      <c r="C134" t="s">
        <v>5</v>
      </c>
      <c r="D134" t="s">
        <v>49</v>
      </c>
      <c r="E134" t="s">
        <v>28</v>
      </c>
      <c r="F134" t="s">
        <v>61</v>
      </c>
      <c r="G134" t="str">
        <f>INDEX(Lookup_Tables!$B$1:$B$7,MATCH(Cleaned_Data!F134,Lookup_Tables!$A$1:$A$7,0))</f>
        <v>Electronics</v>
      </c>
      <c r="H134" t="s">
        <v>54</v>
      </c>
      <c r="I134">
        <v>5</v>
      </c>
      <c r="J134">
        <v>28174</v>
      </c>
      <c r="L134">
        <f t="shared" si="10"/>
        <v>0</v>
      </c>
      <c r="N134">
        <f t="shared" si="11"/>
        <v>140870</v>
      </c>
      <c r="O134">
        <f t="shared" si="12"/>
        <v>140870</v>
      </c>
      <c r="P134">
        <f>I134*IFERROR(_xlfn.XLOOKUP(F134,Lookup_Tables!Product,Cost),0)</f>
        <v>36920</v>
      </c>
      <c r="Q134">
        <f t="shared" si="13"/>
        <v>103950</v>
      </c>
      <c r="R134" s="2">
        <f t="shared" si="14"/>
        <v>0.73791438915311991</v>
      </c>
    </row>
    <row r="135" spans="1:18" x14ac:dyDescent="0.3">
      <c r="A135" t="s">
        <v>192</v>
      </c>
      <c r="B135" s="1">
        <v>45501</v>
      </c>
      <c r="C135" t="s">
        <v>4</v>
      </c>
      <c r="D135" t="s">
        <v>69</v>
      </c>
      <c r="E135" t="s">
        <v>25</v>
      </c>
      <c r="F135" t="s">
        <v>50</v>
      </c>
      <c r="G135" t="str">
        <f>INDEX(Lookup_Tables!$B$1:$B$7,MATCH(Cleaned_Data!F135,Lookup_Tables!$A$1:$A$7,0))</f>
        <v>Furniture</v>
      </c>
      <c r="H135" t="s">
        <v>51</v>
      </c>
      <c r="I135">
        <v>3</v>
      </c>
      <c r="J135">
        <v>6494</v>
      </c>
      <c r="K135">
        <v>0.1</v>
      </c>
      <c r="L135">
        <f t="shared" si="10"/>
        <v>0.1</v>
      </c>
      <c r="N135">
        <f t="shared" si="11"/>
        <v>19482</v>
      </c>
      <c r="O135">
        <f t="shared" si="12"/>
        <v>17533.8</v>
      </c>
      <c r="P135">
        <f>I135*IFERROR(_xlfn.XLOOKUP(F135,Lookup_Tables!Product,Cost),0)</f>
        <v>39813</v>
      </c>
      <c r="Q135">
        <f t="shared" si="13"/>
        <v>-22279.200000000001</v>
      </c>
      <c r="R135" s="2">
        <f t="shared" si="14"/>
        <v>-1.2706429866885673</v>
      </c>
    </row>
    <row r="136" spans="1:18" x14ac:dyDescent="0.3">
      <c r="A136" t="s">
        <v>193</v>
      </c>
      <c r="B136" s="1">
        <v>45611</v>
      </c>
      <c r="C136" t="s">
        <v>5</v>
      </c>
      <c r="D136" t="s">
        <v>53</v>
      </c>
      <c r="E136" t="s">
        <v>27</v>
      </c>
      <c r="F136" t="s">
        <v>24</v>
      </c>
      <c r="G136" t="str">
        <f>INDEX(Lookup_Tables!$B$1:$B$7,MATCH(Cleaned_Data!F136,Lookup_Tables!$A$1:$A$7,0))</f>
        <v>Electronics</v>
      </c>
      <c r="H136" t="s">
        <v>54</v>
      </c>
      <c r="I136">
        <v>3</v>
      </c>
      <c r="J136">
        <v>22202</v>
      </c>
      <c r="K136">
        <v>0.05</v>
      </c>
      <c r="L136">
        <f t="shared" si="10"/>
        <v>0.05</v>
      </c>
      <c r="M136">
        <v>22956</v>
      </c>
      <c r="N136">
        <f t="shared" si="11"/>
        <v>66606</v>
      </c>
      <c r="O136">
        <f t="shared" si="12"/>
        <v>63275.7</v>
      </c>
      <c r="P136">
        <f>I136*IFERROR(_xlfn.XLOOKUP(F136,Lookup_Tables!Product,Cost),0)</f>
        <v>84138</v>
      </c>
      <c r="Q136">
        <f t="shared" si="13"/>
        <v>-20862.300000000003</v>
      </c>
      <c r="R136" s="2">
        <f t="shared" si="14"/>
        <v>-0.32970476818115019</v>
      </c>
    </row>
    <row r="137" spans="1:18" x14ac:dyDescent="0.3">
      <c r="A137" t="s">
        <v>194</v>
      </c>
      <c r="B137" s="1">
        <v>45441</v>
      </c>
      <c r="C137" t="s">
        <v>3</v>
      </c>
      <c r="D137" t="s">
        <v>53</v>
      </c>
      <c r="E137" t="s">
        <v>28</v>
      </c>
      <c r="F137" t="s">
        <v>24</v>
      </c>
      <c r="G137" t="str">
        <f>INDEX(Lookup_Tables!$B$1:$B$7,MATCH(Cleaned_Data!F137,Lookup_Tables!$A$1:$A$7,0))</f>
        <v>Electronics</v>
      </c>
      <c r="H137" t="s">
        <v>54</v>
      </c>
      <c r="I137">
        <v>3</v>
      </c>
      <c r="J137">
        <v>3979</v>
      </c>
      <c r="K137">
        <v>0.1</v>
      </c>
      <c r="L137">
        <f t="shared" si="10"/>
        <v>0.1</v>
      </c>
      <c r="M137">
        <v>5074</v>
      </c>
      <c r="N137">
        <f t="shared" si="11"/>
        <v>11937</v>
      </c>
      <c r="O137">
        <f t="shared" si="12"/>
        <v>10743.3</v>
      </c>
      <c r="P137">
        <f>I137*IFERROR(_xlfn.XLOOKUP(F137,Lookup_Tables!Product,Cost),0)</f>
        <v>84138</v>
      </c>
      <c r="Q137">
        <f t="shared" si="13"/>
        <v>-73394.7</v>
      </c>
      <c r="R137" s="2">
        <f t="shared" si="14"/>
        <v>-6.8316718326771104</v>
      </c>
    </row>
    <row r="138" spans="1:18" x14ac:dyDescent="0.3">
      <c r="A138" t="s">
        <v>195</v>
      </c>
      <c r="B138" s="1">
        <v>45606</v>
      </c>
      <c r="C138" t="s">
        <v>4</v>
      </c>
      <c r="D138" t="s">
        <v>69</v>
      </c>
      <c r="E138" t="s">
        <v>28</v>
      </c>
      <c r="F138" t="s">
        <v>24</v>
      </c>
      <c r="G138" t="str">
        <f>INDEX(Lookup_Tables!$B$1:$B$7,MATCH(Cleaned_Data!F138,Lookup_Tables!$A$1:$A$7,0))</f>
        <v>Electronics</v>
      </c>
      <c r="H138" t="s">
        <v>54</v>
      </c>
      <c r="I138">
        <v>2</v>
      </c>
      <c r="J138">
        <v>15791</v>
      </c>
      <c r="K138">
        <v>0</v>
      </c>
      <c r="L138">
        <f t="shared" si="10"/>
        <v>0</v>
      </c>
      <c r="N138">
        <f t="shared" si="11"/>
        <v>31582</v>
      </c>
      <c r="O138">
        <f t="shared" si="12"/>
        <v>31582</v>
      </c>
      <c r="P138">
        <f>I138*IFERROR(_xlfn.XLOOKUP(F138,Lookup_Tables!Product,Cost),0)</f>
        <v>56092</v>
      </c>
      <c r="Q138">
        <f t="shared" si="13"/>
        <v>-24510</v>
      </c>
      <c r="R138" s="2">
        <f t="shared" si="14"/>
        <v>-0.77607497941865622</v>
      </c>
    </row>
    <row r="139" spans="1:18" x14ac:dyDescent="0.3">
      <c r="A139" t="s">
        <v>196</v>
      </c>
      <c r="B139" s="1">
        <v>45378</v>
      </c>
      <c r="C139" t="s">
        <v>4</v>
      </c>
      <c r="D139" t="s">
        <v>56</v>
      </c>
      <c r="E139" t="s">
        <v>28</v>
      </c>
      <c r="F139" t="s">
        <v>24</v>
      </c>
      <c r="G139" t="str">
        <f>INDEX(Lookup_Tables!$B$1:$B$7,MATCH(Cleaned_Data!F139,Lookup_Tables!$A$1:$A$7,0))</f>
        <v>Electronics</v>
      </c>
      <c r="H139" t="s">
        <v>54</v>
      </c>
      <c r="I139">
        <v>7</v>
      </c>
      <c r="J139">
        <v>24754</v>
      </c>
      <c r="K139">
        <v>0</v>
      </c>
      <c r="L139">
        <f t="shared" si="10"/>
        <v>0</v>
      </c>
      <c r="N139">
        <f t="shared" si="11"/>
        <v>173278</v>
      </c>
      <c r="O139">
        <f t="shared" si="12"/>
        <v>173278</v>
      </c>
      <c r="P139">
        <f>I139*IFERROR(_xlfn.XLOOKUP(F139,Lookup_Tables!Product,Cost),0)</f>
        <v>196322</v>
      </c>
      <c r="Q139">
        <f t="shared" si="13"/>
        <v>-23044</v>
      </c>
      <c r="R139" s="2">
        <f t="shared" si="14"/>
        <v>-0.13298860790175326</v>
      </c>
    </row>
    <row r="140" spans="1:18" x14ac:dyDescent="0.3">
      <c r="A140" t="s">
        <v>197</v>
      </c>
      <c r="B140" s="1">
        <v>45352</v>
      </c>
      <c r="C140" t="s">
        <v>6</v>
      </c>
      <c r="D140" t="s">
        <v>69</v>
      </c>
      <c r="E140" t="s">
        <v>29</v>
      </c>
      <c r="F140" t="s">
        <v>22</v>
      </c>
      <c r="G140" t="str">
        <f>INDEX(Lookup_Tables!$B$1:$B$7,MATCH(Cleaned_Data!F140,Lookup_Tables!$A$1:$A$7,0))</f>
        <v>Furniture</v>
      </c>
      <c r="H140" t="s">
        <v>51</v>
      </c>
      <c r="I140">
        <v>2</v>
      </c>
      <c r="J140">
        <v>47711</v>
      </c>
      <c r="K140">
        <v>0</v>
      </c>
      <c r="L140">
        <f t="shared" si="10"/>
        <v>0</v>
      </c>
      <c r="N140">
        <f t="shared" si="11"/>
        <v>95422</v>
      </c>
      <c r="O140">
        <f t="shared" si="12"/>
        <v>95422</v>
      </c>
      <c r="P140">
        <f>I140*IFERROR(_xlfn.XLOOKUP(F140,Lookup_Tables!Product,Cost),0)</f>
        <v>26080</v>
      </c>
      <c r="Q140">
        <f t="shared" si="13"/>
        <v>69342</v>
      </c>
      <c r="R140" s="2">
        <f t="shared" si="14"/>
        <v>0.72668776592400075</v>
      </c>
    </row>
    <row r="141" spans="1:18" x14ac:dyDescent="0.3">
      <c r="A141" t="s">
        <v>198</v>
      </c>
      <c r="B141" s="1">
        <v>45380</v>
      </c>
      <c r="C141" t="s">
        <v>3</v>
      </c>
      <c r="D141" t="s">
        <v>53</v>
      </c>
      <c r="E141" t="s">
        <v>27</v>
      </c>
      <c r="F141" t="s">
        <v>50</v>
      </c>
      <c r="G141" t="str">
        <f>INDEX(Lookup_Tables!$B$1:$B$7,MATCH(Cleaned_Data!F141,Lookup_Tables!$A$1:$A$7,0))</f>
        <v>Furniture</v>
      </c>
      <c r="H141" t="s">
        <v>51</v>
      </c>
      <c r="I141">
        <v>6</v>
      </c>
      <c r="J141">
        <v>16480</v>
      </c>
      <c r="L141">
        <f t="shared" si="10"/>
        <v>0</v>
      </c>
      <c r="N141">
        <f t="shared" si="11"/>
        <v>98880</v>
      </c>
      <c r="O141">
        <f t="shared" si="12"/>
        <v>98880</v>
      </c>
      <c r="P141">
        <f>I141*IFERROR(_xlfn.XLOOKUP(F141,Lookup_Tables!Product,Cost),0)</f>
        <v>79626</v>
      </c>
      <c r="Q141">
        <f t="shared" si="13"/>
        <v>19254</v>
      </c>
      <c r="R141" s="2">
        <f t="shared" si="14"/>
        <v>0.19472087378640776</v>
      </c>
    </row>
    <row r="142" spans="1:18" x14ac:dyDescent="0.3">
      <c r="A142" t="s">
        <v>199</v>
      </c>
      <c r="B142" s="1">
        <v>45413</v>
      </c>
      <c r="C142" t="s">
        <v>5</v>
      </c>
      <c r="D142" t="s">
        <v>56</v>
      </c>
      <c r="E142" t="s">
        <v>26</v>
      </c>
      <c r="F142" t="s">
        <v>22</v>
      </c>
      <c r="G142" t="str">
        <f>INDEX(Lookup_Tables!$B$1:$B$7,MATCH(Cleaned_Data!F142,Lookup_Tables!$A$1:$A$7,0))</f>
        <v>Furniture</v>
      </c>
      <c r="H142" t="s">
        <v>51</v>
      </c>
      <c r="I142">
        <v>1</v>
      </c>
      <c r="J142">
        <v>28229</v>
      </c>
      <c r="K142">
        <v>0.05</v>
      </c>
      <c r="L142">
        <f t="shared" si="10"/>
        <v>0.05</v>
      </c>
      <c r="N142">
        <f t="shared" si="11"/>
        <v>28229</v>
      </c>
      <c r="O142">
        <f t="shared" si="12"/>
        <v>26817.55</v>
      </c>
      <c r="P142">
        <f>I142*IFERROR(_xlfn.XLOOKUP(F142,Lookup_Tables!Product,Cost),0)</f>
        <v>13040</v>
      </c>
      <c r="Q142">
        <f t="shared" si="13"/>
        <v>13777.55</v>
      </c>
      <c r="R142" s="2">
        <f t="shared" si="14"/>
        <v>0.51375125617366235</v>
      </c>
    </row>
    <row r="143" spans="1:18" x14ac:dyDescent="0.3">
      <c r="A143" t="s">
        <v>200</v>
      </c>
      <c r="B143" s="1">
        <v>45490</v>
      </c>
      <c r="C143" t="s">
        <v>3</v>
      </c>
      <c r="D143" t="s">
        <v>69</v>
      </c>
      <c r="E143" t="s">
        <v>26</v>
      </c>
      <c r="F143" t="s">
        <v>23</v>
      </c>
      <c r="G143" t="str">
        <f>INDEX(Lookup_Tables!$B$1:$B$7,MATCH(Cleaned_Data!F143,Lookup_Tables!$A$1:$A$7,0))</f>
        <v>Electronics</v>
      </c>
      <c r="H143" t="s">
        <v>54</v>
      </c>
      <c r="I143">
        <v>2</v>
      </c>
      <c r="J143">
        <v>13677</v>
      </c>
      <c r="K143">
        <v>0.05</v>
      </c>
      <c r="L143">
        <f t="shared" si="10"/>
        <v>0.05</v>
      </c>
      <c r="M143">
        <v>5541</v>
      </c>
      <c r="N143">
        <f t="shared" si="11"/>
        <v>27354</v>
      </c>
      <c r="O143">
        <f t="shared" si="12"/>
        <v>25986.3</v>
      </c>
      <c r="P143">
        <f>I143*IFERROR(_xlfn.XLOOKUP(F143,Lookup_Tables!Product,Cost),0)</f>
        <v>38530</v>
      </c>
      <c r="Q143">
        <f t="shared" si="13"/>
        <v>-12543.7</v>
      </c>
      <c r="R143" s="2">
        <f t="shared" si="14"/>
        <v>-0.48270434806032414</v>
      </c>
    </row>
    <row r="144" spans="1:18" x14ac:dyDescent="0.3">
      <c r="A144" t="s">
        <v>201</v>
      </c>
      <c r="B144" s="1">
        <v>45396</v>
      </c>
      <c r="C144" t="s">
        <v>4</v>
      </c>
      <c r="D144" t="s">
        <v>56</v>
      </c>
      <c r="E144" t="s">
        <v>25</v>
      </c>
      <c r="F144" t="s">
        <v>24</v>
      </c>
      <c r="G144" t="str">
        <f>INDEX(Lookup_Tables!$B$1:$B$7,MATCH(Cleaned_Data!F144,Lookup_Tables!$A$1:$A$7,0))</f>
        <v>Electronics</v>
      </c>
      <c r="H144" t="s">
        <v>54</v>
      </c>
      <c r="I144">
        <v>7</v>
      </c>
      <c r="J144">
        <v>44177</v>
      </c>
      <c r="L144">
        <f t="shared" si="10"/>
        <v>0</v>
      </c>
      <c r="N144">
        <f t="shared" si="11"/>
        <v>309239</v>
      </c>
      <c r="O144">
        <f t="shared" si="12"/>
        <v>309239</v>
      </c>
      <c r="P144">
        <f>I144*IFERROR(_xlfn.XLOOKUP(F144,Lookup_Tables!Product,Cost),0)</f>
        <v>196322</v>
      </c>
      <c r="Q144">
        <f t="shared" si="13"/>
        <v>112917</v>
      </c>
      <c r="R144" s="2">
        <f t="shared" si="14"/>
        <v>0.36514475858478396</v>
      </c>
    </row>
    <row r="145" spans="1:18" x14ac:dyDescent="0.3">
      <c r="A145" t="s">
        <v>202</v>
      </c>
      <c r="B145" s="1">
        <v>45463</v>
      </c>
      <c r="C145" t="s">
        <v>5</v>
      </c>
      <c r="D145" t="s">
        <v>76</v>
      </c>
      <c r="E145" t="s">
        <v>26</v>
      </c>
      <c r="F145" t="s">
        <v>23</v>
      </c>
      <c r="G145" t="str">
        <f>INDEX(Lookup_Tables!$B$1:$B$7,MATCH(Cleaned_Data!F145,Lookup_Tables!$A$1:$A$7,0))</f>
        <v>Electronics</v>
      </c>
      <c r="H145" t="s">
        <v>54</v>
      </c>
      <c r="I145">
        <v>5</v>
      </c>
      <c r="J145">
        <v>4664</v>
      </c>
      <c r="K145">
        <v>0.1</v>
      </c>
      <c r="L145">
        <f t="shared" si="10"/>
        <v>0.1</v>
      </c>
      <c r="M145">
        <v>27139</v>
      </c>
      <c r="N145">
        <f t="shared" si="11"/>
        <v>23320</v>
      </c>
      <c r="O145">
        <f t="shared" si="12"/>
        <v>20988</v>
      </c>
      <c r="P145">
        <f>I145*IFERROR(_xlfn.XLOOKUP(F145,Lookup_Tables!Product,Cost),0)</f>
        <v>96325</v>
      </c>
      <c r="Q145">
        <f t="shared" si="13"/>
        <v>-75337</v>
      </c>
      <c r="R145" s="2">
        <f t="shared" si="14"/>
        <v>-3.5895273489613113</v>
      </c>
    </row>
    <row r="146" spans="1:18" x14ac:dyDescent="0.3">
      <c r="A146" t="s">
        <v>203</v>
      </c>
      <c r="B146" s="1">
        <v>45487</v>
      </c>
      <c r="C146" t="s">
        <v>5</v>
      </c>
      <c r="D146" t="s">
        <v>56</v>
      </c>
      <c r="E146" t="s">
        <v>27</v>
      </c>
      <c r="F146" t="s">
        <v>50</v>
      </c>
      <c r="G146" t="str">
        <f>INDEX(Lookup_Tables!$B$1:$B$7,MATCH(Cleaned_Data!F146,Lookup_Tables!$A$1:$A$7,0))</f>
        <v>Furniture</v>
      </c>
      <c r="H146" t="s">
        <v>51</v>
      </c>
      <c r="I146">
        <v>9</v>
      </c>
      <c r="J146">
        <v>17961</v>
      </c>
      <c r="K146">
        <v>0</v>
      </c>
      <c r="L146">
        <f t="shared" si="10"/>
        <v>0</v>
      </c>
      <c r="N146">
        <f t="shared" si="11"/>
        <v>161649</v>
      </c>
      <c r="O146">
        <f t="shared" si="12"/>
        <v>161649</v>
      </c>
      <c r="P146">
        <f>I146*IFERROR(_xlfn.XLOOKUP(F146,Lookup_Tables!Product,Cost),0)</f>
        <v>119439</v>
      </c>
      <c r="Q146">
        <f t="shared" si="13"/>
        <v>42210</v>
      </c>
      <c r="R146" s="2">
        <f t="shared" si="14"/>
        <v>0.26112131841211511</v>
      </c>
    </row>
    <row r="147" spans="1:18" x14ac:dyDescent="0.3">
      <c r="A147" t="s">
        <v>204</v>
      </c>
      <c r="B147" s="1">
        <v>45395</v>
      </c>
      <c r="C147" t="s">
        <v>3</v>
      </c>
      <c r="D147" t="s">
        <v>76</v>
      </c>
      <c r="E147" t="s">
        <v>27</v>
      </c>
      <c r="F147" t="s">
        <v>24</v>
      </c>
      <c r="G147" t="str">
        <f>INDEX(Lookup_Tables!$B$1:$B$7,MATCH(Cleaned_Data!F147,Lookup_Tables!$A$1:$A$7,0))</f>
        <v>Electronics</v>
      </c>
      <c r="H147" t="s">
        <v>54</v>
      </c>
      <c r="I147">
        <v>4</v>
      </c>
      <c r="J147">
        <v>8698</v>
      </c>
      <c r="K147">
        <v>0.05</v>
      </c>
      <c r="L147">
        <f t="shared" si="10"/>
        <v>0.05</v>
      </c>
      <c r="N147">
        <f t="shared" si="11"/>
        <v>34792</v>
      </c>
      <c r="O147">
        <f t="shared" si="12"/>
        <v>33052.400000000001</v>
      </c>
      <c r="P147">
        <f>I147*IFERROR(_xlfn.XLOOKUP(F147,Lookup_Tables!Product,Cost),0)</f>
        <v>112184</v>
      </c>
      <c r="Q147">
        <f t="shared" si="13"/>
        <v>-79131.600000000006</v>
      </c>
      <c r="R147" s="2">
        <f t="shared" si="14"/>
        <v>-2.3941256913264999</v>
      </c>
    </row>
    <row r="148" spans="1:18" x14ac:dyDescent="0.3">
      <c r="A148" t="s">
        <v>205</v>
      </c>
      <c r="B148" s="1">
        <v>45528</v>
      </c>
      <c r="C148" t="s">
        <v>6</v>
      </c>
      <c r="D148" t="s">
        <v>64</v>
      </c>
      <c r="E148" t="s">
        <v>27</v>
      </c>
      <c r="F148" t="s">
        <v>23</v>
      </c>
      <c r="G148" t="str">
        <f>INDEX(Lookup_Tables!$B$1:$B$7,MATCH(Cleaned_Data!F148,Lookup_Tables!$A$1:$A$7,0))</f>
        <v>Electronics</v>
      </c>
      <c r="H148" t="s">
        <v>54</v>
      </c>
      <c r="I148">
        <v>1</v>
      </c>
      <c r="J148">
        <v>39693</v>
      </c>
      <c r="K148">
        <v>0</v>
      </c>
      <c r="L148">
        <f t="shared" si="10"/>
        <v>0</v>
      </c>
      <c r="N148">
        <f t="shared" si="11"/>
        <v>39693</v>
      </c>
      <c r="O148">
        <f t="shared" si="12"/>
        <v>39693</v>
      </c>
      <c r="P148">
        <f>I148*IFERROR(_xlfn.XLOOKUP(F148,Lookup_Tables!Product,Cost),0)</f>
        <v>19265</v>
      </c>
      <c r="Q148">
        <f t="shared" si="13"/>
        <v>20428</v>
      </c>
      <c r="R148" s="2">
        <f t="shared" si="14"/>
        <v>0.51464993827627037</v>
      </c>
    </row>
    <row r="149" spans="1:18" x14ac:dyDescent="0.3">
      <c r="A149" t="s">
        <v>206</v>
      </c>
      <c r="B149" s="1">
        <v>45353</v>
      </c>
      <c r="C149" t="s">
        <v>3</v>
      </c>
      <c r="D149" t="s">
        <v>49</v>
      </c>
      <c r="E149" t="s">
        <v>28</v>
      </c>
      <c r="F149" t="s">
        <v>24</v>
      </c>
      <c r="G149" t="str">
        <f>INDEX(Lookup_Tables!$B$1:$B$7,MATCH(Cleaned_Data!F149,Lookup_Tables!$A$1:$A$7,0))</f>
        <v>Electronics</v>
      </c>
      <c r="H149" t="s">
        <v>54</v>
      </c>
      <c r="I149">
        <v>4</v>
      </c>
      <c r="J149">
        <v>49254</v>
      </c>
      <c r="K149">
        <v>0</v>
      </c>
      <c r="L149">
        <f t="shared" si="10"/>
        <v>0</v>
      </c>
      <c r="N149">
        <f t="shared" si="11"/>
        <v>197016</v>
      </c>
      <c r="O149">
        <f t="shared" si="12"/>
        <v>197016</v>
      </c>
      <c r="P149">
        <f>I149*IFERROR(_xlfn.XLOOKUP(F149,Lookup_Tables!Product,Cost),0)</f>
        <v>112184</v>
      </c>
      <c r="Q149">
        <f t="shared" si="13"/>
        <v>84832</v>
      </c>
      <c r="R149" s="2">
        <f t="shared" si="14"/>
        <v>0.43058431802493197</v>
      </c>
    </row>
    <row r="150" spans="1:18" x14ac:dyDescent="0.3">
      <c r="A150" t="s">
        <v>207</v>
      </c>
      <c r="B150" s="1">
        <v>45326</v>
      </c>
      <c r="C150" t="s">
        <v>4</v>
      </c>
      <c r="D150" t="s">
        <v>53</v>
      </c>
      <c r="E150" t="s">
        <v>28</v>
      </c>
      <c r="F150" t="s">
        <v>58</v>
      </c>
      <c r="G150" t="str">
        <f>INDEX(Lookup_Tables!$B$1:$B$7,MATCH(Cleaned_Data!F150,Lookup_Tables!$A$1:$A$7,0))</f>
        <v>Electronics</v>
      </c>
      <c r="H150" t="s">
        <v>54</v>
      </c>
      <c r="I150">
        <v>2</v>
      </c>
      <c r="J150">
        <v>24064</v>
      </c>
      <c r="K150">
        <v>0.05</v>
      </c>
      <c r="L150">
        <f t="shared" si="10"/>
        <v>0.05</v>
      </c>
      <c r="N150">
        <f t="shared" si="11"/>
        <v>48128</v>
      </c>
      <c r="O150">
        <f t="shared" si="12"/>
        <v>45721.599999999999</v>
      </c>
      <c r="P150">
        <f>I150*IFERROR(_xlfn.XLOOKUP(F150,Lookup_Tables!Product,Cost),0)</f>
        <v>5776</v>
      </c>
      <c r="Q150">
        <f t="shared" si="13"/>
        <v>39945.599999999999</v>
      </c>
      <c r="R150" s="2">
        <f t="shared" si="14"/>
        <v>0.87367021276595747</v>
      </c>
    </row>
    <row r="151" spans="1:18" x14ac:dyDescent="0.3">
      <c r="A151" t="s">
        <v>208</v>
      </c>
      <c r="B151" s="1">
        <v>45434</v>
      </c>
      <c r="C151" t="s">
        <v>5</v>
      </c>
      <c r="D151" t="s">
        <v>69</v>
      </c>
      <c r="E151" t="s">
        <v>27</v>
      </c>
      <c r="F151" t="s">
        <v>50</v>
      </c>
      <c r="G151" t="str">
        <f>INDEX(Lookup_Tables!$B$1:$B$7,MATCH(Cleaned_Data!F151,Lookup_Tables!$A$1:$A$7,0))</f>
        <v>Furniture</v>
      </c>
      <c r="H151" t="s">
        <v>51</v>
      </c>
      <c r="I151">
        <v>4</v>
      </c>
      <c r="J151">
        <v>2985</v>
      </c>
      <c r="K151">
        <v>0</v>
      </c>
      <c r="L151">
        <f t="shared" si="10"/>
        <v>0</v>
      </c>
      <c r="N151">
        <f t="shared" si="11"/>
        <v>11940</v>
      </c>
      <c r="O151">
        <f t="shared" si="12"/>
        <v>11940</v>
      </c>
      <c r="P151">
        <f>I151*IFERROR(_xlfn.XLOOKUP(F151,Lookup_Tables!Product,Cost),0)</f>
        <v>53084</v>
      </c>
      <c r="Q151">
        <f t="shared" si="13"/>
        <v>-41144</v>
      </c>
      <c r="R151" s="2">
        <f t="shared" si="14"/>
        <v>-3.4458961474036851</v>
      </c>
    </row>
    <row r="152" spans="1:18" x14ac:dyDescent="0.3">
      <c r="A152" t="s">
        <v>209</v>
      </c>
      <c r="B152" s="1">
        <v>45375</v>
      </c>
      <c r="C152" t="s">
        <v>6</v>
      </c>
      <c r="D152" t="s">
        <v>53</v>
      </c>
      <c r="E152" t="s">
        <v>27</v>
      </c>
      <c r="F152" t="s">
        <v>58</v>
      </c>
      <c r="G152" t="str">
        <f>INDEX(Lookup_Tables!$B$1:$B$7,MATCH(Cleaned_Data!F152,Lookup_Tables!$A$1:$A$7,0))</f>
        <v>Electronics</v>
      </c>
      <c r="H152" t="s">
        <v>54</v>
      </c>
      <c r="I152">
        <v>2</v>
      </c>
      <c r="J152">
        <v>16188</v>
      </c>
      <c r="K152">
        <v>0.1</v>
      </c>
      <c r="L152">
        <f t="shared" si="10"/>
        <v>0.1</v>
      </c>
      <c r="N152">
        <f t="shared" si="11"/>
        <v>32376</v>
      </c>
      <c r="O152">
        <f t="shared" si="12"/>
        <v>29138.400000000001</v>
      </c>
      <c r="P152">
        <f>I152*IFERROR(_xlfn.XLOOKUP(F152,Lookup_Tables!Product,Cost),0)</f>
        <v>5776</v>
      </c>
      <c r="Q152">
        <f t="shared" si="13"/>
        <v>23362.400000000001</v>
      </c>
      <c r="R152" s="2">
        <f t="shared" si="14"/>
        <v>0.80177360459050606</v>
      </c>
    </row>
    <row r="153" spans="1:18" x14ac:dyDescent="0.3">
      <c r="A153" t="s">
        <v>210</v>
      </c>
      <c r="B153" s="1">
        <v>45641</v>
      </c>
      <c r="C153" t="s">
        <v>6</v>
      </c>
      <c r="D153" t="s">
        <v>56</v>
      </c>
      <c r="E153" t="s">
        <v>29</v>
      </c>
      <c r="F153" t="s">
        <v>61</v>
      </c>
      <c r="G153" t="str">
        <f>INDEX(Lookup_Tables!$B$1:$B$7,MATCH(Cleaned_Data!F153,Lookup_Tables!$A$1:$A$7,0))</f>
        <v>Electronics</v>
      </c>
      <c r="H153" t="s">
        <v>54</v>
      </c>
      <c r="I153">
        <v>4</v>
      </c>
      <c r="J153">
        <v>1457</v>
      </c>
      <c r="K153">
        <v>0.05</v>
      </c>
      <c r="L153">
        <f t="shared" si="10"/>
        <v>0.05</v>
      </c>
      <c r="M153">
        <v>5756</v>
      </c>
      <c r="N153">
        <f t="shared" si="11"/>
        <v>5828</v>
      </c>
      <c r="O153">
        <f t="shared" si="12"/>
        <v>5536.6</v>
      </c>
      <c r="P153">
        <f>I153*IFERROR(_xlfn.XLOOKUP(F153,Lookup_Tables!Product,Cost),0)</f>
        <v>29536</v>
      </c>
      <c r="Q153">
        <f t="shared" si="13"/>
        <v>-23999.4</v>
      </c>
      <c r="R153" s="2">
        <f t="shared" si="14"/>
        <v>-4.3346819347614058</v>
      </c>
    </row>
    <row r="154" spans="1:18" x14ac:dyDescent="0.3">
      <c r="A154" t="s">
        <v>211</v>
      </c>
      <c r="B154" s="1">
        <v>45365</v>
      </c>
      <c r="C154" t="s">
        <v>5</v>
      </c>
      <c r="D154" t="s">
        <v>53</v>
      </c>
      <c r="E154" t="s">
        <v>25</v>
      </c>
      <c r="F154" t="s">
        <v>23</v>
      </c>
      <c r="G154" t="str">
        <f>INDEX(Lookup_Tables!$B$1:$B$7,MATCH(Cleaned_Data!F154,Lookup_Tables!$A$1:$A$7,0))</f>
        <v>Electronics</v>
      </c>
      <c r="H154" t="s">
        <v>54</v>
      </c>
      <c r="I154">
        <v>10</v>
      </c>
      <c r="J154">
        <v>5787</v>
      </c>
      <c r="K154">
        <v>0.05</v>
      </c>
      <c r="L154">
        <f t="shared" si="10"/>
        <v>0.05</v>
      </c>
      <c r="N154">
        <f t="shared" si="11"/>
        <v>57870</v>
      </c>
      <c r="O154">
        <f t="shared" si="12"/>
        <v>54976.5</v>
      </c>
      <c r="P154">
        <f>I154*IFERROR(_xlfn.XLOOKUP(F154,Lookup_Tables!Product,Cost),0)</f>
        <v>192650</v>
      </c>
      <c r="Q154">
        <f t="shared" si="13"/>
        <v>-137673.5</v>
      </c>
      <c r="R154" s="2">
        <f t="shared" si="14"/>
        <v>-2.5042245323001646</v>
      </c>
    </row>
    <row r="155" spans="1:18" x14ac:dyDescent="0.3">
      <c r="A155" t="s">
        <v>212</v>
      </c>
      <c r="B155" s="1">
        <v>45390</v>
      </c>
      <c r="C155" t="s">
        <v>5</v>
      </c>
      <c r="D155" t="s">
        <v>76</v>
      </c>
      <c r="E155" t="s">
        <v>29</v>
      </c>
      <c r="F155" t="s">
        <v>24</v>
      </c>
      <c r="G155" t="str">
        <f>INDEX(Lookup_Tables!$B$1:$B$7,MATCH(Cleaned_Data!F155,Lookup_Tables!$A$1:$A$7,0))</f>
        <v>Electronics</v>
      </c>
      <c r="H155" t="s">
        <v>54</v>
      </c>
      <c r="I155">
        <v>9</v>
      </c>
      <c r="J155">
        <v>4045</v>
      </c>
      <c r="K155">
        <v>0.05</v>
      </c>
      <c r="L155">
        <f t="shared" si="10"/>
        <v>0.05</v>
      </c>
      <c r="M155">
        <v>18739</v>
      </c>
      <c r="N155">
        <f t="shared" si="11"/>
        <v>36405</v>
      </c>
      <c r="O155">
        <f t="shared" si="12"/>
        <v>34584.75</v>
      </c>
      <c r="P155">
        <f>I155*IFERROR(_xlfn.XLOOKUP(F155,Lookup_Tables!Product,Cost),0)</f>
        <v>252414</v>
      </c>
      <c r="Q155">
        <f t="shared" si="13"/>
        <v>-217829.25</v>
      </c>
      <c r="R155" s="2">
        <f t="shared" si="14"/>
        <v>-6.2984191009043</v>
      </c>
    </row>
    <row r="156" spans="1:18" x14ac:dyDescent="0.3">
      <c r="A156" t="s">
        <v>213</v>
      </c>
      <c r="B156" s="1">
        <v>45557</v>
      </c>
      <c r="C156" t="s">
        <v>5</v>
      </c>
      <c r="D156" t="s">
        <v>53</v>
      </c>
      <c r="E156" t="s">
        <v>29</v>
      </c>
      <c r="F156" t="s">
        <v>50</v>
      </c>
      <c r="G156" t="str">
        <f>INDEX(Lookup_Tables!$B$1:$B$7,MATCH(Cleaned_Data!F156,Lookup_Tables!$A$1:$A$7,0))</f>
        <v>Furniture</v>
      </c>
      <c r="H156" t="s">
        <v>51</v>
      </c>
      <c r="I156">
        <v>10</v>
      </c>
      <c r="J156">
        <v>8412</v>
      </c>
      <c r="K156">
        <v>0</v>
      </c>
      <c r="L156">
        <f t="shared" si="10"/>
        <v>0</v>
      </c>
      <c r="M156">
        <v>26516</v>
      </c>
      <c r="N156">
        <f t="shared" si="11"/>
        <v>84120</v>
      </c>
      <c r="O156">
        <f t="shared" si="12"/>
        <v>84120</v>
      </c>
      <c r="P156">
        <f>I156*IFERROR(_xlfn.XLOOKUP(F156,Lookup_Tables!Product,Cost),0)</f>
        <v>132710</v>
      </c>
      <c r="Q156">
        <f t="shared" si="13"/>
        <v>-48590</v>
      </c>
      <c r="R156" s="2">
        <f t="shared" si="14"/>
        <v>-0.57762719923918215</v>
      </c>
    </row>
    <row r="157" spans="1:18" x14ac:dyDescent="0.3">
      <c r="A157" t="s">
        <v>214</v>
      </c>
      <c r="B157" s="1">
        <v>45404</v>
      </c>
      <c r="C157" t="s">
        <v>5</v>
      </c>
      <c r="D157" t="s">
        <v>69</v>
      </c>
      <c r="E157" t="s">
        <v>26</v>
      </c>
      <c r="F157" t="s">
        <v>58</v>
      </c>
      <c r="G157" t="str">
        <f>INDEX(Lookup_Tables!$B$1:$B$7,MATCH(Cleaned_Data!F157,Lookup_Tables!$A$1:$A$7,0))</f>
        <v>Electronics</v>
      </c>
      <c r="H157" t="s">
        <v>54</v>
      </c>
      <c r="I157">
        <v>3</v>
      </c>
      <c r="J157">
        <v>33397</v>
      </c>
      <c r="L157">
        <f t="shared" si="10"/>
        <v>0</v>
      </c>
      <c r="N157">
        <f t="shared" si="11"/>
        <v>100191</v>
      </c>
      <c r="O157">
        <f t="shared" si="12"/>
        <v>100191</v>
      </c>
      <c r="P157">
        <f>I157*IFERROR(_xlfn.XLOOKUP(F157,Lookup_Tables!Product,Cost),0)</f>
        <v>8664</v>
      </c>
      <c r="Q157">
        <f t="shared" si="13"/>
        <v>91527</v>
      </c>
      <c r="R157" s="2">
        <f t="shared" si="14"/>
        <v>0.91352516693116148</v>
      </c>
    </row>
    <row r="158" spans="1:18" x14ac:dyDescent="0.3">
      <c r="A158" t="s">
        <v>215</v>
      </c>
      <c r="B158" s="1">
        <v>45649</v>
      </c>
      <c r="C158" t="s">
        <v>3</v>
      </c>
      <c r="D158" t="s">
        <v>69</v>
      </c>
      <c r="E158" t="s">
        <v>26</v>
      </c>
      <c r="F158" t="s">
        <v>22</v>
      </c>
      <c r="G158" t="str">
        <f>INDEX(Lookup_Tables!$B$1:$B$7,MATCH(Cleaned_Data!F158,Lookup_Tables!$A$1:$A$7,0))</f>
        <v>Furniture</v>
      </c>
      <c r="H158" t="s">
        <v>51</v>
      </c>
      <c r="I158">
        <v>7</v>
      </c>
      <c r="J158">
        <v>42814</v>
      </c>
      <c r="K158">
        <v>0.1</v>
      </c>
      <c r="L158">
        <f t="shared" si="10"/>
        <v>0.1</v>
      </c>
      <c r="N158">
        <f t="shared" si="11"/>
        <v>299698</v>
      </c>
      <c r="O158">
        <f t="shared" si="12"/>
        <v>269728.2</v>
      </c>
      <c r="P158">
        <f>I158*IFERROR(_xlfn.XLOOKUP(F158,Lookup_Tables!Product,Cost),0)</f>
        <v>91280</v>
      </c>
      <c r="Q158">
        <f t="shared" si="13"/>
        <v>178448.2</v>
      </c>
      <c r="R158" s="2">
        <f t="shared" si="14"/>
        <v>0.66158525508270916</v>
      </c>
    </row>
    <row r="159" spans="1:18" x14ac:dyDescent="0.3">
      <c r="A159" t="s">
        <v>216</v>
      </c>
      <c r="B159" s="1">
        <v>45621</v>
      </c>
      <c r="C159" t="s">
        <v>4</v>
      </c>
      <c r="D159" t="s">
        <v>56</v>
      </c>
      <c r="E159" t="s">
        <v>28</v>
      </c>
      <c r="F159" t="s">
        <v>61</v>
      </c>
      <c r="G159" t="str">
        <f>INDEX(Lookup_Tables!$B$1:$B$7,MATCH(Cleaned_Data!F159,Lookup_Tables!$A$1:$A$7,0))</f>
        <v>Electronics</v>
      </c>
      <c r="H159" t="s">
        <v>54</v>
      </c>
      <c r="I159">
        <v>1</v>
      </c>
      <c r="J159">
        <v>6449</v>
      </c>
      <c r="L159">
        <f t="shared" si="10"/>
        <v>0</v>
      </c>
      <c r="N159">
        <f t="shared" si="11"/>
        <v>6449</v>
      </c>
      <c r="O159">
        <f t="shared" si="12"/>
        <v>6449</v>
      </c>
      <c r="P159">
        <f>I159*IFERROR(_xlfn.XLOOKUP(F159,Lookup_Tables!Product,Cost),0)</f>
        <v>7384</v>
      </c>
      <c r="Q159">
        <f t="shared" si="13"/>
        <v>-935</v>
      </c>
      <c r="R159" s="2">
        <f t="shared" si="14"/>
        <v>-0.14498371840595442</v>
      </c>
    </row>
    <row r="160" spans="1:18" x14ac:dyDescent="0.3">
      <c r="A160" t="s">
        <v>217</v>
      </c>
      <c r="B160" s="1">
        <v>45529</v>
      </c>
      <c r="C160" t="s">
        <v>6</v>
      </c>
      <c r="D160" t="s">
        <v>56</v>
      </c>
      <c r="E160" t="s">
        <v>29</v>
      </c>
      <c r="F160" t="s">
        <v>23</v>
      </c>
      <c r="G160" t="str">
        <f>INDEX(Lookup_Tables!$B$1:$B$7,MATCH(Cleaned_Data!F160,Lookup_Tables!$A$1:$A$7,0))</f>
        <v>Electronics</v>
      </c>
      <c r="H160" t="s">
        <v>54</v>
      </c>
      <c r="I160">
        <v>9</v>
      </c>
      <c r="J160">
        <v>3404</v>
      </c>
      <c r="K160">
        <v>0.1</v>
      </c>
      <c r="L160">
        <f t="shared" si="10"/>
        <v>0.1</v>
      </c>
      <c r="N160">
        <f t="shared" si="11"/>
        <v>30636</v>
      </c>
      <c r="O160">
        <f t="shared" si="12"/>
        <v>27572.400000000001</v>
      </c>
      <c r="P160">
        <f>I160*IFERROR(_xlfn.XLOOKUP(F160,Lookup_Tables!Product,Cost),0)</f>
        <v>173385</v>
      </c>
      <c r="Q160">
        <f t="shared" si="13"/>
        <v>-145812.6</v>
      </c>
      <c r="R160" s="2">
        <f t="shared" si="14"/>
        <v>-5.2883535709622667</v>
      </c>
    </row>
    <row r="161" spans="1:18" x14ac:dyDescent="0.3">
      <c r="A161" t="s">
        <v>218</v>
      </c>
      <c r="B161" s="1">
        <v>45613</v>
      </c>
      <c r="C161" t="s">
        <v>4</v>
      </c>
      <c r="D161" t="s">
        <v>64</v>
      </c>
      <c r="E161" t="s">
        <v>25</v>
      </c>
      <c r="F161" t="s">
        <v>61</v>
      </c>
      <c r="G161" t="str">
        <f>INDEX(Lookup_Tables!$B$1:$B$7,MATCH(Cleaned_Data!F161,Lookup_Tables!$A$1:$A$7,0))</f>
        <v>Electronics</v>
      </c>
      <c r="H161" t="s">
        <v>54</v>
      </c>
      <c r="I161">
        <v>6</v>
      </c>
      <c r="J161">
        <v>1841</v>
      </c>
      <c r="K161">
        <v>0</v>
      </c>
      <c r="L161">
        <f t="shared" si="10"/>
        <v>0</v>
      </c>
      <c r="N161">
        <f t="shared" si="11"/>
        <v>11046</v>
      </c>
      <c r="O161">
        <f t="shared" si="12"/>
        <v>11046</v>
      </c>
      <c r="P161">
        <f>I161*IFERROR(_xlfn.XLOOKUP(F161,Lookup_Tables!Product,Cost),0)</f>
        <v>44304</v>
      </c>
      <c r="Q161">
        <f t="shared" si="13"/>
        <v>-33258</v>
      </c>
      <c r="R161" s="2">
        <f t="shared" si="14"/>
        <v>-3.0108636610537753</v>
      </c>
    </row>
    <row r="162" spans="1:18" x14ac:dyDescent="0.3">
      <c r="A162" t="s">
        <v>219</v>
      </c>
      <c r="B162" s="1">
        <v>45569</v>
      </c>
      <c r="C162" t="s">
        <v>3</v>
      </c>
      <c r="D162" t="s">
        <v>64</v>
      </c>
      <c r="E162" t="s">
        <v>28</v>
      </c>
      <c r="F162" t="s">
        <v>23</v>
      </c>
      <c r="G162" t="str">
        <f>INDEX(Lookup_Tables!$B$1:$B$7,MATCH(Cleaned_Data!F162,Lookup_Tables!$A$1:$A$7,0))</f>
        <v>Electronics</v>
      </c>
      <c r="H162" t="s">
        <v>54</v>
      </c>
      <c r="I162">
        <v>8</v>
      </c>
      <c r="J162">
        <v>9401</v>
      </c>
      <c r="K162">
        <v>0.1</v>
      </c>
      <c r="L162">
        <f t="shared" si="10"/>
        <v>0.1</v>
      </c>
      <c r="N162">
        <f t="shared" si="11"/>
        <v>75208</v>
      </c>
      <c r="O162">
        <f t="shared" si="12"/>
        <v>67687.199999999997</v>
      </c>
      <c r="P162">
        <f>I162*IFERROR(_xlfn.XLOOKUP(F162,Lookup_Tables!Product,Cost),0)</f>
        <v>154120</v>
      </c>
      <c r="Q162">
        <f t="shared" si="13"/>
        <v>-86432.8</v>
      </c>
      <c r="R162" s="2">
        <f t="shared" si="14"/>
        <v>-1.2769445330874967</v>
      </c>
    </row>
    <row r="163" spans="1:18" x14ac:dyDescent="0.3">
      <c r="A163" t="s">
        <v>220</v>
      </c>
      <c r="B163" s="1">
        <v>45609</v>
      </c>
      <c r="C163" t="s">
        <v>3</v>
      </c>
      <c r="D163" t="s">
        <v>49</v>
      </c>
      <c r="E163" t="s">
        <v>28</v>
      </c>
      <c r="F163" t="s">
        <v>24</v>
      </c>
      <c r="G163" t="str">
        <f>INDEX(Lookup_Tables!$B$1:$B$7,MATCH(Cleaned_Data!F163,Lookup_Tables!$A$1:$A$7,0))</f>
        <v>Electronics</v>
      </c>
      <c r="H163" t="s">
        <v>54</v>
      </c>
      <c r="I163">
        <v>10</v>
      </c>
      <c r="J163">
        <v>27902</v>
      </c>
      <c r="K163">
        <v>0.05</v>
      </c>
      <c r="L163">
        <f t="shared" si="10"/>
        <v>0.05</v>
      </c>
      <c r="N163">
        <f t="shared" si="11"/>
        <v>279020</v>
      </c>
      <c r="O163">
        <f t="shared" si="12"/>
        <v>265069</v>
      </c>
      <c r="P163">
        <f>I163*IFERROR(_xlfn.XLOOKUP(F163,Lookup_Tables!Product,Cost),0)</f>
        <v>280460</v>
      </c>
      <c r="Q163">
        <f t="shared" si="13"/>
        <v>-15391</v>
      </c>
      <c r="R163" s="2">
        <f t="shared" si="14"/>
        <v>-5.8064126699085901E-2</v>
      </c>
    </row>
    <row r="164" spans="1:18" x14ac:dyDescent="0.3">
      <c r="A164" t="s">
        <v>221</v>
      </c>
      <c r="B164" s="1">
        <v>45328</v>
      </c>
      <c r="C164" t="s">
        <v>5</v>
      </c>
      <c r="D164" t="s">
        <v>76</v>
      </c>
      <c r="E164" t="s">
        <v>28</v>
      </c>
      <c r="F164" t="s">
        <v>61</v>
      </c>
      <c r="G164" t="str">
        <f>INDEX(Lookup_Tables!$B$1:$B$7,MATCH(Cleaned_Data!F164,Lookup_Tables!$A$1:$A$7,0))</f>
        <v>Electronics</v>
      </c>
      <c r="H164" t="s">
        <v>54</v>
      </c>
      <c r="I164">
        <v>1</v>
      </c>
      <c r="J164">
        <v>3934</v>
      </c>
      <c r="K164">
        <v>0.05</v>
      </c>
      <c r="L164">
        <f t="shared" si="10"/>
        <v>0.05</v>
      </c>
      <c r="N164">
        <f t="shared" si="11"/>
        <v>3934</v>
      </c>
      <c r="O164">
        <f t="shared" si="12"/>
        <v>3737.3</v>
      </c>
      <c r="P164">
        <f>I164*IFERROR(_xlfn.XLOOKUP(F164,Lookup_Tables!Product,Cost),0)</f>
        <v>7384</v>
      </c>
      <c r="Q164">
        <f t="shared" si="13"/>
        <v>-3646.7</v>
      </c>
      <c r="R164" s="2">
        <f t="shared" si="14"/>
        <v>-0.97575790008829899</v>
      </c>
    </row>
    <row r="165" spans="1:18" x14ac:dyDescent="0.3">
      <c r="A165" t="s">
        <v>222</v>
      </c>
      <c r="B165" s="1">
        <v>45369</v>
      </c>
      <c r="C165" t="s">
        <v>3</v>
      </c>
      <c r="D165" t="s">
        <v>76</v>
      </c>
      <c r="E165" t="s">
        <v>28</v>
      </c>
      <c r="F165" t="s">
        <v>50</v>
      </c>
      <c r="G165" t="str">
        <f>INDEX(Lookup_Tables!$B$1:$B$7,MATCH(Cleaned_Data!F165,Lookup_Tables!$A$1:$A$7,0))</f>
        <v>Furniture</v>
      </c>
      <c r="H165" t="s">
        <v>51</v>
      </c>
      <c r="I165">
        <v>8</v>
      </c>
      <c r="J165">
        <v>14762</v>
      </c>
      <c r="K165">
        <v>0.05</v>
      </c>
      <c r="L165">
        <f t="shared" si="10"/>
        <v>0.05</v>
      </c>
      <c r="M165">
        <v>10704</v>
      </c>
      <c r="N165">
        <f t="shared" si="11"/>
        <v>118096</v>
      </c>
      <c r="O165">
        <f t="shared" si="12"/>
        <v>112191.2</v>
      </c>
      <c r="P165">
        <f>I165*IFERROR(_xlfn.XLOOKUP(F165,Lookup_Tables!Product,Cost),0)</f>
        <v>106168</v>
      </c>
      <c r="Q165">
        <f t="shared" si="13"/>
        <v>6023.1999999999971</v>
      </c>
      <c r="R165" s="2">
        <f t="shared" si="14"/>
        <v>5.3686920186253442E-2</v>
      </c>
    </row>
    <row r="166" spans="1:18" x14ac:dyDescent="0.3">
      <c r="A166" t="s">
        <v>223</v>
      </c>
      <c r="B166" s="1">
        <v>45333</v>
      </c>
      <c r="C166" t="s">
        <v>3</v>
      </c>
      <c r="D166" t="s">
        <v>64</v>
      </c>
      <c r="E166" t="s">
        <v>26</v>
      </c>
      <c r="F166" t="s">
        <v>50</v>
      </c>
      <c r="G166" t="str">
        <f>INDEX(Lookup_Tables!$B$1:$B$7,MATCH(Cleaned_Data!F166,Lookup_Tables!$A$1:$A$7,0))</f>
        <v>Furniture</v>
      </c>
      <c r="H166" t="s">
        <v>51</v>
      </c>
      <c r="I166">
        <v>7</v>
      </c>
      <c r="J166">
        <v>30697</v>
      </c>
      <c r="K166">
        <v>0.1</v>
      </c>
      <c r="L166">
        <f t="shared" si="10"/>
        <v>0.1</v>
      </c>
      <c r="N166">
        <f t="shared" si="11"/>
        <v>214879</v>
      </c>
      <c r="O166">
        <f t="shared" si="12"/>
        <v>193391.1</v>
      </c>
      <c r="P166">
        <f>I166*IFERROR(_xlfn.XLOOKUP(F166,Lookup_Tables!Product,Cost),0)</f>
        <v>92897</v>
      </c>
      <c r="Q166">
        <f t="shared" si="13"/>
        <v>100494.1</v>
      </c>
      <c r="R166" s="2">
        <f t="shared" si="14"/>
        <v>0.51964180357834466</v>
      </c>
    </row>
    <row r="167" spans="1:18" x14ac:dyDescent="0.3">
      <c r="A167" t="s">
        <v>224</v>
      </c>
      <c r="B167" s="1">
        <v>45622</v>
      </c>
      <c r="C167" t="s">
        <v>3</v>
      </c>
      <c r="D167" t="s">
        <v>49</v>
      </c>
      <c r="E167" t="s">
        <v>26</v>
      </c>
      <c r="F167" t="s">
        <v>23</v>
      </c>
      <c r="G167" t="str">
        <f>INDEX(Lookup_Tables!$B$1:$B$7,MATCH(Cleaned_Data!F167,Lookup_Tables!$A$1:$A$7,0))</f>
        <v>Electronics</v>
      </c>
      <c r="H167" t="s">
        <v>54</v>
      </c>
      <c r="I167">
        <v>7</v>
      </c>
      <c r="J167">
        <v>34510</v>
      </c>
      <c r="L167">
        <f t="shared" si="10"/>
        <v>0</v>
      </c>
      <c r="N167">
        <f t="shared" si="11"/>
        <v>241570</v>
      </c>
      <c r="O167">
        <f t="shared" si="12"/>
        <v>241570</v>
      </c>
      <c r="P167">
        <f>I167*IFERROR(_xlfn.XLOOKUP(F167,Lookup_Tables!Product,Cost),0)</f>
        <v>134855</v>
      </c>
      <c r="Q167">
        <f t="shared" si="13"/>
        <v>106715</v>
      </c>
      <c r="R167" s="2">
        <f t="shared" si="14"/>
        <v>0.44175601274992754</v>
      </c>
    </row>
    <row r="168" spans="1:18" x14ac:dyDescent="0.3">
      <c r="A168" t="s">
        <v>225</v>
      </c>
      <c r="B168" s="1">
        <v>45541</v>
      </c>
      <c r="C168" t="s">
        <v>4</v>
      </c>
      <c r="D168" t="s">
        <v>69</v>
      </c>
      <c r="E168" t="s">
        <v>26</v>
      </c>
      <c r="F168" t="s">
        <v>22</v>
      </c>
      <c r="G168" t="str">
        <f>INDEX(Lookup_Tables!$B$1:$B$7,MATCH(Cleaned_Data!F168,Lookup_Tables!$A$1:$A$7,0))</f>
        <v>Furniture</v>
      </c>
      <c r="H168" t="s">
        <v>51</v>
      </c>
      <c r="I168">
        <v>1</v>
      </c>
      <c r="J168">
        <v>24534</v>
      </c>
      <c r="L168">
        <f t="shared" si="10"/>
        <v>0</v>
      </c>
      <c r="N168">
        <f t="shared" si="11"/>
        <v>24534</v>
      </c>
      <c r="O168">
        <f t="shared" si="12"/>
        <v>24534</v>
      </c>
      <c r="P168">
        <f>I168*IFERROR(_xlfn.XLOOKUP(F168,Lookup_Tables!Product,Cost),0)</f>
        <v>13040</v>
      </c>
      <c r="Q168">
        <f t="shared" si="13"/>
        <v>11494</v>
      </c>
      <c r="R168" s="2">
        <f t="shared" si="14"/>
        <v>0.46849270400260862</v>
      </c>
    </row>
    <row r="169" spans="1:18" x14ac:dyDescent="0.3">
      <c r="A169" t="s">
        <v>226</v>
      </c>
      <c r="B169" s="1">
        <v>45379</v>
      </c>
      <c r="C169" t="s">
        <v>6</v>
      </c>
      <c r="D169" t="s">
        <v>76</v>
      </c>
      <c r="E169" t="s">
        <v>28</v>
      </c>
      <c r="F169" t="s">
        <v>50</v>
      </c>
      <c r="G169" t="str">
        <f>INDEX(Lookup_Tables!$B$1:$B$7,MATCH(Cleaned_Data!F169,Lookup_Tables!$A$1:$A$7,0))</f>
        <v>Furniture</v>
      </c>
      <c r="H169" t="s">
        <v>51</v>
      </c>
      <c r="I169">
        <v>7</v>
      </c>
      <c r="J169">
        <v>20210</v>
      </c>
      <c r="L169">
        <f t="shared" si="10"/>
        <v>0</v>
      </c>
      <c r="N169">
        <f t="shared" si="11"/>
        <v>141470</v>
      </c>
      <c r="O169">
        <f t="shared" si="12"/>
        <v>141470</v>
      </c>
      <c r="P169">
        <f>I169*IFERROR(_xlfn.XLOOKUP(F169,Lookup_Tables!Product,Cost),0)</f>
        <v>92897</v>
      </c>
      <c r="Q169">
        <f t="shared" si="13"/>
        <v>48573</v>
      </c>
      <c r="R169" s="2">
        <f t="shared" si="14"/>
        <v>0.34334487877288472</v>
      </c>
    </row>
    <row r="170" spans="1:18" x14ac:dyDescent="0.3">
      <c r="A170" t="s">
        <v>227</v>
      </c>
      <c r="B170" s="1">
        <v>45531</v>
      </c>
      <c r="C170" t="s">
        <v>3</v>
      </c>
      <c r="D170" t="s">
        <v>56</v>
      </c>
      <c r="E170" t="s">
        <v>29</v>
      </c>
      <c r="F170" t="s">
        <v>58</v>
      </c>
      <c r="G170" t="str">
        <f>INDEX(Lookup_Tables!$B$1:$B$7,MATCH(Cleaned_Data!F170,Lookup_Tables!$A$1:$A$7,0))</f>
        <v>Electronics</v>
      </c>
      <c r="H170" t="s">
        <v>54</v>
      </c>
      <c r="I170">
        <v>6</v>
      </c>
      <c r="J170">
        <v>36968</v>
      </c>
      <c r="K170">
        <v>0.05</v>
      </c>
      <c r="L170">
        <f t="shared" si="10"/>
        <v>0.05</v>
      </c>
      <c r="M170">
        <v>3706</v>
      </c>
      <c r="N170">
        <f t="shared" si="11"/>
        <v>221808</v>
      </c>
      <c r="O170">
        <f t="shared" si="12"/>
        <v>210717.6</v>
      </c>
      <c r="P170">
        <f>I170*IFERROR(_xlfn.XLOOKUP(F170,Lookup_Tables!Product,Cost),0)</f>
        <v>17328</v>
      </c>
      <c r="Q170">
        <f t="shared" si="13"/>
        <v>193389.6</v>
      </c>
      <c r="R170" s="2">
        <f t="shared" si="14"/>
        <v>0.91776671716078773</v>
      </c>
    </row>
    <row r="171" spans="1:18" x14ac:dyDescent="0.3">
      <c r="A171" t="s">
        <v>228</v>
      </c>
      <c r="B171" s="1">
        <v>45590</v>
      </c>
      <c r="C171" t="s">
        <v>4</v>
      </c>
      <c r="D171" t="s">
        <v>53</v>
      </c>
      <c r="E171" t="s">
        <v>27</v>
      </c>
      <c r="F171" t="s">
        <v>23</v>
      </c>
      <c r="G171" t="str">
        <f>INDEX(Lookup_Tables!$B$1:$B$7,MATCH(Cleaned_Data!F171,Lookup_Tables!$A$1:$A$7,0))</f>
        <v>Electronics</v>
      </c>
      <c r="H171" t="s">
        <v>54</v>
      </c>
      <c r="I171">
        <v>3</v>
      </c>
      <c r="J171">
        <v>48072</v>
      </c>
      <c r="K171">
        <v>0.1</v>
      </c>
      <c r="L171">
        <f t="shared" si="10"/>
        <v>0.1</v>
      </c>
      <c r="N171">
        <f t="shared" si="11"/>
        <v>144216</v>
      </c>
      <c r="O171">
        <f t="shared" si="12"/>
        <v>129794.4</v>
      </c>
      <c r="P171">
        <f>I171*IFERROR(_xlfn.XLOOKUP(F171,Lookup_Tables!Product,Cost),0)</f>
        <v>57795</v>
      </c>
      <c r="Q171">
        <f t="shared" si="13"/>
        <v>71999.399999999994</v>
      </c>
      <c r="R171" s="2">
        <f t="shared" si="14"/>
        <v>0.55471884765444424</v>
      </c>
    </row>
    <row r="172" spans="1:18" x14ac:dyDescent="0.3">
      <c r="A172" t="s">
        <v>229</v>
      </c>
      <c r="B172" s="1">
        <v>45465</v>
      </c>
      <c r="C172" t="s">
        <v>3</v>
      </c>
      <c r="D172" t="s">
        <v>64</v>
      </c>
      <c r="E172" t="s">
        <v>25</v>
      </c>
      <c r="F172" t="s">
        <v>24</v>
      </c>
      <c r="G172" t="str">
        <f>INDEX(Lookup_Tables!$B$1:$B$7,MATCH(Cleaned_Data!F172,Lookup_Tables!$A$1:$A$7,0))</f>
        <v>Electronics</v>
      </c>
      <c r="H172" t="s">
        <v>54</v>
      </c>
      <c r="I172">
        <v>9</v>
      </c>
      <c r="J172">
        <v>24173</v>
      </c>
      <c r="K172">
        <v>0</v>
      </c>
      <c r="L172">
        <f t="shared" si="10"/>
        <v>0</v>
      </c>
      <c r="M172">
        <v>16615</v>
      </c>
      <c r="N172">
        <f t="shared" si="11"/>
        <v>217557</v>
      </c>
      <c r="O172">
        <f t="shared" si="12"/>
        <v>217557</v>
      </c>
      <c r="P172">
        <f>I172*IFERROR(_xlfn.XLOOKUP(F172,Lookup_Tables!Product,Cost),0)</f>
        <v>252414</v>
      </c>
      <c r="Q172">
        <f t="shared" si="13"/>
        <v>-34857</v>
      </c>
      <c r="R172" s="2">
        <f t="shared" si="14"/>
        <v>-0.16022008025482976</v>
      </c>
    </row>
    <row r="173" spans="1:18" x14ac:dyDescent="0.3">
      <c r="A173" t="s">
        <v>230</v>
      </c>
      <c r="B173" s="1">
        <v>45456</v>
      </c>
      <c r="C173" t="s">
        <v>3</v>
      </c>
      <c r="D173" t="s">
        <v>49</v>
      </c>
      <c r="E173" t="s">
        <v>26</v>
      </c>
      <c r="F173" t="s">
        <v>58</v>
      </c>
      <c r="G173" t="str">
        <f>INDEX(Lookup_Tables!$B$1:$B$7,MATCH(Cleaned_Data!F173,Lookup_Tables!$A$1:$A$7,0))</f>
        <v>Electronics</v>
      </c>
      <c r="H173" t="s">
        <v>54</v>
      </c>
      <c r="I173">
        <v>5</v>
      </c>
      <c r="J173">
        <v>32908</v>
      </c>
      <c r="K173">
        <v>0.1</v>
      </c>
      <c r="L173">
        <f t="shared" si="10"/>
        <v>0.1</v>
      </c>
      <c r="M173">
        <v>20246</v>
      </c>
      <c r="N173">
        <f t="shared" si="11"/>
        <v>164540</v>
      </c>
      <c r="O173">
        <f t="shared" si="12"/>
        <v>148086</v>
      </c>
      <c r="P173">
        <f>I173*IFERROR(_xlfn.XLOOKUP(F173,Lookup_Tables!Product,Cost),0)</f>
        <v>14440</v>
      </c>
      <c r="Q173">
        <f t="shared" si="13"/>
        <v>133646</v>
      </c>
      <c r="R173" s="2">
        <f t="shared" si="14"/>
        <v>0.90248909417500645</v>
      </c>
    </row>
    <row r="174" spans="1:18" x14ac:dyDescent="0.3">
      <c r="A174" t="s">
        <v>231</v>
      </c>
      <c r="B174" s="1">
        <v>45439</v>
      </c>
      <c r="C174" t="s">
        <v>3</v>
      </c>
      <c r="D174" t="s">
        <v>76</v>
      </c>
      <c r="E174" t="s">
        <v>29</v>
      </c>
      <c r="F174" t="s">
        <v>61</v>
      </c>
      <c r="G174" t="str">
        <f>INDEX(Lookup_Tables!$B$1:$B$7,MATCH(Cleaned_Data!F174,Lookup_Tables!$A$1:$A$7,0))</f>
        <v>Electronics</v>
      </c>
      <c r="H174" t="s">
        <v>54</v>
      </c>
      <c r="I174">
        <v>1</v>
      </c>
      <c r="J174">
        <v>23106</v>
      </c>
      <c r="K174">
        <v>0.05</v>
      </c>
      <c r="L174">
        <f t="shared" si="10"/>
        <v>0.05</v>
      </c>
      <c r="N174">
        <f t="shared" si="11"/>
        <v>23106</v>
      </c>
      <c r="O174">
        <f t="shared" si="12"/>
        <v>21950.7</v>
      </c>
      <c r="P174">
        <f>I174*IFERROR(_xlfn.XLOOKUP(F174,Lookup_Tables!Product,Cost),0)</f>
        <v>7384</v>
      </c>
      <c r="Q174">
        <f t="shared" si="13"/>
        <v>14566.7</v>
      </c>
      <c r="R174" s="2">
        <f t="shared" si="14"/>
        <v>0.66360981654343598</v>
      </c>
    </row>
    <row r="175" spans="1:18" x14ac:dyDescent="0.3">
      <c r="A175" t="s">
        <v>232</v>
      </c>
      <c r="B175" s="1">
        <v>45333</v>
      </c>
      <c r="C175" t="s">
        <v>6</v>
      </c>
      <c r="D175" t="s">
        <v>56</v>
      </c>
      <c r="E175" t="s">
        <v>25</v>
      </c>
      <c r="F175" t="s">
        <v>58</v>
      </c>
      <c r="G175" t="str">
        <f>INDEX(Lookup_Tables!$B$1:$B$7,MATCH(Cleaned_Data!F175,Lookup_Tables!$A$1:$A$7,0))</f>
        <v>Electronics</v>
      </c>
      <c r="H175" t="s">
        <v>54</v>
      </c>
      <c r="I175">
        <v>10</v>
      </c>
      <c r="J175">
        <v>2016</v>
      </c>
      <c r="K175">
        <v>0</v>
      </c>
      <c r="L175">
        <f t="shared" si="10"/>
        <v>0</v>
      </c>
      <c r="N175">
        <f t="shared" si="11"/>
        <v>20160</v>
      </c>
      <c r="O175">
        <f t="shared" si="12"/>
        <v>20160</v>
      </c>
      <c r="P175">
        <f>I175*IFERROR(_xlfn.XLOOKUP(F175,Lookup_Tables!Product,Cost),0)</f>
        <v>28880</v>
      </c>
      <c r="Q175">
        <f t="shared" si="13"/>
        <v>-8720</v>
      </c>
      <c r="R175" s="2">
        <f t="shared" si="14"/>
        <v>-0.43253968253968256</v>
      </c>
    </row>
    <row r="176" spans="1:18" x14ac:dyDescent="0.3">
      <c r="A176" t="s">
        <v>233</v>
      </c>
      <c r="B176" s="1">
        <v>45360</v>
      </c>
      <c r="C176" t="s">
        <v>3</v>
      </c>
      <c r="D176" t="s">
        <v>64</v>
      </c>
      <c r="E176" t="s">
        <v>26</v>
      </c>
      <c r="F176" t="s">
        <v>23</v>
      </c>
      <c r="G176" t="str">
        <f>INDEX(Lookup_Tables!$B$1:$B$7,MATCH(Cleaned_Data!F176,Lookup_Tables!$A$1:$A$7,0))</f>
        <v>Electronics</v>
      </c>
      <c r="H176" t="s">
        <v>54</v>
      </c>
      <c r="I176">
        <v>1</v>
      </c>
      <c r="J176">
        <v>33858</v>
      </c>
      <c r="L176">
        <f t="shared" si="10"/>
        <v>0</v>
      </c>
      <c r="N176">
        <f t="shared" si="11"/>
        <v>33858</v>
      </c>
      <c r="O176">
        <f t="shared" si="12"/>
        <v>33858</v>
      </c>
      <c r="P176">
        <f>I176*IFERROR(_xlfn.XLOOKUP(F176,Lookup_Tables!Product,Cost),0)</f>
        <v>19265</v>
      </c>
      <c r="Q176">
        <f t="shared" si="13"/>
        <v>14593</v>
      </c>
      <c r="R176" s="2">
        <f t="shared" si="14"/>
        <v>0.43100596609368541</v>
      </c>
    </row>
    <row r="177" spans="1:18" x14ac:dyDescent="0.3">
      <c r="A177" t="s">
        <v>234</v>
      </c>
      <c r="B177" s="1">
        <v>45451</v>
      </c>
      <c r="C177" t="s">
        <v>4</v>
      </c>
      <c r="D177" t="s">
        <v>69</v>
      </c>
      <c r="E177" t="s">
        <v>26</v>
      </c>
      <c r="F177" t="s">
        <v>24</v>
      </c>
      <c r="G177" t="str">
        <f>INDEX(Lookup_Tables!$B$1:$B$7,MATCH(Cleaned_Data!F177,Lookup_Tables!$A$1:$A$7,0))</f>
        <v>Electronics</v>
      </c>
      <c r="H177" t="s">
        <v>54</v>
      </c>
      <c r="I177">
        <v>8</v>
      </c>
      <c r="J177">
        <v>35730</v>
      </c>
      <c r="K177">
        <v>0.1</v>
      </c>
      <c r="L177">
        <f t="shared" si="10"/>
        <v>0.1</v>
      </c>
      <c r="N177">
        <f t="shared" si="11"/>
        <v>285840</v>
      </c>
      <c r="O177">
        <f t="shared" si="12"/>
        <v>257256</v>
      </c>
      <c r="P177">
        <f>I177*IFERROR(_xlfn.XLOOKUP(F177,Lookup_Tables!Product,Cost),0)</f>
        <v>224368</v>
      </c>
      <c r="Q177">
        <f t="shared" si="13"/>
        <v>32888</v>
      </c>
      <c r="R177" s="2">
        <f t="shared" si="14"/>
        <v>0.12784152750567529</v>
      </c>
    </row>
    <row r="178" spans="1:18" x14ac:dyDescent="0.3">
      <c r="A178" t="s">
        <v>235</v>
      </c>
      <c r="B178" s="1">
        <v>45297</v>
      </c>
      <c r="C178" t="s">
        <v>5</v>
      </c>
      <c r="D178" t="s">
        <v>53</v>
      </c>
      <c r="E178" t="s">
        <v>25</v>
      </c>
      <c r="F178" t="s">
        <v>24</v>
      </c>
      <c r="G178" t="str">
        <f>INDEX(Lookup_Tables!$B$1:$B$7,MATCH(Cleaned_Data!F178,Lookup_Tables!$A$1:$A$7,0))</f>
        <v>Electronics</v>
      </c>
      <c r="H178" t="s">
        <v>54</v>
      </c>
      <c r="I178">
        <v>6</v>
      </c>
      <c r="J178">
        <v>25111</v>
      </c>
      <c r="L178">
        <f t="shared" si="10"/>
        <v>0</v>
      </c>
      <c r="M178">
        <v>12408</v>
      </c>
      <c r="N178">
        <f t="shared" si="11"/>
        <v>150666</v>
      </c>
      <c r="O178">
        <f t="shared" si="12"/>
        <v>150666</v>
      </c>
      <c r="P178">
        <f>I178*IFERROR(_xlfn.XLOOKUP(F178,Lookup_Tables!Product,Cost),0)</f>
        <v>168276</v>
      </c>
      <c r="Q178">
        <f t="shared" si="13"/>
        <v>-17610</v>
      </c>
      <c r="R178" s="2">
        <f t="shared" si="14"/>
        <v>-0.11688104814623074</v>
      </c>
    </row>
    <row r="179" spans="1:18" x14ac:dyDescent="0.3">
      <c r="A179" t="s">
        <v>236</v>
      </c>
      <c r="B179" s="1">
        <v>45490</v>
      </c>
      <c r="C179" t="s">
        <v>6</v>
      </c>
      <c r="D179" t="s">
        <v>56</v>
      </c>
      <c r="E179" t="s">
        <v>29</v>
      </c>
      <c r="F179" t="s">
        <v>24</v>
      </c>
      <c r="G179" t="str">
        <f>INDEX(Lookup_Tables!$B$1:$B$7,MATCH(Cleaned_Data!F179,Lookup_Tables!$A$1:$A$7,0))</f>
        <v>Electronics</v>
      </c>
      <c r="H179" t="s">
        <v>54</v>
      </c>
      <c r="I179">
        <v>1</v>
      </c>
      <c r="J179">
        <v>20949</v>
      </c>
      <c r="L179">
        <f t="shared" si="10"/>
        <v>0</v>
      </c>
      <c r="N179">
        <f t="shared" si="11"/>
        <v>20949</v>
      </c>
      <c r="O179">
        <f t="shared" si="12"/>
        <v>20949</v>
      </c>
      <c r="P179">
        <f>I179*IFERROR(_xlfn.XLOOKUP(F179,Lookup_Tables!Product,Cost),0)</f>
        <v>28046</v>
      </c>
      <c r="Q179">
        <f t="shared" si="13"/>
        <v>-7097</v>
      </c>
      <c r="R179" s="2">
        <f t="shared" si="14"/>
        <v>-0.33877512053081293</v>
      </c>
    </row>
    <row r="180" spans="1:18" x14ac:dyDescent="0.3">
      <c r="A180" t="s">
        <v>237</v>
      </c>
      <c r="B180" s="1">
        <v>45320</v>
      </c>
      <c r="C180" t="s">
        <v>4</v>
      </c>
      <c r="D180" t="s">
        <v>69</v>
      </c>
      <c r="E180" t="s">
        <v>29</v>
      </c>
      <c r="F180" t="s">
        <v>58</v>
      </c>
      <c r="G180" t="str">
        <f>INDEX(Lookup_Tables!$B$1:$B$7,MATCH(Cleaned_Data!F180,Lookup_Tables!$A$1:$A$7,0))</f>
        <v>Electronics</v>
      </c>
      <c r="H180" t="s">
        <v>54</v>
      </c>
      <c r="I180">
        <v>9</v>
      </c>
      <c r="J180">
        <v>28377</v>
      </c>
      <c r="K180">
        <v>0</v>
      </c>
      <c r="L180">
        <f t="shared" si="10"/>
        <v>0</v>
      </c>
      <c r="M180">
        <v>21120</v>
      </c>
      <c r="N180">
        <f t="shared" si="11"/>
        <v>255393</v>
      </c>
      <c r="O180">
        <f t="shared" si="12"/>
        <v>255393</v>
      </c>
      <c r="P180">
        <f>I180*IFERROR(_xlfn.XLOOKUP(F180,Lookup_Tables!Product,Cost),0)</f>
        <v>25992</v>
      </c>
      <c r="Q180">
        <f t="shared" si="13"/>
        <v>229401</v>
      </c>
      <c r="R180" s="2">
        <f t="shared" si="14"/>
        <v>0.89822743771364133</v>
      </c>
    </row>
    <row r="181" spans="1:18" x14ac:dyDescent="0.3">
      <c r="A181" t="s">
        <v>238</v>
      </c>
      <c r="B181" s="1">
        <v>45354</v>
      </c>
      <c r="C181" t="s">
        <v>4</v>
      </c>
      <c r="D181" t="s">
        <v>69</v>
      </c>
      <c r="E181" t="s">
        <v>25</v>
      </c>
      <c r="F181" t="s">
        <v>61</v>
      </c>
      <c r="G181" t="str">
        <f>INDEX(Lookup_Tables!$B$1:$B$7,MATCH(Cleaned_Data!F181,Lookup_Tables!$A$1:$A$7,0))</f>
        <v>Electronics</v>
      </c>
      <c r="H181" t="s">
        <v>54</v>
      </c>
      <c r="I181">
        <v>7</v>
      </c>
      <c r="J181">
        <v>36022</v>
      </c>
      <c r="K181">
        <v>0.1</v>
      </c>
      <c r="L181">
        <f t="shared" si="10"/>
        <v>0.1</v>
      </c>
      <c r="N181">
        <f t="shared" si="11"/>
        <v>252154</v>
      </c>
      <c r="O181">
        <f t="shared" si="12"/>
        <v>226938.6</v>
      </c>
      <c r="P181">
        <f>I181*IFERROR(_xlfn.XLOOKUP(F181,Lookup_Tables!Product,Cost),0)</f>
        <v>51688</v>
      </c>
      <c r="Q181">
        <f t="shared" si="13"/>
        <v>175250.6</v>
      </c>
      <c r="R181" s="2">
        <f t="shared" si="14"/>
        <v>0.7722379533494963</v>
      </c>
    </row>
    <row r="182" spans="1:18" x14ac:dyDescent="0.3">
      <c r="A182" t="s">
        <v>239</v>
      </c>
      <c r="B182" s="1">
        <v>45623</v>
      </c>
      <c r="C182" t="s">
        <v>5</v>
      </c>
      <c r="D182" t="s">
        <v>76</v>
      </c>
      <c r="E182" t="s">
        <v>28</v>
      </c>
      <c r="F182" t="s">
        <v>61</v>
      </c>
      <c r="G182" t="str">
        <f>INDEX(Lookup_Tables!$B$1:$B$7,MATCH(Cleaned_Data!F182,Lookup_Tables!$A$1:$A$7,0))</f>
        <v>Electronics</v>
      </c>
      <c r="H182" t="s">
        <v>54</v>
      </c>
      <c r="I182">
        <v>9</v>
      </c>
      <c r="J182">
        <v>41825</v>
      </c>
      <c r="K182">
        <v>0</v>
      </c>
      <c r="L182">
        <f t="shared" si="10"/>
        <v>0</v>
      </c>
      <c r="M182">
        <v>7661</v>
      </c>
      <c r="N182">
        <f t="shared" si="11"/>
        <v>376425</v>
      </c>
      <c r="O182">
        <f t="shared" si="12"/>
        <v>376425</v>
      </c>
      <c r="P182">
        <f>I182*IFERROR(_xlfn.XLOOKUP(F182,Lookup_Tables!Product,Cost),0)</f>
        <v>66456</v>
      </c>
      <c r="Q182">
        <f t="shared" si="13"/>
        <v>309969</v>
      </c>
      <c r="R182" s="2">
        <f t="shared" si="14"/>
        <v>0.82345487148834429</v>
      </c>
    </row>
    <row r="183" spans="1:18" x14ac:dyDescent="0.3">
      <c r="A183" t="s">
        <v>240</v>
      </c>
      <c r="B183" s="1">
        <v>45348</v>
      </c>
      <c r="C183" t="s">
        <v>6</v>
      </c>
      <c r="D183" t="s">
        <v>49</v>
      </c>
      <c r="E183" t="s">
        <v>29</v>
      </c>
      <c r="F183" t="s">
        <v>58</v>
      </c>
      <c r="G183" t="str">
        <f>INDEX(Lookup_Tables!$B$1:$B$7,MATCH(Cleaned_Data!F183,Lookup_Tables!$A$1:$A$7,0))</f>
        <v>Electronics</v>
      </c>
      <c r="H183" t="s">
        <v>54</v>
      </c>
      <c r="I183">
        <v>7</v>
      </c>
      <c r="J183">
        <v>49766</v>
      </c>
      <c r="K183">
        <v>0</v>
      </c>
      <c r="L183">
        <f t="shared" si="10"/>
        <v>0</v>
      </c>
      <c r="N183">
        <f t="shared" si="11"/>
        <v>348362</v>
      </c>
      <c r="O183">
        <f t="shared" si="12"/>
        <v>348362</v>
      </c>
      <c r="P183">
        <f>I183*IFERROR(_xlfn.XLOOKUP(F183,Lookup_Tables!Product,Cost),0)</f>
        <v>20216</v>
      </c>
      <c r="Q183">
        <f t="shared" si="13"/>
        <v>328146</v>
      </c>
      <c r="R183" s="2">
        <f t="shared" si="14"/>
        <v>0.94196841216895066</v>
      </c>
    </row>
    <row r="184" spans="1:18" x14ac:dyDescent="0.3">
      <c r="A184" t="s">
        <v>241</v>
      </c>
      <c r="B184" s="1">
        <v>45648</v>
      </c>
      <c r="C184" t="s">
        <v>4</v>
      </c>
      <c r="D184" t="s">
        <v>53</v>
      </c>
      <c r="E184" t="s">
        <v>28</v>
      </c>
      <c r="F184" t="s">
        <v>22</v>
      </c>
      <c r="G184" t="str">
        <f>INDEX(Lookup_Tables!$B$1:$B$7,MATCH(Cleaned_Data!F184,Lookup_Tables!$A$1:$A$7,0))</f>
        <v>Furniture</v>
      </c>
      <c r="H184" t="s">
        <v>51</v>
      </c>
      <c r="I184">
        <v>8</v>
      </c>
      <c r="J184">
        <v>19560</v>
      </c>
      <c r="L184">
        <f t="shared" si="10"/>
        <v>0</v>
      </c>
      <c r="M184">
        <v>457</v>
      </c>
      <c r="N184">
        <f t="shared" si="11"/>
        <v>156480</v>
      </c>
      <c r="O184">
        <f t="shared" si="12"/>
        <v>156480</v>
      </c>
      <c r="P184">
        <f>I184*IFERROR(_xlfn.XLOOKUP(F184,Lookup_Tables!Product,Cost),0)</f>
        <v>104320</v>
      </c>
      <c r="Q184">
        <f t="shared" si="13"/>
        <v>52160</v>
      </c>
      <c r="R184" s="2">
        <f t="shared" si="14"/>
        <v>0.33333333333333331</v>
      </c>
    </row>
    <row r="185" spans="1:18" x14ac:dyDescent="0.3">
      <c r="A185" t="s">
        <v>242</v>
      </c>
      <c r="B185" s="1">
        <v>45488</v>
      </c>
      <c r="C185" t="s">
        <v>6</v>
      </c>
      <c r="D185" t="s">
        <v>76</v>
      </c>
      <c r="E185" t="s">
        <v>25</v>
      </c>
      <c r="F185" t="s">
        <v>58</v>
      </c>
      <c r="G185" t="str">
        <f>INDEX(Lookup_Tables!$B$1:$B$7,MATCH(Cleaned_Data!F185,Lookup_Tables!$A$1:$A$7,0))</f>
        <v>Electronics</v>
      </c>
      <c r="H185" t="s">
        <v>54</v>
      </c>
      <c r="I185">
        <v>4</v>
      </c>
      <c r="J185">
        <v>7792</v>
      </c>
      <c r="L185">
        <f t="shared" si="10"/>
        <v>0</v>
      </c>
      <c r="N185">
        <f t="shared" si="11"/>
        <v>31168</v>
      </c>
      <c r="O185">
        <f t="shared" si="12"/>
        <v>31168</v>
      </c>
      <c r="P185">
        <f>I185*IFERROR(_xlfn.XLOOKUP(F185,Lookup_Tables!Product,Cost),0)</f>
        <v>11552</v>
      </c>
      <c r="Q185">
        <f t="shared" si="13"/>
        <v>19616</v>
      </c>
      <c r="R185" s="2">
        <f t="shared" si="14"/>
        <v>0.62936344969199176</v>
      </c>
    </row>
    <row r="186" spans="1:18" x14ac:dyDescent="0.3">
      <c r="A186" t="s">
        <v>243</v>
      </c>
      <c r="B186" s="1">
        <v>45500</v>
      </c>
      <c r="C186" t="s">
        <v>3</v>
      </c>
      <c r="D186" t="s">
        <v>69</v>
      </c>
      <c r="E186" t="s">
        <v>28</v>
      </c>
      <c r="F186" t="s">
        <v>22</v>
      </c>
      <c r="G186" t="str">
        <f>INDEX(Lookup_Tables!$B$1:$B$7,MATCH(Cleaned_Data!F186,Lookup_Tables!$A$1:$A$7,0))</f>
        <v>Furniture</v>
      </c>
      <c r="H186" t="s">
        <v>51</v>
      </c>
      <c r="I186">
        <v>8</v>
      </c>
      <c r="J186">
        <v>45866</v>
      </c>
      <c r="K186">
        <v>0</v>
      </c>
      <c r="L186">
        <f t="shared" si="10"/>
        <v>0</v>
      </c>
      <c r="N186">
        <f t="shared" si="11"/>
        <v>366928</v>
      </c>
      <c r="O186">
        <f t="shared" si="12"/>
        <v>366928</v>
      </c>
      <c r="P186">
        <f>I186*IFERROR(_xlfn.XLOOKUP(F186,Lookup_Tables!Product,Cost),0)</f>
        <v>104320</v>
      </c>
      <c r="Q186">
        <f t="shared" si="13"/>
        <v>262608</v>
      </c>
      <c r="R186" s="2">
        <f t="shared" si="14"/>
        <v>0.71569354205729729</v>
      </c>
    </row>
    <row r="187" spans="1:18" x14ac:dyDescent="0.3">
      <c r="A187" t="s">
        <v>244</v>
      </c>
      <c r="B187" s="1">
        <v>45433</v>
      </c>
      <c r="C187" t="s">
        <v>6</v>
      </c>
      <c r="D187" t="s">
        <v>64</v>
      </c>
      <c r="E187" t="s">
        <v>27</v>
      </c>
      <c r="F187" t="s">
        <v>22</v>
      </c>
      <c r="G187" t="str">
        <f>INDEX(Lookup_Tables!$B$1:$B$7,MATCH(Cleaned_Data!F187,Lookup_Tables!$A$1:$A$7,0))</f>
        <v>Furniture</v>
      </c>
      <c r="H187" t="s">
        <v>51</v>
      </c>
      <c r="I187">
        <v>3</v>
      </c>
      <c r="J187">
        <v>24283</v>
      </c>
      <c r="K187">
        <v>0.1</v>
      </c>
      <c r="L187">
        <f t="shared" si="10"/>
        <v>0.1</v>
      </c>
      <c r="M187">
        <v>14736</v>
      </c>
      <c r="N187">
        <f t="shared" si="11"/>
        <v>72849</v>
      </c>
      <c r="O187">
        <f t="shared" si="12"/>
        <v>65564.100000000006</v>
      </c>
      <c r="P187">
        <f>I187*IFERROR(_xlfn.XLOOKUP(F187,Lookup_Tables!Product,Cost),0)</f>
        <v>39120</v>
      </c>
      <c r="Q187">
        <f t="shared" si="13"/>
        <v>26444.100000000006</v>
      </c>
      <c r="R187" s="2">
        <f t="shared" si="14"/>
        <v>0.40333200638764205</v>
      </c>
    </row>
    <row r="188" spans="1:18" x14ac:dyDescent="0.3">
      <c r="A188" t="s">
        <v>245</v>
      </c>
      <c r="B188" s="1">
        <v>45655</v>
      </c>
      <c r="C188" t="s">
        <v>6</v>
      </c>
      <c r="D188" t="s">
        <v>53</v>
      </c>
      <c r="E188" t="s">
        <v>29</v>
      </c>
      <c r="F188" t="s">
        <v>23</v>
      </c>
      <c r="G188" t="str">
        <f>INDEX(Lookup_Tables!$B$1:$B$7,MATCH(Cleaned_Data!F188,Lookup_Tables!$A$1:$A$7,0))</f>
        <v>Electronics</v>
      </c>
      <c r="H188" t="s">
        <v>54</v>
      </c>
      <c r="I188">
        <v>10</v>
      </c>
      <c r="J188">
        <v>6760</v>
      </c>
      <c r="K188">
        <v>0.1</v>
      </c>
      <c r="L188">
        <f t="shared" si="10"/>
        <v>0.1</v>
      </c>
      <c r="M188">
        <v>9179</v>
      </c>
      <c r="N188">
        <f t="shared" si="11"/>
        <v>67600</v>
      </c>
      <c r="O188">
        <f t="shared" si="12"/>
        <v>60840</v>
      </c>
      <c r="P188">
        <f>I188*IFERROR(_xlfn.XLOOKUP(F188,Lookup_Tables!Product,Cost),0)</f>
        <v>192650</v>
      </c>
      <c r="Q188">
        <f t="shared" si="13"/>
        <v>-131810</v>
      </c>
      <c r="R188" s="2">
        <f t="shared" si="14"/>
        <v>-2.1665023011176858</v>
      </c>
    </row>
    <row r="189" spans="1:18" x14ac:dyDescent="0.3">
      <c r="A189" t="s">
        <v>246</v>
      </c>
      <c r="B189" s="1">
        <v>45567</v>
      </c>
      <c r="C189" t="s">
        <v>6</v>
      </c>
      <c r="D189" t="s">
        <v>76</v>
      </c>
      <c r="E189" t="s">
        <v>29</v>
      </c>
      <c r="F189" t="s">
        <v>24</v>
      </c>
      <c r="G189" t="str">
        <f>INDEX(Lookup_Tables!$B$1:$B$7,MATCH(Cleaned_Data!F189,Lookup_Tables!$A$1:$A$7,0))</f>
        <v>Electronics</v>
      </c>
      <c r="H189" t="s">
        <v>54</v>
      </c>
      <c r="I189">
        <v>1</v>
      </c>
      <c r="J189">
        <v>48528</v>
      </c>
      <c r="K189">
        <v>0</v>
      </c>
      <c r="L189">
        <f t="shared" si="10"/>
        <v>0</v>
      </c>
      <c r="N189">
        <f t="shared" si="11"/>
        <v>48528</v>
      </c>
      <c r="O189">
        <f t="shared" si="12"/>
        <v>48528</v>
      </c>
      <c r="P189">
        <f>I189*IFERROR(_xlfn.XLOOKUP(F189,Lookup_Tables!Product,Cost),0)</f>
        <v>28046</v>
      </c>
      <c r="Q189">
        <f t="shared" si="13"/>
        <v>20482</v>
      </c>
      <c r="R189" s="2">
        <f t="shared" si="14"/>
        <v>0.42206561160567097</v>
      </c>
    </row>
    <row r="190" spans="1:18" x14ac:dyDescent="0.3">
      <c r="A190" t="s">
        <v>247</v>
      </c>
      <c r="B190" s="1">
        <v>45428</v>
      </c>
      <c r="C190" t="s">
        <v>3</v>
      </c>
      <c r="D190" t="s">
        <v>76</v>
      </c>
      <c r="E190" t="s">
        <v>28</v>
      </c>
      <c r="F190" t="s">
        <v>58</v>
      </c>
      <c r="G190" t="str">
        <f>INDEX(Lookup_Tables!$B$1:$B$7,MATCH(Cleaned_Data!F190,Lookup_Tables!$A$1:$A$7,0))</f>
        <v>Electronics</v>
      </c>
      <c r="H190" t="s">
        <v>54</v>
      </c>
      <c r="I190">
        <v>3</v>
      </c>
      <c r="J190">
        <v>31539</v>
      </c>
      <c r="K190">
        <v>0</v>
      </c>
      <c r="L190">
        <f t="shared" si="10"/>
        <v>0</v>
      </c>
      <c r="N190">
        <f t="shared" si="11"/>
        <v>94617</v>
      </c>
      <c r="O190">
        <f t="shared" si="12"/>
        <v>94617</v>
      </c>
      <c r="P190">
        <f>I190*IFERROR(_xlfn.XLOOKUP(F190,Lookup_Tables!Product,Cost),0)</f>
        <v>8664</v>
      </c>
      <c r="Q190">
        <f t="shared" si="13"/>
        <v>85953</v>
      </c>
      <c r="R190" s="2">
        <f t="shared" si="14"/>
        <v>0.90843083166872762</v>
      </c>
    </row>
    <row r="191" spans="1:18" x14ac:dyDescent="0.3">
      <c r="A191" t="s">
        <v>248</v>
      </c>
      <c r="B191" s="1">
        <v>45513</v>
      </c>
      <c r="C191" t="s">
        <v>5</v>
      </c>
      <c r="D191" t="s">
        <v>56</v>
      </c>
      <c r="E191" t="s">
        <v>26</v>
      </c>
      <c r="F191" t="s">
        <v>58</v>
      </c>
      <c r="G191" t="str">
        <f>INDEX(Lookup_Tables!$B$1:$B$7,MATCH(Cleaned_Data!F191,Lookup_Tables!$A$1:$A$7,0))</f>
        <v>Electronics</v>
      </c>
      <c r="H191" t="s">
        <v>54</v>
      </c>
      <c r="I191">
        <v>8</v>
      </c>
      <c r="J191">
        <v>26035</v>
      </c>
      <c r="K191">
        <v>0.05</v>
      </c>
      <c r="L191">
        <f t="shared" si="10"/>
        <v>0.05</v>
      </c>
      <c r="N191">
        <f t="shared" si="11"/>
        <v>208280</v>
      </c>
      <c r="O191">
        <f t="shared" si="12"/>
        <v>197866</v>
      </c>
      <c r="P191">
        <f>I191*IFERROR(_xlfn.XLOOKUP(F191,Lookup_Tables!Product,Cost),0)</f>
        <v>23104</v>
      </c>
      <c r="Q191">
        <f t="shared" si="13"/>
        <v>174762</v>
      </c>
      <c r="R191" s="2">
        <f t="shared" si="14"/>
        <v>0.88323410793163049</v>
      </c>
    </row>
    <row r="192" spans="1:18" x14ac:dyDescent="0.3">
      <c r="A192" t="s">
        <v>249</v>
      </c>
      <c r="B192" s="1">
        <v>45350</v>
      </c>
      <c r="C192" t="s">
        <v>4</v>
      </c>
      <c r="D192" t="s">
        <v>69</v>
      </c>
      <c r="E192" t="s">
        <v>26</v>
      </c>
      <c r="F192" t="s">
        <v>24</v>
      </c>
      <c r="G192" t="str">
        <f>INDEX(Lookup_Tables!$B$1:$B$7,MATCH(Cleaned_Data!F192,Lookup_Tables!$A$1:$A$7,0))</f>
        <v>Electronics</v>
      </c>
      <c r="H192" t="s">
        <v>54</v>
      </c>
      <c r="I192">
        <v>4</v>
      </c>
      <c r="J192">
        <v>3582</v>
      </c>
      <c r="K192">
        <v>0.1</v>
      </c>
      <c r="L192">
        <f t="shared" si="10"/>
        <v>0.1</v>
      </c>
      <c r="N192">
        <f t="shared" si="11"/>
        <v>14328</v>
      </c>
      <c r="O192">
        <f t="shared" si="12"/>
        <v>12895.2</v>
      </c>
      <c r="P192">
        <f>I192*IFERROR(_xlfn.XLOOKUP(F192,Lookup_Tables!Product,Cost),0)</f>
        <v>112184</v>
      </c>
      <c r="Q192">
        <f t="shared" si="13"/>
        <v>-99288.8</v>
      </c>
      <c r="R192" s="2">
        <f t="shared" si="14"/>
        <v>-7.6996711954835906</v>
      </c>
    </row>
    <row r="193" spans="1:18" x14ac:dyDescent="0.3">
      <c r="A193" t="s">
        <v>250</v>
      </c>
      <c r="B193" s="1">
        <v>45369</v>
      </c>
      <c r="C193" t="s">
        <v>3</v>
      </c>
      <c r="D193" t="s">
        <v>53</v>
      </c>
      <c r="E193" t="s">
        <v>27</v>
      </c>
      <c r="F193" t="s">
        <v>58</v>
      </c>
      <c r="G193" t="str">
        <f>INDEX(Lookup_Tables!$B$1:$B$7,MATCH(Cleaned_Data!F193,Lookup_Tables!$A$1:$A$7,0))</f>
        <v>Electronics</v>
      </c>
      <c r="H193" t="s">
        <v>54</v>
      </c>
      <c r="I193">
        <v>10</v>
      </c>
      <c r="J193">
        <v>47543</v>
      </c>
      <c r="K193">
        <v>0.1</v>
      </c>
      <c r="L193">
        <f t="shared" si="10"/>
        <v>0.1</v>
      </c>
      <c r="M193">
        <v>6081</v>
      </c>
      <c r="N193">
        <f t="shared" si="11"/>
        <v>475430</v>
      </c>
      <c r="O193">
        <f t="shared" si="12"/>
        <v>427887</v>
      </c>
      <c r="P193">
        <f>I193*IFERROR(_xlfn.XLOOKUP(F193,Lookup_Tables!Product,Cost),0)</f>
        <v>28880</v>
      </c>
      <c r="Q193">
        <f t="shared" si="13"/>
        <v>399007</v>
      </c>
      <c r="R193" s="2">
        <f t="shared" si="14"/>
        <v>0.93250554468820035</v>
      </c>
    </row>
    <row r="194" spans="1:18" x14ac:dyDescent="0.3">
      <c r="A194" t="s">
        <v>251</v>
      </c>
      <c r="B194" s="1">
        <v>45348</v>
      </c>
      <c r="C194" t="s">
        <v>4</v>
      </c>
      <c r="D194" t="s">
        <v>49</v>
      </c>
      <c r="E194" t="s">
        <v>27</v>
      </c>
      <c r="F194" t="s">
        <v>50</v>
      </c>
      <c r="G194" t="str">
        <f>INDEX(Lookup_Tables!$B$1:$B$7,MATCH(Cleaned_Data!F194,Lookup_Tables!$A$1:$A$7,0))</f>
        <v>Furniture</v>
      </c>
      <c r="H194" t="s">
        <v>51</v>
      </c>
      <c r="I194">
        <v>1</v>
      </c>
      <c r="J194">
        <v>47193</v>
      </c>
      <c r="K194">
        <v>0.05</v>
      </c>
      <c r="L194">
        <f t="shared" si="10"/>
        <v>0.05</v>
      </c>
      <c r="M194">
        <v>23111</v>
      </c>
      <c r="N194">
        <f t="shared" si="11"/>
        <v>47193</v>
      </c>
      <c r="O194">
        <f t="shared" si="12"/>
        <v>44833.35</v>
      </c>
      <c r="P194">
        <f>I194*IFERROR(_xlfn.XLOOKUP(F194,Lookup_Tables!Product,Cost),0)</f>
        <v>13271</v>
      </c>
      <c r="Q194">
        <f t="shared" si="13"/>
        <v>31562.35</v>
      </c>
      <c r="R194" s="2">
        <f t="shared" si="14"/>
        <v>0.70399267509565977</v>
      </c>
    </row>
    <row r="195" spans="1:18" x14ac:dyDescent="0.3">
      <c r="A195" t="s">
        <v>252</v>
      </c>
      <c r="B195" s="1">
        <v>45568</v>
      </c>
      <c r="C195" t="s">
        <v>3</v>
      </c>
      <c r="D195" t="s">
        <v>76</v>
      </c>
      <c r="E195" t="s">
        <v>26</v>
      </c>
      <c r="F195" t="s">
        <v>24</v>
      </c>
      <c r="G195" t="str">
        <f>INDEX(Lookup_Tables!$B$1:$B$7,MATCH(Cleaned_Data!F195,Lookup_Tables!$A$1:$A$7,0))</f>
        <v>Electronics</v>
      </c>
      <c r="H195" t="s">
        <v>54</v>
      </c>
      <c r="I195">
        <v>7</v>
      </c>
      <c r="J195">
        <v>21477</v>
      </c>
      <c r="K195">
        <v>0</v>
      </c>
      <c r="L195">
        <f t="shared" ref="L195:L258" si="15">IF(ISBLANK(K195),0,K195)</f>
        <v>0</v>
      </c>
      <c r="N195">
        <f t="shared" ref="N195:N258" si="16">I195*J195</f>
        <v>150339</v>
      </c>
      <c r="O195">
        <f t="shared" ref="O195:O258" si="17">N195-(N195*L195)</f>
        <v>150339</v>
      </c>
      <c r="P195">
        <f>I195*IFERROR(_xlfn.XLOOKUP(F195,Lookup_Tables!Product,Cost),0)</f>
        <v>196322</v>
      </c>
      <c r="Q195">
        <f t="shared" ref="Q195:Q258" si="18">O195-P195</f>
        <v>-45983</v>
      </c>
      <c r="R195" s="2">
        <f t="shared" ref="R195:R258" si="19">Q195/O195</f>
        <v>-0.30586208502118545</v>
      </c>
    </row>
    <row r="196" spans="1:18" x14ac:dyDescent="0.3">
      <c r="A196" t="s">
        <v>253</v>
      </c>
      <c r="B196" s="1">
        <v>45376</v>
      </c>
      <c r="C196" t="s">
        <v>5</v>
      </c>
      <c r="D196" t="s">
        <v>64</v>
      </c>
      <c r="E196" t="s">
        <v>28</v>
      </c>
      <c r="F196" t="s">
        <v>24</v>
      </c>
      <c r="G196" t="str">
        <f>INDEX(Lookup_Tables!$B$1:$B$7,MATCH(Cleaned_Data!F196,Lookup_Tables!$A$1:$A$7,0))</f>
        <v>Electronics</v>
      </c>
      <c r="H196" t="s">
        <v>54</v>
      </c>
      <c r="I196">
        <v>7</v>
      </c>
      <c r="J196">
        <v>2621</v>
      </c>
      <c r="K196">
        <v>0</v>
      </c>
      <c r="L196">
        <f t="shared" si="15"/>
        <v>0</v>
      </c>
      <c r="M196">
        <v>3250</v>
      </c>
      <c r="N196">
        <f t="shared" si="16"/>
        <v>18347</v>
      </c>
      <c r="O196">
        <f t="shared" si="17"/>
        <v>18347</v>
      </c>
      <c r="P196">
        <f>I196*IFERROR(_xlfn.XLOOKUP(F196,Lookup_Tables!Product,Cost),0)</f>
        <v>196322</v>
      </c>
      <c r="Q196">
        <f t="shared" si="18"/>
        <v>-177975</v>
      </c>
      <c r="R196" s="2">
        <f t="shared" si="19"/>
        <v>-9.7004959938954602</v>
      </c>
    </row>
    <row r="197" spans="1:18" x14ac:dyDescent="0.3">
      <c r="A197" t="s">
        <v>254</v>
      </c>
      <c r="B197" s="1">
        <v>45372</v>
      </c>
      <c r="C197" t="s">
        <v>3</v>
      </c>
      <c r="D197" t="s">
        <v>56</v>
      </c>
      <c r="E197" t="s">
        <v>28</v>
      </c>
      <c r="F197" t="s">
        <v>50</v>
      </c>
      <c r="G197" t="str">
        <f>INDEX(Lookup_Tables!$B$1:$B$7,MATCH(Cleaned_Data!F197,Lookup_Tables!$A$1:$A$7,0))</f>
        <v>Furniture</v>
      </c>
      <c r="H197" t="s">
        <v>51</v>
      </c>
      <c r="I197">
        <v>9</v>
      </c>
      <c r="J197">
        <v>14328</v>
      </c>
      <c r="K197">
        <v>0.05</v>
      </c>
      <c r="L197">
        <f t="shared" si="15"/>
        <v>0.05</v>
      </c>
      <c r="N197">
        <f t="shared" si="16"/>
        <v>128952</v>
      </c>
      <c r="O197">
        <f t="shared" si="17"/>
        <v>122504.4</v>
      </c>
      <c r="P197">
        <f>I197*IFERROR(_xlfn.XLOOKUP(F197,Lookup_Tables!Product,Cost),0)</f>
        <v>119439</v>
      </c>
      <c r="Q197">
        <f t="shared" si="18"/>
        <v>3065.3999999999942</v>
      </c>
      <c r="R197" s="2">
        <f t="shared" si="19"/>
        <v>2.5022774692174274E-2</v>
      </c>
    </row>
    <row r="198" spans="1:18" x14ac:dyDescent="0.3">
      <c r="A198" t="s">
        <v>255</v>
      </c>
      <c r="B198" s="1">
        <v>45368</v>
      </c>
      <c r="C198" t="s">
        <v>3</v>
      </c>
      <c r="D198" t="s">
        <v>76</v>
      </c>
      <c r="E198" t="s">
        <v>27</v>
      </c>
      <c r="F198" t="s">
        <v>58</v>
      </c>
      <c r="G198" t="str">
        <f>INDEX(Lookup_Tables!$B$1:$B$7,MATCH(Cleaned_Data!F198,Lookup_Tables!$A$1:$A$7,0))</f>
        <v>Electronics</v>
      </c>
      <c r="H198" t="s">
        <v>54</v>
      </c>
      <c r="I198">
        <v>7</v>
      </c>
      <c r="J198">
        <v>17010</v>
      </c>
      <c r="K198">
        <v>0</v>
      </c>
      <c r="L198">
        <f t="shared" si="15"/>
        <v>0</v>
      </c>
      <c r="N198">
        <f t="shared" si="16"/>
        <v>119070</v>
      </c>
      <c r="O198">
        <f t="shared" si="17"/>
        <v>119070</v>
      </c>
      <c r="P198">
        <f>I198*IFERROR(_xlfn.XLOOKUP(F198,Lookup_Tables!Product,Cost),0)</f>
        <v>20216</v>
      </c>
      <c r="Q198">
        <f t="shared" si="18"/>
        <v>98854</v>
      </c>
      <c r="R198" s="2">
        <f t="shared" si="19"/>
        <v>0.83021751910640795</v>
      </c>
    </row>
    <row r="199" spans="1:18" x14ac:dyDescent="0.3">
      <c r="A199" t="s">
        <v>256</v>
      </c>
      <c r="B199" s="1">
        <v>45449</v>
      </c>
      <c r="C199" t="s">
        <v>3</v>
      </c>
      <c r="D199" t="s">
        <v>69</v>
      </c>
      <c r="E199" t="s">
        <v>27</v>
      </c>
      <c r="F199" t="s">
        <v>61</v>
      </c>
      <c r="G199" t="str">
        <f>INDEX(Lookup_Tables!$B$1:$B$7,MATCH(Cleaned_Data!F199,Lookup_Tables!$A$1:$A$7,0))</f>
        <v>Electronics</v>
      </c>
      <c r="H199" t="s">
        <v>54</v>
      </c>
      <c r="I199">
        <v>10</v>
      </c>
      <c r="J199">
        <v>35586</v>
      </c>
      <c r="K199">
        <v>0.05</v>
      </c>
      <c r="L199">
        <f t="shared" si="15"/>
        <v>0.05</v>
      </c>
      <c r="N199">
        <f t="shared" si="16"/>
        <v>355860</v>
      </c>
      <c r="O199">
        <f t="shared" si="17"/>
        <v>338067</v>
      </c>
      <c r="P199">
        <f>I199*IFERROR(_xlfn.XLOOKUP(F199,Lookup_Tables!Product,Cost),0)</f>
        <v>73840</v>
      </c>
      <c r="Q199">
        <f t="shared" si="18"/>
        <v>264227</v>
      </c>
      <c r="R199" s="2">
        <f t="shared" si="19"/>
        <v>0.7815817574622782</v>
      </c>
    </row>
    <row r="200" spans="1:18" x14ac:dyDescent="0.3">
      <c r="A200" t="s">
        <v>257</v>
      </c>
      <c r="B200" s="1">
        <v>45393</v>
      </c>
      <c r="C200" t="s">
        <v>3</v>
      </c>
      <c r="D200" t="s">
        <v>49</v>
      </c>
      <c r="E200" t="s">
        <v>26</v>
      </c>
      <c r="F200" t="s">
        <v>23</v>
      </c>
      <c r="G200" t="str">
        <f>INDEX(Lookup_Tables!$B$1:$B$7,MATCH(Cleaned_Data!F200,Lookup_Tables!$A$1:$A$7,0))</f>
        <v>Electronics</v>
      </c>
      <c r="H200" t="s">
        <v>54</v>
      </c>
      <c r="I200">
        <v>1</v>
      </c>
      <c r="J200">
        <v>34969</v>
      </c>
      <c r="K200">
        <v>0.05</v>
      </c>
      <c r="L200">
        <f t="shared" si="15"/>
        <v>0.05</v>
      </c>
      <c r="M200">
        <v>28594</v>
      </c>
      <c r="N200">
        <f t="shared" si="16"/>
        <v>34969</v>
      </c>
      <c r="O200">
        <f t="shared" si="17"/>
        <v>33220.550000000003</v>
      </c>
      <c r="P200">
        <f>I200*IFERROR(_xlfn.XLOOKUP(F200,Lookup_Tables!Product,Cost),0)</f>
        <v>19265</v>
      </c>
      <c r="Q200">
        <f t="shared" si="18"/>
        <v>13955.550000000003</v>
      </c>
      <c r="R200" s="2">
        <f t="shared" si="19"/>
        <v>0.42008786729900621</v>
      </c>
    </row>
    <row r="201" spans="1:18" x14ac:dyDescent="0.3">
      <c r="A201" t="s">
        <v>258</v>
      </c>
      <c r="B201" s="1">
        <v>45535</v>
      </c>
      <c r="C201" t="s">
        <v>3</v>
      </c>
      <c r="D201" t="s">
        <v>69</v>
      </c>
      <c r="E201" t="s">
        <v>27</v>
      </c>
      <c r="F201" t="s">
        <v>58</v>
      </c>
      <c r="G201" t="str">
        <f>INDEX(Lookup_Tables!$B$1:$B$7,MATCH(Cleaned_Data!F201,Lookup_Tables!$A$1:$A$7,0))</f>
        <v>Electronics</v>
      </c>
      <c r="H201" t="s">
        <v>54</v>
      </c>
      <c r="I201">
        <v>7</v>
      </c>
      <c r="J201">
        <v>24401</v>
      </c>
      <c r="K201">
        <v>0.05</v>
      </c>
      <c r="L201">
        <f t="shared" si="15"/>
        <v>0.05</v>
      </c>
      <c r="N201">
        <f t="shared" si="16"/>
        <v>170807</v>
      </c>
      <c r="O201">
        <f t="shared" si="17"/>
        <v>162266.65</v>
      </c>
      <c r="P201">
        <f>I201*IFERROR(_xlfn.XLOOKUP(F201,Lookup_Tables!Product,Cost),0)</f>
        <v>20216</v>
      </c>
      <c r="Q201">
        <f t="shared" si="18"/>
        <v>142050.65</v>
      </c>
      <c r="R201" s="2">
        <f t="shared" si="19"/>
        <v>0.87541494201057335</v>
      </c>
    </row>
    <row r="202" spans="1:18" x14ac:dyDescent="0.3">
      <c r="A202" t="s">
        <v>259</v>
      </c>
      <c r="B202" s="1">
        <v>45375</v>
      </c>
      <c r="C202" t="s">
        <v>6</v>
      </c>
      <c r="D202" t="s">
        <v>49</v>
      </c>
      <c r="E202" t="s">
        <v>28</v>
      </c>
      <c r="F202" t="s">
        <v>50</v>
      </c>
      <c r="G202" t="str">
        <f>INDEX(Lookup_Tables!$B$1:$B$7,MATCH(Cleaned_Data!F202,Lookup_Tables!$A$1:$A$7,0))</f>
        <v>Furniture</v>
      </c>
      <c r="H202" t="s">
        <v>51</v>
      </c>
      <c r="I202">
        <v>10</v>
      </c>
      <c r="J202">
        <v>26813</v>
      </c>
      <c r="K202">
        <v>0.1</v>
      </c>
      <c r="L202">
        <f t="shared" si="15"/>
        <v>0.1</v>
      </c>
      <c r="M202">
        <v>9915</v>
      </c>
      <c r="N202">
        <f t="shared" si="16"/>
        <v>268130</v>
      </c>
      <c r="O202">
        <f t="shared" si="17"/>
        <v>241317</v>
      </c>
      <c r="P202">
        <f>I202*IFERROR(_xlfn.XLOOKUP(F202,Lookup_Tables!Product,Cost),0)</f>
        <v>132710</v>
      </c>
      <c r="Q202">
        <f t="shared" si="18"/>
        <v>108607</v>
      </c>
      <c r="R202" s="2">
        <f t="shared" si="19"/>
        <v>0.45005946535055552</v>
      </c>
    </row>
    <row r="203" spans="1:18" x14ac:dyDescent="0.3">
      <c r="A203" t="s">
        <v>260</v>
      </c>
      <c r="B203" s="1">
        <v>45372</v>
      </c>
      <c r="C203" t="s">
        <v>6</v>
      </c>
      <c r="D203" t="s">
        <v>76</v>
      </c>
      <c r="E203" t="s">
        <v>26</v>
      </c>
      <c r="F203" t="s">
        <v>24</v>
      </c>
      <c r="G203" t="str">
        <f>INDEX(Lookup_Tables!$B$1:$B$7,MATCH(Cleaned_Data!F203,Lookup_Tables!$A$1:$A$7,0))</f>
        <v>Electronics</v>
      </c>
      <c r="H203" t="s">
        <v>54</v>
      </c>
      <c r="I203">
        <v>9</v>
      </c>
      <c r="J203">
        <v>10100</v>
      </c>
      <c r="K203">
        <v>0</v>
      </c>
      <c r="L203">
        <f t="shared" si="15"/>
        <v>0</v>
      </c>
      <c r="N203">
        <f t="shared" si="16"/>
        <v>90900</v>
      </c>
      <c r="O203">
        <f t="shared" si="17"/>
        <v>90900</v>
      </c>
      <c r="P203">
        <f>I203*IFERROR(_xlfn.XLOOKUP(F203,Lookup_Tables!Product,Cost),0)</f>
        <v>252414</v>
      </c>
      <c r="Q203">
        <f t="shared" si="18"/>
        <v>-161514</v>
      </c>
      <c r="R203" s="2">
        <f t="shared" si="19"/>
        <v>-1.7768316831683169</v>
      </c>
    </row>
    <row r="204" spans="1:18" x14ac:dyDescent="0.3">
      <c r="A204" t="s">
        <v>261</v>
      </c>
      <c r="B204" s="1">
        <v>45342</v>
      </c>
      <c r="C204" t="s">
        <v>6</v>
      </c>
      <c r="D204" t="s">
        <v>49</v>
      </c>
      <c r="E204" t="s">
        <v>29</v>
      </c>
      <c r="F204" t="s">
        <v>50</v>
      </c>
      <c r="G204" t="str">
        <f>INDEX(Lookup_Tables!$B$1:$B$7,MATCH(Cleaned_Data!F204,Lookup_Tables!$A$1:$A$7,0))</f>
        <v>Furniture</v>
      </c>
      <c r="H204" t="s">
        <v>51</v>
      </c>
      <c r="I204">
        <v>6</v>
      </c>
      <c r="J204">
        <v>14289</v>
      </c>
      <c r="K204">
        <v>0.1</v>
      </c>
      <c r="L204">
        <f t="shared" si="15"/>
        <v>0.1</v>
      </c>
      <c r="M204">
        <v>6239</v>
      </c>
      <c r="N204">
        <f t="shared" si="16"/>
        <v>85734</v>
      </c>
      <c r="O204">
        <f t="shared" si="17"/>
        <v>77160.600000000006</v>
      </c>
      <c r="P204">
        <f>I204*IFERROR(_xlfn.XLOOKUP(F204,Lookup_Tables!Product,Cost),0)</f>
        <v>79626</v>
      </c>
      <c r="Q204">
        <f t="shared" si="18"/>
        <v>-2465.3999999999942</v>
      </c>
      <c r="R204" s="2">
        <f t="shared" si="19"/>
        <v>-3.1951540034680835E-2</v>
      </c>
    </row>
    <row r="205" spans="1:18" x14ac:dyDescent="0.3">
      <c r="A205" t="s">
        <v>262</v>
      </c>
      <c r="B205" s="1">
        <v>45364</v>
      </c>
      <c r="C205" t="s">
        <v>4</v>
      </c>
      <c r="D205" t="s">
        <v>49</v>
      </c>
      <c r="E205" t="s">
        <v>28</v>
      </c>
      <c r="F205" t="s">
        <v>58</v>
      </c>
      <c r="G205" t="str">
        <f>INDEX(Lookup_Tables!$B$1:$B$7,MATCH(Cleaned_Data!F205,Lookup_Tables!$A$1:$A$7,0))</f>
        <v>Electronics</v>
      </c>
      <c r="H205" t="s">
        <v>54</v>
      </c>
      <c r="I205">
        <v>7</v>
      </c>
      <c r="J205">
        <v>33872</v>
      </c>
      <c r="L205">
        <f t="shared" si="15"/>
        <v>0</v>
      </c>
      <c r="M205">
        <v>27622</v>
      </c>
      <c r="N205">
        <f t="shared" si="16"/>
        <v>237104</v>
      </c>
      <c r="O205">
        <f t="shared" si="17"/>
        <v>237104</v>
      </c>
      <c r="P205">
        <f>I205*IFERROR(_xlfn.XLOOKUP(F205,Lookup_Tables!Product,Cost),0)</f>
        <v>20216</v>
      </c>
      <c r="Q205">
        <f t="shared" si="18"/>
        <v>216888</v>
      </c>
      <c r="R205" s="2">
        <f t="shared" si="19"/>
        <v>0.91473783656117147</v>
      </c>
    </row>
    <row r="206" spans="1:18" x14ac:dyDescent="0.3">
      <c r="A206" t="s">
        <v>263</v>
      </c>
      <c r="B206" s="1">
        <v>45316</v>
      </c>
      <c r="C206" t="s">
        <v>5</v>
      </c>
      <c r="D206" t="s">
        <v>76</v>
      </c>
      <c r="E206" t="s">
        <v>27</v>
      </c>
      <c r="F206" t="s">
        <v>22</v>
      </c>
      <c r="G206" t="str">
        <f>INDEX(Lookup_Tables!$B$1:$B$7,MATCH(Cleaned_Data!F206,Lookup_Tables!$A$1:$A$7,0))</f>
        <v>Furniture</v>
      </c>
      <c r="H206" t="s">
        <v>51</v>
      </c>
      <c r="I206">
        <v>10</v>
      </c>
      <c r="J206">
        <v>3297</v>
      </c>
      <c r="K206">
        <v>0</v>
      </c>
      <c r="L206">
        <f t="shared" si="15"/>
        <v>0</v>
      </c>
      <c r="M206">
        <v>19422</v>
      </c>
      <c r="N206">
        <f t="shared" si="16"/>
        <v>32970</v>
      </c>
      <c r="O206">
        <f t="shared" si="17"/>
        <v>32970</v>
      </c>
      <c r="P206">
        <f>I206*IFERROR(_xlfn.XLOOKUP(F206,Lookup_Tables!Product,Cost),0)</f>
        <v>130400</v>
      </c>
      <c r="Q206">
        <f t="shared" si="18"/>
        <v>-97430</v>
      </c>
      <c r="R206" s="2">
        <f t="shared" si="19"/>
        <v>-2.9551107067030635</v>
      </c>
    </row>
    <row r="207" spans="1:18" x14ac:dyDescent="0.3">
      <c r="A207" t="s">
        <v>264</v>
      </c>
      <c r="B207" s="1">
        <v>45375</v>
      </c>
      <c r="C207" t="s">
        <v>6</v>
      </c>
      <c r="D207" t="s">
        <v>64</v>
      </c>
      <c r="E207" t="s">
        <v>26</v>
      </c>
      <c r="F207" t="s">
        <v>50</v>
      </c>
      <c r="G207" t="str">
        <f>INDEX(Lookup_Tables!$B$1:$B$7,MATCH(Cleaned_Data!F207,Lookup_Tables!$A$1:$A$7,0))</f>
        <v>Furniture</v>
      </c>
      <c r="H207" t="s">
        <v>51</v>
      </c>
      <c r="I207">
        <v>8</v>
      </c>
      <c r="J207">
        <v>3460</v>
      </c>
      <c r="L207">
        <f t="shared" si="15"/>
        <v>0</v>
      </c>
      <c r="M207">
        <v>16203</v>
      </c>
      <c r="N207">
        <f t="shared" si="16"/>
        <v>27680</v>
      </c>
      <c r="O207">
        <f t="shared" si="17"/>
        <v>27680</v>
      </c>
      <c r="P207">
        <f>I207*IFERROR(_xlfn.XLOOKUP(F207,Lookup_Tables!Product,Cost),0)</f>
        <v>106168</v>
      </c>
      <c r="Q207">
        <f t="shared" si="18"/>
        <v>-78488</v>
      </c>
      <c r="R207" s="2">
        <f t="shared" si="19"/>
        <v>-2.8355491329479769</v>
      </c>
    </row>
    <row r="208" spans="1:18" x14ac:dyDescent="0.3">
      <c r="A208" t="s">
        <v>265</v>
      </c>
      <c r="B208" s="1">
        <v>45338</v>
      </c>
      <c r="C208" t="s">
        <v>3</v>
      </c>
      <c r="D208" t="s">
        <v>56</v>
      </c>
      <c r="E208" t="s">
        <v>29</v>
      </c>
      <c r="F208" t="s">
        <v>61</v>
      </c>
      <c r="G208" t="str">
        <f>INDEX(Lookup_Tables!$B$1:$B$7,MATCH(Cleaned_Data!F208,Lookup_Tables!$A$1:$A$7,0))</f>
        <v>Electronics</v>
      </c>
      <c r="H208" t="s">
        <v>54</v>
      </c>
      <c r="I208">
        <v>9</v>
      </c>
      <c r="J208">
        <v>26029</v>
      </c>
      <c r="L208">
        <f t="shared" si="15"/>
        <v>0</v>
      </c>
      <c r="N208">
        <f t="shared" si="16"/>
        <v>234261</v>
      </c>
      <c r="O208">
        <f t="shared" si="17"/>
        <v>234261</v>
      </c>
      <c r="P208">
        <f>I208*IFERROR(_xlfn.XLOOKUP(F208,Lookup_Tables!Product,Cost),0)</f>
        <v>66456</v>
      </c>
      <c r="Q208">
        <f t="shared" si="18"/>
        <v>167805</v>
      </c>
      <c r="R208" s="2">
        <f t="shared" si="19"/>
        <v>0.71631641630489074</v>
      </c>
    </row>
    <row r="209" spans="1:18" x14ac:dyDescent="0.3">
      <c r="A209" t="s">
        <v>266</v>
      </c>
      <c r="B209" s="1">
        <v>45458</v>
      </c>
      <c r="C209" t="s">
        <v>5</v>
      </c>
      <c r="D209" t="s">
        <v>64</v>
      </c>
      <c r="E209" t="s">
        <v>27</v>
      </c>
      <c r="F209" t="s">
        <v>50</v>
      </c>
      <c r="G209" t="str">
        <f>INDEX(Lookup_Tables!$B$1:$B$7,MATCH(Cleaned_Data!F209,Lookup_Tables!$A$1:$A$7,0))</f>
        <v>Furniture</v>
      </c>
      <c r="H209" t="s">
        <v>51</v>
      </c>
      <c r="I209">
        <v>5</v>
      </c>
      <c r="J209">
        <v>10078</v>
      </c>
      <c r="L209">
        <f t="shared" si="15"/>
        <v>0</v>
      </c>
      <c r="N209">
        <f t="shared" si="16"/>
        <v>50390</v>
      </c>
      <c r="O209">
        <f t="shared" si="17"/>
        <v>50390</v>
      </c>
      <c r="P209">
        <f>I209*IFERROR(_xlfn.XLOOKUP(F209,Lookup_Tables!Product,Cost),0)</f>
        <v>66355</v>
      </c>
      <c r="Q209">
        <f t="shared" si="18"/>
        <v>-15965</v>
      </c>
      <c r="R209" s="2">
        <f t="shared" si="19"/>
        <v>-0.31682873586028976</v>
      </c>
    </row>
    <row r="210" spans="1:18" x14ac:dyDescent="0.3">
      <c r="A210" t="s">
        <v>267</v>
      </c>
      <c r="B210" s="1">
        <v>45306</v>
      </c>
      <c r="C210" t="s">
        <v>3</v>
      </c>
      <c r="D210" t="s">
        <v>49</v>
      </c>
      <c r="E210" t="s">
        <v>28</v>
      </c>
      <c r="F210" t="s">
        <v>23</v>
      </c>
      <c r="G210" t="str">
        <f>INDEX(Lookup_Tables!$B$1:$B$7,MATCH(Cleaned_Data!F210,Lookup_Tables!$A$1:$A$7,0))</f>
        <v>Electronics</v>
      </c>
      <c r="H210" t="s">
        <v>54</v>
      </c>
      <c r="I210">
        <v>2</v>
      </c>
      <c r="J210">
        <v>2767</v>
      </c>
      <c r="L210">
        <f t="shared" si="15"/>
        <v>0</v>
      </c>
      <c r="M210">
        <v>9232</v>
      </c>
      <c r="N210">
        <f t="shared" si="16"/>
        <v>5534</v>
      </c>
      <c r="O210">
        <f t="shared" si="17"/>
        <v>5534</v>
      </c>
      <c r="P210">
        <f>I210*IFERROR(_xlfn.XLOOKUP(F210,Lookup_Tables!Product,Cost),0)</f>
        <v>38530</v>
      </c>
      <c r="Q210">
        <f t="shared" si="18"/>
        <v>-32996</v>
      </c>
      <c r="R210" s="2">
        <f t="shared" si="19"/>
        <v>-5.962414166967835</v>
      </c>
    </row>
    <row r="211" spans="1:18" x14ac:dyDescent="0.3">
      <c r="A211" t="s">
        <v>268</v>
      </c>
      <c r="B211" s="1">
        <v>45485</v>
      </c>
      <c r="C211" t="s">
        <v>6</v>
      </c>
      <c r="D211" t="s">
        <v>49</v>
      </c>
      <c r="E211" t="s">
        <v>27</v>
      </c>
      <c r="F211" t="s">
        <v>61</v>
      </c>
      <c r="G211" t="str">
        <f>INDEX(Lookup_Tables!$B$1:$B$7,MATCH(Cleaned_Data!F211,Lookup_Tables!$A$1:$A$7,0))</f>
        <v>Electronics</v>
      </c>
      <c r="H211" t="s">
        <v>54</v>
      </c>
      <c r="I211">
        <v>3</v>
      </c>
      <c r="J211">
        <v>571</v>
      </c>
      <c r="L211">
        <f t="shared" si="15"/>
        <v>0</v>
      </c>
      <c r="M211">
        <v>15444</v>
      </c>
      <c r="N211">
        <f t="shared" si="16"/>
        <v>1713</v>
      </c>
      <c r="O211">
        <f t="shared" si="17"/>
        <v>1713</v>
      </c>
      <c r="P211">
        <f>I211*IFERROR(_xlfn.XLOOKUP(F211,Lookup_Tables!Product,Cost),0)</f>
        <v>22152</v>
      </c>
      <c r="Q211">
        <f t="shared" si="18"/>
        <v>-20439</v>
      </c>
      <c r="R211" s="2">
        <f t="shared" si="19"/>
        <v>-11.93169877408056</v>
      </c>
    </row>
    <row r="212" spans="1:18" x14ac:dyDescent="0.3">
      <c r="A212" t="s">
        <v>269</v>
      </c>
      <c r="B212" s="1">
        <v>45482</v>
      </c>
      <c r="C212" t="s">
        <v>4</v>
      </c>
      <c r="D212" t="s">
        <v>56</v>
      </c>
      <c r="E212" t="s">
        <v>27</v>
      </c>
      <c r="F212" t="s">
        <v>58</v>
      </c>
      <c r="G212" t="str">
        <f>INDEX(Lookup_Tables!$B$1:$B$7,MATCH(Cleaned_Data!F212,Lookup_Tables!$A$1:$A$7,0))</f>
        <v>Electronics</v>
      </c>
      <c r="H212" t="s">
        <v>54</v>
      </c>
      <c r="I212">
        <v>3</v>
      </c>
      <c r="J212">
        <v>11967</v>
      </c>
      <c r="K212">
        <v>0</v>
      </c>
      <c r="L212">
        <f t="shared" si="15"/>
        <v>0</v>
      </c>
      <c r="M212">
        <v>29281</v>
      </c>
      <c r="N212">
        <f t="shared" si="16"/>
        <v>35901</v>
      </c>
      <c r="O212">
        <f t="shared" si="17"/>
        <v>35901</v>
      </c>
      <c r="P212">
        <f>I212*IFERROR(_xlfn.XLOOKUP(F212,Lookup_Tables!Product,Cost),0)</f>
        <v>8664</v>
      </c>
      <c r="Q212">
        <f t="shared" si="18"/>
        <v>27237</v>
      </c>
      <c r="R212" s="2">
        <f t="shared" si="19"/>
        <v>0.75866967493941673</v>
      </c>
    </row>
    <row r="213" spans="1:18" x14ac:dyDescent="0.3">
      <c r="A213" t="s">
        <v>270</v>
      </c>
      <c r="B213" s="1">
        <v>45564</v>
      </c>
      <c r="C213" t="s">
        <v>3</v>
      </c>
      <c r="D213" t="s">
        <v>69</v>
      </c>
      <c r="E213" t="s">
        <v>29</v>
      </c>
      <c r="F213" t="s">
        <v>24</v>
      </c>
      <c r="G213" t="str">
        <f>INDEX(Lookup_Tables!$B$1:$B$7,MATCH(Cleaned_Data!F213,Lookup_Tables!$A$1:$A$7,0))</f>
        <v>Electronics</v>
      </c>
      <c r="H213" t="s">
        <v>54</v>
      </c>
      <c r="I213">
        <v>8</v>
      </c>
      <c r="J213">
        <v>37104</v>
      </c>
      <c r="K213">
        <v>0.1</v>
      </c>
      <c r="L213">
        <f t="shared" si="15"/>
        <v>0.1</v>
      </c>
      <c r="M213">
        <v>5330</v>
      </c>
      <c r="N213">
        <f t="shared" si="16"/>
        <v>296832</v>
      </c>
      <c r="O213">
        <f t="shared" si="17"/>
        <v>267148.79999999999</v>
      </c>
      <c r="P213">
        <f>I213*IFERROR(_xlfn.XLOOKUP(F213,Lookup_Tables!Product,Cost),0)</f>
        <v>224368</v>
      </c>
      <c r="Q213">
        <f t="shared" si="18"/>
        <v>42780.799999999988</v>
      </c>
      <c r="R213" s="2">
        <f t="shared" si="19"/>
        <v>0.16013846964687842</v>
      </c>
    </row>
    <row r="214" spans="1:18" x14ac:dyDescent="0.3">
      <c r="A214" t="s">
        <v>271</v>
      </c>
      <c r="B214" s="1">
        <v>45605</v>
      </c>
      <c r="C214" t="s">
        <v>4</v>
      </c>
      <c r="D214" t="s">
        <v>49</v>
      </c>
      <c r="E214" t="s">
        <v>28</v>
      </c>
      <c r="F214" t="s">
        <v>61</v>
      </c>
      <c r="G214" t="str">
        <f>INDEX(Lookup_Tables!$B$1:$B$7,MATCH(Cleaned_Data!F214,Lookup_Tables!$A$1:$A$7,0))</f>
        <v>Electronics</v>
      </c>
      <c r="H214" t="s">
        <v>54</v>
      </c>
      <c r="I214">
        <v>4</v>
      </c>
      <c r="J214">
        <v>49200</v>
      </c>
      <c r="K214">
        <v>0.05</v>
      </c>
      <c r="L214">
        <f t="shared" si="15"/>
        <v>0.05</v>
      </c>
      <c r="N214">
        <f t="shared" si="16"/>
        <v>196800</v>
      </c>
      <c r="O214">
        <f t="shared" si="17"/>
        <v>186960</v>
      </c>
      <c r="P214">
        <f>I214*IFERROR(_xlfn.XLOOKUP(F214,Lookup_Tables!Product,Cost),0)</f>
        <v>29536</v>
      </c>
      <c r="Q214">
        <f t="shared" si="18"/>
        <v>157424</v>
      </c>
      <c r="R214" s="2">
        <f t="shared" si="19"/>
        <v>0.84201968335472832</v>
      </c>
    </row>
    <row r="215" spans="1:18" x14ac:dyDescent="0.3">
      <c r="A215" t="s">
        <v>272</v>
      </c>
      <c r="B215" s="1">
        <v>45388</v>
      </c>
      <c r="C215" t="s">
        <v>5</v>
      </c>
      <c r="D215" t="s">
        <v>53</v>
      </c>
      <c r="E215" t="s">
        <v>28</v>
      </c>
      <c r="F215" t="s">
        <v>61</v>
      </c>
      <c r="G215" t="str">
        <f>INDEX(Lookup_Tables!$B$1:$B$7,MATCH(Cleaned_Data!F215,Lookup_Tables!$A$1:$A$7,0))</f>
        <v>Electronics</v>
      </c>
      <c r="H215" t="s">
        <v>54</v>
      </c>
      <c r="I215">
        <v>7</v>
      </c>
      <c r="J215">
        <v>25907</v>
      </c>
      <c r="L215">
        <f t="shared" si="15"/>
        <v>0</v>
      </c>
      <c r="M215">
        <v>12536</v>
      </c>
      <c r="N215">
        <f t="shared" si="16"/>
        <v>181349</v>
      </c>
      <c r="O215">
        <f t="shared" si="17"/>
        <v>181349</v>
      </c>
      <c r="P215">
        <f>I215*IFERROR(_xlfn.XLOOKUP(F215,Lookup_Tables!Product,Cost),0)</f>
        <v>51688</v>
      </c>
      <c r="Q215">
        <f t="shared" si="18"/>
        <v>129661</v>
      </c>
      <c r="R215" s="2">
        <f t="shared" si="19"/>
        <v>0.71498050719882655</v>
      </c>
    </row>
    <row r="216" spans="1:18" x14ac:dyDescent="0.3">
      <c r="A216" t="s">
        <v>273</v>
      </c>
      <c r="B216" s="1">
        <v>45657</v>
      </c>
      <c r="C216" t="s">
        <v>6</v>
      </c>
      <c r="D216" t="s">
        <v>76</v>
      </c>
      <c r="E216" t="s">
        <v>25</v>
      </c>
      <c r="F216" t="s">
        <v>58</v>
      </c>
      <c r="G216" t="str">
        <f>INDEX(Lookup_Tables!$B$1:$B$7,MATCH(Cleaned_Data!F216,Lookup_Tables!$A$1:$A$7,0))</f>
        <v>Electronics</v>
      </c>
      <c r="H216" t="s">
        <v>54</v>
      </c>
      <c r="I216">
        <v>5</v>
      </c>
      <c r="J216">
        <v>7015</v>
      </c>
      <c r="L216">
        <f t="shared" si="15"/>
        <v>0</v>
      </c>
      <c r="N216">
        <f t="shared" si="16"/>
        <v>35075</v>
      </c>
      <c r="O216">
        <f t="shared" si="17"/>
        <v>35075</v>
      </c>
      <c r="P216">
        <f>I216*IFERROR(_xlfn.XLOOKUP(F216,Lookup_Tables!Product,Cost),0)</f>
        <v>14440</v>
      </c>
      <c r="Q216">
        <f t="shared" si="18"/>
        <v>20635</v>
      </c>
      <c r="R216" s="2">
        <f t="shared" si="19"/>
        <v>0.58831076265146121</v>
      </c>
    </row>
    <row r="217" spans="1:18" x14ac:dyDescent="0.3">
      <c r="A217" t="s">
        <v>274</v>
      </c>
      <c r="B217" s="1">
        <v>45314</v>
      </c>
      <c r="C217" t="s">
        <v>5</v>
      </c>
      <c r="D217" t="s">
        <v>64</v>
      </c>
      <c r="E217" t="s">
        <v>27</v>
      </c>
      <c r="F217" t="s">
        <v>61</v>
      </c>
      <c r="G217" t="str">
        <f>INDEX(Lookup_Tables!$B$1:$B$7,MATCH(Cleaned_Data!F217,Lookup_Tables!$A$1:$A$7,0))</f>
        <v>Electronics</v>
      </c>
      <c r="H217" t="s">
        <v>54</v>
      </c>
      <c r="I217">
        <v>9</v>
      </c>
      <c r="J217">
        <v>4662</v>
      </c>
      <c r="K217">
        <v>0</v>
      </c>
      <c r="L217">
        <f t="shared" si="15"/>
        <v>0</v>
      </c>
      <c r="N217">
        <f t="shared" si="16"/>
        <v>41958</v>
      </c>
      <c r="O217">
        <f t="shared" si="17"/>
        <v>41958</v>
      </c>
      <c r="P217">
        <f>I217*IFERROR(_xlfn.XLOOKUP(F217,Lookup_Tables!Product,Cost),0)</f>
        <v>66456</v>
      </c>
      <c r="Q217">
        <f t="shared" si="18"/>
        <v>-24498</v>
      </c>
      <c r="R217" s="2">
        <f t="shared" si="19"/>
        <v>-0.58386958386958387</v>
      </c>
    </row>
    <row r="218" spans="1:18" x14ac:dyDescent="0.3">
      <c r="A218" t="s">
        <v>275</v>
      </c>
      <c r="B218" s="1">
        <v>45406</v>
      </c>
      <c r="C218" t="s">
        <v>6</v>
      </c>
      <c r="D218" t="s">
        <v>49</v>
      </c>
      <c r="E218" t="s">
        <v>27</v>
      </c>
      <c r="F218" t="s">
        <v>22</v>
      </c>
      <c r="G218" t="str">
        <f>INDEX(Lookup_Tables!$B$1:$B$7,MATCH(Cleaned_Data!F218,Lookup_Tables!$A$1:$A$7,0))</f>
        <v>Furniture</v>
      </c>
      <c r="H218" t="s">
        <v>51</v>
      </c>
      <c r="I218">
        <v>3</v>
      </c>
      <c r="J218">
        <v>41997</v>
      </c>
      <c r="L218">
        <f t="shared" si="15"/>
        <v>0</v>
      </c>
      <c r="N218">
        <f t="shared" si="16"/>
        <v>125991</v>
      </c>
      <c r="O218">
        <f t="shared" si="17"/>
        <v>125991</v>
      </c>
      <c r="P218">
        <f>I218*IFERROR(_xlfn.XLOOKUP(F218,Lookup_Tables!Product,Cost),0)</f>
        <v>39120</v>
      </c>
      <c r="Q218">
        <f t="shared" si="18"/>
        <v>86871</v>
      </c>
      <c r="R218" s="2">
        <f t="shared" si="19"/>
        <v>0.68950163106888585</v>
      </c>
    </row>
    <row r="219" spans="1:18" x14ac:dyDescent="0.3">
      <c r="A219" t="s">
        <v>276</v>
      </c>
      <c r="B219" s="1">
        <v>45419</v>
      </c>
      <c r="C219" t="s">
        <v>3</v>
      </c>
      <c r="D219" t="s">
        <v>76</v>
      </c>
      <c r="E219" t="s">
        <v>27</v>
      </c>
      <c r="F219" t="s">
        <v>50</v>
      </c>
      <c r="G219" t="str">
        <f>INDEX(Lookup_Tables!$B$1:$B$7,MATCH(Cleaned_Data!F219,Lookup_Tables!$A$1:$A$7,0))</f>
        <v>Furniture</v>
      </c>
      <c r="H219" t="s">
        <v>51</v>
      </c>
      <c r="I219">
        <v>5</v>
      </c>
      <c r="J219">
        <v>21483</v>
      </c>
      <c r="K219">
        <v>0.1</v>
      </c>
      <c r="L219">
        <f t="shared" si="15"/>
        <v>0.1</v>
      </c>
      <c r="N219">
        <f t="shared" si="16"/>
        <v>107415</v>
      </c>
      <c r="O219">
        <f t="shared" si="17"/>
        <v>96673.5</v>
      </c>
      <c r="P219">
        <f>I219*IFERROR(_xlfn.XLOOKUP(F219,Lookup_Tables!Product,Cost),0)</f>
        <v>66355</v>
      </c>
      <c r="Q219">
        <f t="shared" si="18"/>
        <v>30318.5</v>
      </c>
      <c r="R219" s="2">
        <f t="shared" si="19"/>
        <v>0.31361748566049641</v>
      </c>
    </row>
    <row r="220" spans="1:18" x14ac:dyDescent="0.3">
      <c r="A220" t="s">
        <v>277</v>
      </c>
      <c r="B220" s="1">
        <v>45640</v>
      </c>
      <c r="C220" t="s">
        <v>5</v>
      </c>
      <c r="D220" t="s">
        <v>49</v>
      </c>
      <c r="E220" t="s">
        <v>26</v>
      </c>
      <c r="F220" t="s">
        <v>61</v>
      </c>
      <c r="G220" t="str">
        <f>INDEX(Lookup_Tables!$B$1:$B$7,MATCH(Cleaned_Data!F220,Lookup_Tables!$A$1:$A$7,0))</f>
        <v>Electronics</v>
      </c>
      <c r="H220" t="s">
        <v>54</v>
      </c>
      <c r="I220">
        <v>3</v>
      </c>
      <c r="J220">
        <v>12363</v>
      </c>
      <c r="K220">
        <v>0.1</v>
      </c>
      <c r="L220">
        <f t="shared" si="15"/>
        <v>0.1</v>
      </c>
      <c r="M220">
        <v>4104</v>
      </c>
      <c r="N220">
        <f t="shared" si="16"/>
        <v>37089</v>
      </c>
      <c r="O220">
        <f t="shared" si="17"/>
        <v>33380.1</v>
      </c>
      <c r="P220">
        <f>I220*IFERROR(_xlfn.XLOOKUP(F220,Lookup_Tables!Product,Cost),0)</f>
        <v>22152</v>
      </c>
      <c r="Q220">
        <f t="shared" si="18"/>
        <v>11228.099999999999</v>
      </c>
      <c r="R220" s="2">
        <f t="shared" si="19"/>
        <v>0.33637107138684424</v>
      </c>
    </row>
    <row r="221" spans="1:18" x14ac:dyDescent="0.3">
      <c r="A221" t="s">
        <v>278</v>
      </c>
      <c r="B221" s="1">
        <v>45558</v>
      </c>
      <c r="C221" t="s">
        <v>6</v>
      </c>
      <c r="D221" t="s">
        <v>53</v>
      </c>
      <c r="E221" t="s">
        <v>25</v>
      </c>
      <c r="F221" t="s">
        <v>23</v>
      </c>
      <c r="G221" t="str">
        <f>INDEX(Lookup_Tables!$B$1:$B$7,MATCH(Cleaned_Data!F221,Lookup_Tables!$A$1:$A$7,0))</f>
        <v>Electronics</v>
      </c>
      <c r="H221" t="s">
        <v>54</v>
      </c>
      <c r="I221">
        <v>6</v>
      </c>
      <c r="J221">
        <v>44680</v>
      </c>
      <c r="K221">
        <v>0.1</v>
      </c>
      <c r="L221">
        <f t="shared" si="15"/>
        <v>0.1</v>
      </c>
      <c r="M221">
        <v>17301</v>
      </c>
      <c r="N221">
        <f t="shared" si="16"/>
        <v>268080</v>
      </c>
      <c r="O221">
        <f t="shared" si="17"/>
        <v>241272</v>
      </c>
      <c r="P221">
        <f>I221*IFERROR(_xlfn.XLOOKUP(F221,Lookup_Tables!Product,Cost),0)</f>
        <v>115590</v>
      </c>
      <c r="Q221">
        <f t="shared" si="18"/>
        <v>125682</v>
      </c>
      <c r="R221" s="2">
        <f t="shared" si="19"/>
        <v>0.52091415497861338</v>
      </c>
    </row>
    <row r="222" spans="1:18" x14ac:dyDescent="0.3">
      <c r="A222" t="s">
        <v>279</v>
      </c>
      <c r="B222" s="1">
        <v>45310</v>
      </c>
      <c r="C222" t="s">
        <v>3</v>
      </c>
      <c r="D222" t="s">
        <v>49</v>
      </c>
      <c r="E222" t="s">
        <v>26</v>
      </c>
      <c r="F222" t="s">
        <v>22</v>
      </c>
      <c r="G222" t="str">
        <f>INDEX(Lookup_Tables!$B$1:$B$7,MATCH(Cleaned_Data!F222,Lookup_Tables!$A$1:$A$7,0))</f>
        <v>Furniture</v>
      </c>
      <c r="H222" t="s">
        <v>51</v>
      </c>
      <c r="I222">
        <v>8</v>
      </c>
      <c r="J222">
        <v>12220</v>
      </c>
      <c r="K222">
        <v>0.05</v>
      </c>
      <c r="L222">
        <f t="shared" si="15"/>
        <v>0.05</v>
      </c>
      <c r="N222">
        <f t="shared" si="16"/>
        <v>97760</v>
      </c>
      <c r="O222">
        <f t="shared" si="17"/>
        <v>92872</v>
      </c>
      <c r="P222">
        <f>I222*IFERROR(_xlfn.XLOOKUP(F222,Lookup_Tables!Product,Cost),0)</f>
        <v>104320</v>
      </c>
      <c r="Q222">
        <f t="shared" si="18"/>
        <v>-11448</v>
      </c>
      <c r="R222" s="2">
        <f t="shared" si="19"/>
        <v>-0.12326643121715911</v>
      </c>
    </row>
    <row r="223" spans="1:18" x14ac:dyDescent="0.3">
      <c r="A223" t="s">
        <v>280</v>
      </c>
      <c r="B223" s="1">
        <v>45444</v>
      </c>
      <c r="C223" t="s">
        <v>6</v>
      </c>
      <c r="D223" t="s">
        <v>49</v>
      </c>
      <c r="E223" t="s">
        <v>25</v>
      </c>
      <c r="F223" t="s">
        <v>23</v>
      </c>
      <c r="G223" t="str">
        <f>INDEX(Lookup_Tables!$B$1:$B$7,MATCH(Cleaned_Data!F223,Lookup_Tables!$A$1:$A$7,0))</f>
        <v>Electronics</v>
      </c>
      <c r="H223" t="s">
        <v>54</v>
      </c>
      <c r="I223">
        <v>2</v>
      </c>
      <c r="J223">
        <v>16508</v>
      </c>
      <c r="L223">
        <f t="shared" si="15"/>
        <v>0</v>
      </c>
      <c r="N223">
        <f t="shared" si="16"/>
        <v>33016</v>
      </c>
      <c r="O223">
        <f t="shared" si="17"/>
        <v>33016</v>
      </c>
      <c r="P223">
        <f>I223*IFERROR(_xlfn.XLOOKUP(F223,Lookup_Tables!Product,Cost),0)</f>
        <v>38530</v>
      </c>
      <c r="Q223">
        <f t="shared" si="18"/>
        <v>-5514</v>
      </c>
      <c r="R223" s="2">
        <f t="shared" si="19"/>
        <v>-0.1670099345771747</v>
      </c>
    </row>
    <row r="224" spans="1:18" x14ac:dyDescent="0.3">
      <c r="A224" t="s">
        <v>281</v>
      </c>
      <c r="B224" s="1">
        <v>45494</v>
      </c>
      <c r="C224" t="s">
        <v>5</v>
      </c>
      <c r="D224" t="s">
        <v>56</v>
      </c>
      <c r="E224" t="s">
        <v>25</v>
      </c>
      <c r="F224" t="s">
        <v>61</v>
      </c>
      <c r="G224" t="str">
        <f>INDEX(Lookup_Tables!$B$1:$B$7,MATCH(Cleaned_Data!F224,Lookup_Tables!$A$1:$A$7,0))</f>
        <v>Electronics</v>
      </c>
      <c r="H224" t="s">
        <v>54</v>
      </c>
      <c r="I224">
        <v>1</v>
      </c>
      <c r="J224">
        <v>21904</v>
      </c>
      <c r="K224">
        <v>0</v>
      </c>
      <c r="L224">
        <f t="shared" si="15"/>
        <v>0</v>
      </c>
      <c r="M224">
        <v>22341</v>
      </c>
      <c r="N224">
        <f t="shared" si="16"/>
        <v>21904</v>
      </c>
      <c r="O224">
        <f t="shared" si="17"/>
        <v>21904</v>
      </c>
      <c r="P224">
        <f>I224*IFERROR(_xlfn.XLOOKUP(F224,Lookup_Tables!Product,Cost),0)</f>
        <v>7384</v>
      </c>
      <c r="Q224">
        <f t="shared" si="18"/>
        <v>14520</v>
      </c>
      <c r="R224" s="2">
        <f t="shared" si="19"/>
        <v>0.6628926223520818</v>
      </c>
    </row>
    <row r="225" spans="1:18" x14ac:dyDescent="0.3">
      <c r="A225" t="s">
        <v>282</v>
      </c>
      <c r="B225" s="1">
        <v>45337</v>
      </c>
      <c r="C225" t="s">
        <v>4</v>
      </c>
      <c r="D225" t="s">
        <v>76</v>
      </c>
      <c r="E225" t="s">
        <v>27</v>
      </c>
      <c r="F225" t="s">
        <v>22</v>
      </c>
      <c r="G225" t="str">
        <f>INDEX(Lookup_Tables!$B$1:$B$7,MATCH(Cleaned_Data!F225,Lookup_Tables!$A$1:$A$7,0))</f>
        <v>Furniture</v>
      </c>
      <c r="H225" t="s">
        <v>51</v>
      </c>
      <c r="I225">
        <v>6</v>
      </c>
      <c r="J225">
        <v>31019</v>
      </c>
      <c r="K225">
        <v>0.1</v>
      </c>
      <c r="L225">
        <f t="shared" si="15"/>
        <v>0.1</v>
      </c>
      <c r="M225">
        <v>21313</v>
      </c>
      <c r="N225">
        <f t="shared" si="16"/>
        <v>186114</v>
      </c>
      <c r="O225">
        <f t="shared" si="17"/>
        <v>167502.6</v>
      </c>
      <c r="P225">
        <f>I225*IFERROR(_xlfn.XLOOKUP(F225,Lookup_Tables!Product,Cost),0)</f>
        <v>78240</v>
      </c>
      <c r="Q225">
        <f t="shared" si="18"/>
        <v>89262.6</v>
      </c>
      <c r="R225" s="2">
        <f t="shared" si="19"/>
        <v>0.53290277285248111</v>
      </c>
    </row>
    <row r="226" spans="1:18" x14ac:dyDescent="0.3">
      <c r="A226" t="s">
        <v>283</v>
      </c>
      <c r="B226" s="1">
        <v>45320</v>
      </c>
      <c r="C226" t="s">
        <v>5</v>
      </c>
      <c r="D226" t="s">
        <v>49</v>
      </c>
      <c r="E226" t="s">
        <v>27</v>
      </c>
      <c r="F226" t="s">
        <v>50</v>
      </c>
      <c r="G226" t="str">
        <f>INDEX(Lookup_Tables!$B$1:$B$7,MATCH(Cleaned_Data!F226,Lookup_Tables!$A$1:$A$7,0))</f>
        <v>Furniture</v>
      </c>
      <c r="H226" t="s">
        <v>51</v>
      </c>
      <c r="I226">
        <v>6</v>
      </c>
      <c r="J226">
        <v>37169</v>
      </c>
      <c r="K226">
        <v>0.05</v>
      </c>
      <c r="L226">
        <f t="shared" si="15"/>
        <v>0.05</v>
      </c>
      <c r="N226">
        <f t="shared" si="16"/>
        <v>223014</v>
      </c>
      <c r="O226">
        <f t="shared" si="17"/>
        <v>211863.3</v>
      </c>
      <c r="P226">
        <f>I226*IFERROR(_xlfn.XLOOKUP(F226,Lookup_Tables!Product,Cost),0)</f>
        <v>79626</v>
      </c>
      <c r="Q226">
        <f t="shared" si="18"/>
        <v>132237.29999999999</v>
      </c>
      <c r="R226" s="2">
        <f t="shared" si="19"/>
        <v>0.62416331662916602</v>
      </c>
    </row>
    <row r="227" spans="1:18" x14ac:dyDescent="0.3">
      <c r="A227" t="s">
        <v>284</v>
      </c>
      <c r="B227" s="1">
        <v>45418</v>
      </c>
      <c r="C227" t="s">
        <v>4</v>
      </c>
      <c r="D227" t="s">
        <v>69</v>
      </c>
      <c r="E227" t="s">
        <v>29</v>
      </c>
      <c r="F227" t="s">
        <v>22</v>
      </c>
      <c r="G227" t="str">
        <f>INDEX(Lookup_Tables!$B$1:$B$7,MATCH(Cleaned_Data!F227,Lookup_Tables!$A$1:$A$7,0))</f>
        <v>Furniture</v>
      </c>
      <c r="H227" t="s">
        <v>51</v>
      </c>
      <c r="I227">
        <v>8</v>
      </c>
      <c r="J227">
        <v>13152</v>
      </c>
      <c r="K227">
        <v>0.05</v>
      </c>
      <c r="L227">
        <f t="shared" si="15"/>
        <v>0.05</v>
      </c>
      <c r="M227">
        <v>7481</v>
      </c>
      <c r="N227">
        <f t="shared" si="16"/>
        <v>105216</v>
      </c>
      <c r="O227">
        <f t="shared" si="17"/>
        <v>99955.199999999997</v>
      </c>
      <c r="P227">
        <f>I227*IFERROR(_xlfn.XLOOKUP(F227,Lookup_Tables!Product,Cost),0)</f>
        <v>104320</v>
      </c>
      <c r="Q227">
        <f t="shared" si="18"/>
        <v>-4364.8000000000029</v>
      </c>
      <c r="R227" s="2">
        <f t="shared" si="19"/>
        <v>-4.366756306825461E-2</v>
      </c>
    </row>
    <row r="228" spans="1:18" x14ac:dyDescent="0.3">
      <c r="A228" t="s">
        <v>285</v>
      </c>
      <c r="B228" s="1">
        <v>45490</v>
      </c>
      <c r="C228" t="s">
        <v>6</v>
      </c>
      <c r="D228" t="s">
        <v>76</v>
      </c>
      <c r="E228" t="s">
        <v>27</v>
      </c>
      <c r="F228" t="s">
        <v>50</v>
      </c>
      <c r="G228" t="str">
        <f>INDEX(Lookup_Tables!$B$1:$B$7,MATCH(Cleaned_Data!F228,Lookup_Tables!$A$1:$A$7,0))</f>
        <v>Furniture</v>
      </c>
      <c r="H228" t="s">
        <v>51</v>
      </c>
      <c r="I228">
        <v>3</v>
      </c>
      <c r="J228">
        <v>2127</v>
      </c>
      <c r="K228">
        <v>0.1</v>
      </c>
      <c r="L228">
        <f t="shared" si="15"/>
        <v>0.1</v>
      </c>
      <c r="M228">
        <v>25757</v>
      </c>
      <c r="N228">
        <f t="shared" si="16"/>
        <v>6381</v>
      </c>
      <c r="O228">
        <f t="shared" si="17"/>
        <v>5742.9</v>
      </c>
      <c r="P228">
        <f>I228*IFERROR(_xlfn.XLOOKUP(F228,Lookup_Tables!Product,Cost),0)</f>
        <v>39813</v>
      </c>
      <c r="Q228">
        <f t="shared" si="18"/>
        <v>-34070.1</v>
      </c>
      <c r="R228" s="2">
        <f t="shared" si="19"/>
        <v>-5.9325602047745916</v>
      </c>
    </row>
    <row r="229" spans="1:18" x14ac:dyDescent="0.3">
      <c r="A229" t="s">
        <v>286</v>
      </c>
      <c r="B229" s="1">
        <v>45520</v>
      </c>
      <c r="C229" t="s">
        <v>4</v>
      </c>
      <c r="D229" t="s">
        <v>56</v>
      </c>
      <c r="E229" t="s">
        <v>27</v>
      </c>
      <c r="F229" t="s">
        <v>22</v>
      </c>
      <c r="G229" t="str">
        <f>INDEX(Lookup_Tables!$B$1:$B$7,MATCH(Cleaned_Data!F229,Lookup_Tables!$A$1:$A$7,0))</f>
        <v>Furniture</v>
      </c>
      <c r="H229" t="s">
        <v>51</v>
      </c>
      <c r="I229">
        <v>2</v>
      </c>
      <c r="J229">
        <v>49195</v>
      </c>
      <c r="K229">
        <v>0.05</v>
      </c>
      <c r="L229">
        <f t="shared" si="15"/>
        <v>0.05</v>
      </c>
      <c r="M229">
        <v>2164</v>
      </c>
      <c r="N229">
        <f t="shared" si="16"/>
        <v>98390</v>
      </c>
      <c r="O229">
        <f t="shared" si="17"/>
        <v>93470.5</v>
      </c>
      <c r="P229">
        <f>I229*IFERROR(_xlfn.XLOOKUP(F229,Lookup_Tables!Product,Cost),0)</f>
        <v>26080</v>
      </c>
      <c r="Q229">
        <f t="shared" si="18"/>
        <v>67390.5</v>
      </c>
      <c r="R229" s="2">
        <f t="shared" si="19"/>
        <v>0.72098148613733748</v>
      </c>
    </row>
    <row r="230" spans="1:18" x14ac:dyDescent="0.3">
      <c r="A230" t="s">
        <v>287</v>
      </c>
      <c r="B230" s="1">
        <v>45594</v>
      </c>
      <c r="C230" t="s">
        <v>6</v>
      </c>
      <c r="D230" t="s">
        <v>56</v>
      </c>
      <c r="E230" t="s">
        <v>29</v>
      </c>
      <c r="F230" t="s">
        <v>23</v>
      </c>
      <c r="G230" t="str">
        <f>INDEX(Lookup_Tables!$B$1:$B$7,MATCH(Cleaned_Data!F230,Lookup_Tables!$A$1:$A$7,0))</f>
        <v>Electronics</v>
      </c>
      <c r="H230" t="s">
        <v>54</v>
      </c>
      <c r="I230">
        <v>3</v>
      </c>
      <c r="J230">
        <v>20754</v>
      </c>
      <c r="K230">
        <v>0.05</v>
      </c>
      <c r="L230">
        <f t="shared" si="15"/>
        <v>0.05</v>
      </c>
      <c r="M230">
        <v>8828</v>
      </c>
      <c r="N230">
        <f t="shared" si="16"/>
        <v>62262</v>
      </c>
      <c r="O230">
        <f t="shared" si="17"/>
        <v>59148.9</v>
      </c>
      <c r="P230">
        <f>I230*IFERROR(_xlfn.XLOOKUP(F230,Lookup_Tables!Product,Cost),0)</f>
        <v>57795</v>
      </c>
      <c r="Q230">
        <f t="shared" si="18"/>
        <v>1353.9000000000015</v>
      </c>
      <c r="R230" s="2">
        <f t="shared" si="19"/>
        <v>2.2889690256285431E-2</v>
      </c>
    </row>
    <row r="231" spans="1:18" x14ac:dyDescent="0.3">
      <c r="A231" t="s">
        <v>288</v>
      </c>
      <c r="B231" s="1">
        <v>45624</v>
      </c>
      <c r="C231" t="s">
        <v>6</v>
      </c>
      <c r="D231" t="s">
        <v>64</v>
      </c>
      <c r="E231" t="s">
        <v>25</v>
      </c>
      <c r="F231" t="s">
        <v>22</v>
      </c>
      <c r="G231" t="str">
        <f>INDEX(Lookup_Tables!$B$1:$B$7,MATCH(Cleaned_Data!F231,Lookup_Tables!$A$1:$A$7,0))</f>
        <v>Furniture</v>
      </c>
      <c r="H231" t="s">
        <v>51</v>
      </c>
      <c r="I231">
        <v>6</v>
      </c>
      <c r="J231">
        <v>41060</v>
      </c>
      <c r="K231">
        <v>0.05</v>
      </c>
      <c r="L231">
        <f t="shared" si="15"/>
        <v>0.05</v>
      </c>
      <c r="M231">
        <v>1527</v>
      </c>
      <c r="N231">
        <f t="shared" si="16"/>
        <v>246360</v>
      </c>
      <c r="O231">
        <f t="shared" si="17"/>
        <v>234042</v>
      </c>
      <c r="P231">
        <f>I231*IFERROR(_xlfn.XLOOKUP(F231,Lookup_Tables!Product,Cost),0)</f>
        <v>78240</v>
      </c>
      <c r="Q231">
        <f t="shared" si="18"/>
        <v>155802</v>
      </c>
      <c r="R231" s="2">
        <f t="shared" si="19"/>
        <v>0.66570102802061171</v>
      </c>
    </row>
    <row r="232" spans="1:18" x14ac:dyDescent="0.3">
      <c r="A232" t="s">
        <v>289</v>
      </c>
      <c r="B232" s="1">
        <v>45450</v>
      </c>
      <c r="C232" t="s">
        <v>4</v>
      </c>
      <c r="D232" t="s">
        <v>69</v>
      </c>
      <c r="E232" t="s">
        <v>27</v>
      </c>
      <c r="F232" t="s">
        <v>24</v>
      </c>
      <c r="G232" t="str">
        <f>INDEX(Lookup_Tables!$B$1:$B$7,MATCH(Cleaned_Data!F232,Lookup_Tables!$A$1:$A$7,0))</f>
        <v>Electronics</v>
      </c>
      <c r="H232" t="s">
        <v>54</v>
      </c>
      <c r="I232">
        <v>4</v>
      </c>
      <c r="J232">
        <v>9299</v>
      </c>
      <c r="K232">
        <v>0.05</v>
      </c>
      <c r="L232">
        <f t="shared" si="15"/>
        <v>0.05</v>
      </c>
      <c r="N232">
        <f t="shared" si="16"/>
        <v>37196</v>
      </c>
      <c r="O232">
        <f t="shared" si="17"/>
        <v>35336.199999999997</v>
      </c>
      <c r="P232">
        <f>I232*IFERROR(_xlfn.XLOOKUP(F232,Lookup_Tables!Product,Cost),0)</f>
        <v>112184</v>
      </c>
      <c r="Q232">
        <f t="shared" si="18"/>
        <v>-76847.8</v>
      </c>
      <c r="R232" s="2">
        <f t="shared" si="19"/>
        <v>-2.1747612929517044</v>
      </c>
    </row>
    <row r="233" spans="1:18" x14ac:dyDescent="0.3">
      <c r="A233" t="s">
        <v>290</v>
      </c>
      <c r="B233" s="1">
        <v>45501</v>
      </c>
      <c r="C233" t="s">
        <v>5</v>
      </c>
      <c r="D233" t="s">
        <v>56</v>
      </c>
      <c r="E233" t="s">
        <v>29</v>
      </c>
      <c r="F233" t="s">
        <v>23</v>
      </c>
      <c r="G233" t="str">
        <f>INDEX(Lookup_Tables!$B$1:$B$7,MATCH(Cleaned_Data!F233,Lookup_Tables!$A$1:$A$7,0))</f>
        <v>Electronics</v>
      </c>
      <c r="H233" t="s">
        <v>54</v>
      </c>
      <c r="I233">
        <v>6</v>
      </c>
      <c r="J233">
        <v>6150</v>
      </c>
      <c r="K233">
        <v>0</v>
      </c>
      <c r="L233">
        <f t="shared" si="15"/>
        <v>0</v>
      </c>
      <c r="N233">
        <f t="shared" si="16"/>
        <v>36900</v>
      </c>
      <c r="O233">
        <f t="shared" si="17"/>
        <v>36900</v>
      </c>
      <c r="P233">
        <f>I233*IFERROR(_xlfn.XLOOKUP(F233,Lookup_Tables!Product,Cost),0)</f>
        <v>115590</v>
      </c>
      <c r="Q233">
        <f t="shared" si="18"/>
        <v>-78690</v>
      </c>
      <c r="R233" s="2">
        <f t="shared" si="19"/>
        <v>-2.1325203252032519</v>
      </c>
    </row>
    <row r="234" spans="1:18" x14ac:dyDescent="0.3">
      <c r="A234" t="s">
        <v>291</v>
      </c>
      <c r="B234" s="1">
        <v>45438</v>
      </c>
      <c r="C234" t="s">
        <v>4</v>
      </c>
      <c r="D234" t="s">
        <v>69</v>
      </c>
      <c r="E234" t="s">
        <v>27</v>
      </c>
      <c r="F234" t="s">
        <v>22</v>
      </c>
      <c r="G234" t="str">
        <f>INDEX(Lookup_Tables!$B$1:$B$7,MATCH(Cleaned_Data!F234,Lookup_Tables!$A$1:$A$7,0))</f>
        <v>Furniture</v>
      </c>
      <c r="H234" t="s">
        <v>51</v>
      </c>
      <c r="I234">
        <v>2</v>
      </c>
      <c r="J234">
        <v>49764</v>
      </c>
      <c r="L234">
        <f t="shared" si="15"/>
        <v>0</v>
      </c>
      <c r="M234">
        <v>14278</v>
      </c>
      <c r="N234">
        <f t="shared" si="16"/>
        <v>99528</v>
      </c>
      <c r="O234">
        <f t="shared" si="17"/>
        <v>99528</v>
      </c>
      <c r="P234">
        <f>I234*IFERROR(_xlfn.XLOOKUP(F234,Lookup_Tables!Product,Cost),0)</f>
        <v>26080</v>
      </c>
      <c r="Q234">
        <f t="shared" si="18"/>
        <v>73448</v>
      </c>
      <c r="R234" s="2">
        <f t="shared" si="19"/>
        <v>0.73796318623904833</v>
      </c>
    </row>
    <row r="235" spans="1:18" x14ac:dyDescent="0.3">
      <c r="A235" t="s">
        <v>292</v>
      </c>
      <c r="B235" s="1">
        <v>45407</v>
      </c>
      <c r="C235" t="s">
        <v>3</v>
      </c>
      <c r="D235" t="s">
        <v>69</v>
      </c>
      <c r="E235" t="s">
        <v>25</v>
      </c>
      <c r="F235" t="s">
        <v>23</v>
      </c>
      <c r="G235" t="str">
        <f>INDEX(Lookup_Tables!$B$1:$B$7,MATCH(Cleaned_Data!F235,Lookup_Tables!$A$1:$A$7,0))</f>
        <v>Electronics</v>
      </c>
      <c r="H235" t="s">
        <v>54</v>
      </c>
      <c r="I235">
        <v>9</v>
      </c>
      <c r="J235">
        <v>32953</v>
      </c>
      <c r="K235">
        <v>0</v>
      </c>
      <c r="L235">
        <f t="shared" si="15"/>
        <v>0</v>
      </c>
      <c r="M235">
        <v>25330</v>
      </c>
      <c r="N235">
        <f t="shared" si="16"/>
        <v>296577</v>
      </c>
      <c r="O235">
        <f t="shared" si="17"/>
        <v>296577</v>
      </c>
      <c r="P235">
        <f>I235*IFERROR(_xlfn.XLOOKUP(F235,Lookup_Tables!Product,Cost),0)</f>
        <v>173385</v>
      </c>
      <c r="Q235">
        <f t="shared" si="18"/>
        <v>123192</v>
      </c>
      <c r="R235" s="2">
        <f t="shared" si="19"/>
        <v>0.41537947986526264</v>
      </c>
    </row>
    <row r="236" spans="1:18" x14ac:dyDescent="0.3">
      <c r="A236" t="s">
        <v>293</v>
      </c>
      <c r="B236" s="1">
        <v>45657</v>
      </c>
      <c r="C236" t="s">
        <v>5</v>
      </c>
      <c r="D236" t="s">
        <v>56</v>
      </c>
      <c r="E236" t="s">
        <v>28</v>
      </c>
      <c r="F236" t="s">
        <v>61</v>
      </c>
      <c r="G236" t="str">
        <f>INDEX(Lookup_Tables!$B$1:$B$7,MATCH(Cleaned_Data!F236,Lookup_Tables!$A$1:$A$7,0))</f>
        <v>Electronics</v>
      </c>
      <c r="H236" t="s">
        <v>54</v>
      </c>
      <c r="I236">
        <v>1</v>
      </c>
      <c r="J236">
        <v>41318</v>
      </c>
      <c r="L236">
        <f t="shared" si="15"/>
        <v>0</v>
      </c>
      <c r="N236">
        <f t="shared" si="16"/>
        <v>41318</v>
      </c>
      <c r="O236">
        <f t="shared" si="17"/>
        <v>41318</v>
      </c>
      <c r="P236">
        <f>I236*IFERROR(_xlfn.XLOOKUP(F236,Lookup_Tables!Product,Cost),0)</f>
        <v>7384</v>
      </c>
      <c r="Q236">
        <f t="shared" si="18"/>
        <v>33934</v>
      </c>
      <c r="R236" s="2">
        <f t="shared" si="19"/>
        <v>0.82128854252383954</v>
      </c>
    </row>
    <row r="237" spans="1:18" x14ac:dyDescent="0.3">
      <c r="A237" t="s">
        <v>294</v>
      </c>
      <c r="B237" s="1">
        <v>45491</v>
      </c>
      <c r="C237" t="s">
        <v>3</v>
      </c>
      <c r="D237" t="s">
        <v>69</v>
      </c>
      <c r="E237" t="s">
        <v>26</v>
      </c>
      <c r="F237" t="s">
        <v>24</v>
      </c>
      <c r="G237" t="str">
        <f>INDEX(Lookup_Tables!$B$1:$B$7,MATCH(Cleaned_Data!F237,Lookup_Tables!$A$1:$A$7,0))</f>
        <v>Electronics</v>
      </c>
      <c r="H237" t="s">
        <v>54</v>
      </c>
      <c r="I237">
        <v>5</v>
      </c>
      <c r="J237">
        <v>21874</v>
      </c>
      <c r="K237">
        <v>0</v>
      </c>
      <c r="L237">
        <f t="shared" si="15"/>
        <v>0</v>
      </c>
      <c r="M237">
        <v>29442</v>
      </c>
      <c r="N237">
        <f t="shared" si="16"/>
        <v>109370</v>
      </c>
      <c r="O237">
        <f t="shared" si="17"/>
        <v>109370</v>
      </c>
      <c r="P237">
        <f>I237*IFERROR(_xlfn.XLOOKUP(F237,Lookup_Tables!Product,Cost),0)</f>
        <v>140230</v>
      </c>
      <c r="Q237">
        <f t="shared" si="18"/>
        <v>-30860</v>
      </c>
      <c r="R237" s="2">
        <f t="shared" si="19"/>
        <v>-0.28216147023863947</v>
      </c>
    </row>
    <row r="238" spans="1:18" x14ac:dyDescent="0.3">
      <c r="A238" t="s">
        <v>295</v>
      </c>
      <c r="B238" s="1">
        <v>45536</v>
      </c>
      <c r="C238" t="s">
        <v>6</v>
      </c>
      <c r="D238" t="s">
        <v>53</v>
      </c>
      <c r="E238" t="s">
        <v>25</v>
      </c>
      <c r="F238" t="s">
        <v>22</v>
      </c>
      <c r="G238" t="str">
        <f>INDEX(Lookup_Tables!$B$1:$B$7,MATCH(Cleaned_Data!F238,Lookup_Tables!$A$1:$A$7,0))</f>
        <v>Furniture</v>
      </c>
      <c r="H238" t="s">
        <v>51</v>
      </c>
      <c r="I238">
        <v>4</v>
      </c>
      <c r="J238">
        <v>2590</v>
      </c>
      <c r="L238">
        <f t="shared" si="15"/>
        <v>0</v>
      </c>
      <c r="M238">
        <v>21250</v>
      </c>
      <c r="N238">
        <f t="shared" si="16"/>
        <v>10360</v>
      </c>
      <c r="O238">
        <f t="shared" si="17"/>
        <v>10360</v>
      </c>
      <c r="P238">
        <f>I238*IFERROR(_xlfn.XLOOKUP(F238,Lookup_Tables!Product,Cost),0)</f>
        <v>52160</v>
      </c>
      <c r="Q238">
        <f t="shared" si="18"/>
        <v>-41800</v>
      </c>
      <c r="R238" s="2">
        <f t="shared" si="19"/>
        <v>-4.0347490347490345</v>
      </c>
    </row>
    <row r="239" spans="1:18" x14ac:dyDescent="0.3">
      <c r="A239" t="s">
        <v>296</v>
      </c>
      <c r="B239" s="1">
        <v>45389</v>
      </c>
      <c r="C239" t="s">
        <v>5</v>
      </c>
      <c r="D239" t="s">
        <v>56</v>
      </c>
      <c r="E239" t="s">
        <v>29</v>
      </c>
      <c r="F239" t="s">
        <v>23</v>
      </c>
      <c r="G239" t="str">
        <f>INDEX(Lookup_Tables!$B$1:$B$7,MATCH(Cleaned_Data!F239,Lookup_Tables!$A$1:$A$7,0))</f>
        <v>Electronics</v>
      </c>
      <c r="H239" t="s">
        <v>54</v>
      </c>
      <c r="I239">
        <v>4</v>
      </c>
      <c r="J239">
        <v>44635</v>
      </c>
      <c r="K239">
        <v>0</v>
      </c>
      <c r="L239">
        <f t="shared" si="15"/>
        <v>0</v>
      </c>
      <c r="N239">
        <f t="shared" si="16"/>
        <v>178540</v>
      </c>
      <c r="O239">
        <f t="shared" si="17"/>
        <v>178540</v>
      </c>
      <c r="P239">
        <f>I239*IFERROR(_xlfn.XLOOKUP(F239,Lookup_Tables!Product,Cost),0)</f>
        <v>77060</v>
      </c>
      <c r="Q239">
        <f t="shared" si="18"/>
        <v>101480</v>
      </c>
      <c r="R239" s="2">
        <f t="shared" si="19"/>
        <v>0.56838803629438783</v>
      </c>
    </row>
    <row r="240" spans="1:18" x14ac:dyDescent="0.3">
      <c r="A240" t="s">
        <v>297</v>
      </c>
      <c r="B240" s="1">
        <v>45485</v>
      </c>
      <c r="C240" t="s">
        <v>6</v>
      </c>
      <c r="D240" t="s">
        <v>64</v>
      </c>
      <c r="E240" t="s">
        <v>26</v>
      </c>
      <c r="F240" t="s">
        <v>23</v>
      </c>
      <c r="G240" t="str">
        <f>INDEX(Lookup_Tables!$B$1:$B$7,MATCH(Cleaned_Data!F240,Lookup_Tables!$A$1:$A$7,0))</f>
        <v>Electronics</v>
      </c>
      <c r="H240" t="s">
        <v>54</v>
      </c>
      <c r="I240">
        <v>5</v>
      </c>
      <c r="J240">
        <v>41238</v>
      </c>
      <c r="K240">
        <v>0</v>
      </c>
      <c r="L240">
        <f t="shared" si="15"/>
        <v>0</v>
      </c>
      <c r="M240">
        <v>16162</v>
      </c>
      <c r="N240">
        <f t="shared" si="16"/>
        <v>206190</v>
      </c>
      <c r="O240">
        <f t="shared" si="17"/>
        <v>206190</v>
      </c>
      <c r="P240">
        <f>I240*IFERROR(_xlfn.XLOOKUP(F240,Lookup_Tables!Product,Cost),0)</f>
        <v>96325</v>
      </c>
      <c r="Q240">
        <f t="shared" si="18"/>
        <v>109865</v>
      </c>
      <c r="R240" s="2">
        <f t="shared" si="19"/>
        <v>0.53283379407342746</v>
      </c>
    </row>
    <row r="241" spans="1:18" x14ac:dyDescent="0.3">
      <c r="A241" t="s">
        <v>298</v>
      </c>
      <c r="B241" s="1">
        <v>45612</v>
      </c>
      <c r="C241" t="s">
        <v>6</v>
      </c>
      <c r="D241" t="s">
        <v>56</v>
      </c>
      <c r="E241" t="s">
        <v>25</v>
      </c>
      <c r="F241" t="s">
        <v>22</v>
      </c>
      <c r="G241" t="str">
        <f>INDEX(Lookup_Tables!$B$1:$B$7,MATCH(Cleaned_Data!F241,Lookup_Tables!$A$1:$A$7,0))</f>
        <v>Furniture</v>
      </c>
      <c r="H241" t="s">
        <v>51</v>
      </c>
      <c r="I241">
        <v>8</v>
      </c>
      <c r="J241">
        <v>31753</v>
      </c>
      <c r="K241">
        <v>0.1</v>
      </c>
      <c r="L241">
        <f t="shared" si="15"/>
        <v>0.1</v>
      </c>
      <c r="M241">
        <v>6886</v>
      </c>
      <c r="N241">
        <f t="shared" si="16"/>
        <v>254024</v>
      </c>
      <c r="O241">
        <f t="shared" si="17"/>
        <v>228621.6</v>
      </c>
      <c r="P241">
        <f>I241*IFERROR(_xlfn.XLOOKUP(F241,Lookup_Tables!Product,Cost),0)</f>
        <v>104320</v>
      </c>
      <c r="Q241">
        <f t="shared" si="18"/>
        <v>124301.6</v>
      </c>
      <c r="R241" s="2">
        <f t="shared" si="19"/>
        <v>0.54370015781535952</v>
      </c>
    </row>
    <row r="242" spans="1:18" x14ac:dyDescent="0.3">
      <c r="A242" t="s">
        <v>299</v>
      </c>
      <c r="B242" s="1">
        <v>45344</v>
      </c>
      <c r="C242" t="s">
        <v>3</v>
      </c>
      <c r="D242" t="s">
        <v>69</v>
      </c>
      <c r="E242" t="s">
        <v>28</v>
      </c>
      <c r="F242" t="s">
        <v>24</v>
      </c>
      <c r="G242" t="str">
        <f>INDEX(Lookup_Tables!$B$1:$B$7,MATCH(Cleaned_Data!F242,Lookup_Tables!$A$1:$A$7,0))</f>
        <v>Electronics</v>
      </c>
      <c r="H242" t="s">
        <v>54</v>
      </c>
      <c r="I242">
        <v>7</v>
      </c>
      <c r="J242">
        <v>2314</v>
      </c>
      <c r="L242">
        <f t="shared" si="15"/>
        <v>0</v>
      </c>
      <c r="M242">
        <v>28739</v>
      </c>
      <c r="N242">
        <f t="shared" si="16"/>
        <v>16198</v>
      </c>
      <c r="O242">
        <f t="shared" si="17"/>
        <v>16198</v>
      </c>
      <c r="P242">
        <f>I242*IFERROR(_xlfn.XLOOKUP(F242,Lookup_Tables!Product,Cost),0)</f>
        <v>196322</v>
      </c>
      <c r="Q242">
        <f t="shared" si="18"/>
        <v>-180124</v>
      </c>
      <c r="R242" s="2">
        <f t="shared" si="19"/>
        <v>-11.120138288677614</v>
      </c>
    </row>
    <row r="243" spans="1:18" x14ac:dyDescent="0.3">
      <c r="A243" t="s">
        <v>300</v>
      </c>
      <c r="B243" s="1">
        <v>45321</v>
      </c>
      <c r="C243" t="s">
        <v>4</v>
      </c>
      <c r="D243" t="s">
        <v>56</v>
      </c>
      <c r="E243" t="s">
        <v>27</v>
      </c>
      <c r="F243" t="s">
        <v>22</v>
      </c>
      <c r="G243" t="str">
        <f>INDEX(Lookup_Tables!$B$1:$B$7,MATCH(Cleaned_Data!F243,Lookup_Tables!$A$1:$A$7,0))</f>
        <v>Furniture</v>
      </c>
      <c r="H243" t="s">
        <v>51</v>
      </c>
      <c r="I243">
        <v>8</v>
      </c>
      <c r="J243">
        <v>5742</v>
      </c>
      <c r="K243">
        <v>0.05</v>
      </c>
      <c r="L243">
        <f t="shared" si="15"/>
        <v>0.05</v>
      </c>
      <c r="N243">
        <f t="shared" si="16"/>
        <v>45936</v>
      </c>
      <c r="O243">
        <f t="shared" si="17"/>
        <v>43639.199999999997</v>
      </c>
      <c r="P243">
        <f>I243*IFERROR(_xlfn.XLOOKUP(F243,Lookup_Tables!Product,Cost),0)</f>
        <v>104320</v>
      </c>
      <c r="Q243">
        <f t="shared" si="18"/>
        <v>-60680.800000000003</v>
      </c>
      <c r="R243" s="2">
        <f t="shared" si="19"/>
        <v>-1.3905112834332436</v>
      </c>
    </row>
    <row r="244" spans="1:18" x14ac:dyDescent="0.3">
      <c r="A244" t="s">
        <v>301</v>
      </c>
      <c r="B244" s="1">
        <v>45388</v>
      </c>
      <c r="C244" t="s">
        <v>3</v>
      </c>
      <c r="D244" t="s">
        <v>64</v>
      </c>
      <c r="E244" t="s">
        <v>29</v>
      </c>
      <c r="F244" t="s">
        <v>61</v>
      </c>
      <c r="G244" t="str">
        <f>INDEX(Lookup_Tables!$B$1:$B$7,MATCH(Cleaned_Data!F244,Lookup_Tables!$A$1:$A$7,0))</f>
        <v>Electronics</v>
      </c>
      <c r="H244" t="s">
        <v>54</v>
      </c>
      <c r="I244">
        <v>1</v>
      </c>
      <c r="J244">
        <v>7341</v>
      </c>
      <c r="L244">
        <f t="shared" si="15"/>
        <v>0</v>
      </c>
      <c r="N244">
        <f t="shared" si="16"/>
        <v>7341</v>
      </c>
      <c r="O244">
        <f t="shared" si="17"/>
        <v>7341</v>
      </c>
      <c r="P244">
        <f>I244*IFERROR(_xlfn.XLOOKUP(F244,Lookup_Tables!Product,Cost),0)</f>
        <v>7384</v>
      </c>
      <c r="Q244">
        <f t="shared" si="18"/>
        <v>-43</v>
      </c>
      <c r="R244" s="2">
        <f t="shared" si="19"/>
        <v>-5.8575126004631519E-3</v>
      </c>
    </row>
    <row r="245" spans="1:18" x14ac:dyDescent="0.3">
      <c r="A245" t="s">
        <v>302</v>
      </c>
      <c r="B245" s="1">
        <v>45424</v>
      </c>
      <c r="C245" t="s">
        <v>5</v>
      </c>
      <c r="D245" t="s">
        <v>76</v>
      </c>
      <c r="E245" t="s">
        <v>28</v>
      </c>
      <c r="F245" t="s">
        <v>23</v>
      </c>
      <c r="G245" t="str">
        <f>INDEX(Lookup_Tables!$B$1:$B$7,MATCH(Cleaned_Data!F245,Lookup_Tables!$A$1:$A$7,0))</f>
        <v>Electronics</v>
      </c>
      <c r="H245" t="s">
        <v>54</v>
      </c>
      <c r="I245">
        <v>5</v>
      </c>
      <c r="J245">
        <v>14006</v>
      </c>
      <c r="L245">
        <f t="shared" si="15"/>
        <v>0</v>
      </c>
      <c r="N245">
        <f t="shared" si="16"/>
        <v>70030</v>
      </c>
      <c r="O245">
        <f t="shared" si="17"/>
        <v>70030</v>
      </c>
      <c r="P245">
        <f>I245*IFERROR(_xlfn.XLOOKUP(F245,Lookup_Tables!Product,Cost),0)</f>
        <v>96325</v>
      </c>
      <c r="Q245">
        <f t="shared" si="18"/>
        <v>-26295</v>
      </c>
      <c r="R245" s="2">
        <f t="shared" si="19"/>
        <v>-0.37548193631300869</v>
      </c>
    </row>
    <row r="246" spans="1:18" x14ac:dyDescent="0.3">
      <c r="A246" t="s">
        <v>303</v>
      </c>
      <c r="B246" s="1">
        <v>45456</v>
      </c>
      <c r="C246" t="s">
        <v>6</v>
      </c>
      <c r="D246" t="s">
        <v>76</v>
      </c>
      <c r="E246" t="s">
        <v>27</v>
      </c>
      <c r="F246" t="s">
        <v>61</v>
      </c>
      <c r="G246" t="str">
        <f>INDEX(Lookup_Tables!$B$1:$B$7,MATCH(Cleaned_Data!F246,Lookup_Tables!$A$1:$A$7,0))</f>
        <v>Electronics</v>
      </c>
      <c r="H246" t="s">
        <v>54</v>
      </c>
      <c r="I246">
        <v>5</v>
      </c>
      <c r="J246">
        <v>33256</v>
      </c>
      <c r="K246">
        <v>0</v>
      </c>
      <c r="L246">
        <f t="shared" si="15"/>
        <v>0</v>
      </c>
      <c r="M246">
        <v>10559</v>
      </c>
      <c r="N246">
        <f t="shared" si="16"/>
        <v>166280</v>
      </c>
      <c r="O246">
        <f t="shared" si="17"/>
        <v>166280</v>
      </c>
      <c r="P246">
        <f>I246*IFERROR(_xlfn.XLOOKUP(F246,Lookup_Tables!Product,Cost),0)</f>
        <v>36920</v>
      </c>
      <c r="Q246">
        <f t="shared" si="18"/>
        <v>129360</v>
      </c>
      <c r="R246" s="2">
        <f t="shared" si="19"/>
        <v>0.7779648785181621</v>
      </c>
    </row>
    <row r="247" spans="1:18" x14ac:dyDescent="0.3">
      <c r="A247" t="s">
        <v>304</v>
      </c>
      <c r="B247" s="1">
        <v>45656</v>
      </c>
      <c r="C247" t="s">
        <v>3</v>
      </c>
      <c r="D247" t="s">
        <v>56</v>
      </c>
      <c r="E247" t="s">
        <v>26</v>
      </c>
      <c r="F247" t="s">
        <v>24</v>
      </c>
      <c r="G247" t="str">
        <f>INDEX(Lookup_Tables!$B$1:$B$7,MATCH(Cleaned_Data!F247,Lookup_Tables!$A$1:$A$7,0))</f>
        <v>Electronics</v>
      </c>
      <c r="H247" t="s">
        <v>54</v>
      </c>
      <c r="I247">
        <v>3</v>
      </c>
      <c r="J247">
        <v>40733</v>
      </c>
      <c r="K247">
        <v>0.05</v>
      </c>
      <c r="L247">
        <f t="shared" si="15"/>
        <v>0.05</v>
      </c>
      <c r="N247">
        <f t="shared" si="16"/>
        <v>122199</v>
      </c>
      <c r="O247">
        <f t="shared" si="17"/>
        <v>116089.05</v>
      </c>
      <c r="P247">
        <f>I247*IFERROR(_xlfn.XLOOKUP(F247,Lookup_Tables!Product,Cost),0)</f>
        <v>84138</v>
      </c>
      <c r="Q247">
        <f t="shared" si="18"/>
        <v>31951.050000000003</v>
      </c>
      <c r="R247" s="2">
        <f t="shared" si="19"/>
        <v>0.27522880064915684</v>
      </c>
    </row>
    <row r="248" spans="1:18" x14ac:dyDescent="0.3">
      <c r="A248" t="s">
        <v>305</v>
      </c>
      <c r="B248" s="1">
        <v>45525</v>
      </c>
      <c r="C248" t="s">
        <v>4</v>
      </c>
      <c r="D248" t="s">
        <v>56</v>
      </c>
      <c r="E248" t="s">
        <v>28</v>
      </c>
      <c r="F248" t="s">
        <v>22</v>
      </c>
      <c r="G248" t="str">
        <f>INDEX(Lookup_Tables!$B$1:$B$7,MATCH(Cleaned_Data!F248,Lookup_Tables!$A$1:$A$7,0))</f>
        <v>Furniture</v>
      </c>
      <c r="H248" t="s">
        <v>51</v>
      </c>
      <c r="I248">
        <v>10</v>
      </c>
      <c r="J248">
        <v>4552</v>
      </c>
      <c r="K248">
        <v>0</v>
      </c>
      <c r="L248">
        <f t="shared" si="15"/>
        <v>0</v>
      </c>
      <c r="M248">
        <v>16220</v>
      </c>
      <c r="N248">
        <f t="shared" si="16"/>
        <v>45520</v>
      </c>
      <c r="O248">
        <f t="shared" si="17"/>
        <v>45520</v>
      </c>
      <c r="P248">
        <f>I248*IFERROR(_xlfn.XLOOKUP(F248,Lookup_Tables!Product,Cost),0)</f>
        <v>130400</v>
      </c>
      <c r="Q248">
        <f t="shared" si="18"/>
        <v>-84880</v>
      </c>
      <c r="R248" s="2">
        <f t="shared" si="19"/>
        <v>-1.8646748681898067</v>
      </c>
    </row>
    <row r="249" spans="1:18" x14ac:dyDescent="0.3">
      <c r="A249" t="s">
        <v>306</v>
      </c>
      <c r="B249" s="1">
        <v>45544</v>
      </c>
      <c r="C249" t="s">
        <v>3</v>
      </c>
      <c r="D249" t="s">
        <v>49</v>
      </c>
      <c r="E249" t="s">
        <v>28</v>
      </c>
      <c r="F249" t="s">
        <v>58</v>
      </c>
      <c r="G249" t="str">
        <f>INDEX(Lookup_Tables!$B$1:$B$7,MATCH(Cleaned_Data!F249,Lookup_Tables!$A$1:$A$7,0))</f>
        <v>Electronics</v>
      </c>
      <c r="H249" t="s">
        <v>54</v>
      </c>
      <c r="I249">
        <v>2</v>
      </c>
      <c r="J249">
        <v>14608</v>
      </c>
      <c r="K249">
        <v>0.1</v>
      </c>
      <c r="L249">
        <f t="shared" si="15"/>
        <v>0.1</v>
      </c>
      <c r="M249">
        <v>26031</v>
      </c>
      <c r="N249">
        <f t="shared" si="16"/>
        <v>29216</v>
      </c>
      <c r="O249">
        <f t="shared" si="17"/>
        <v>26294.400000000001</v>
      </c>
      <c r="P249">
        <f>I249*IFERROR(_xlfn.XLOOKUP(F249,Lookup_Tables!Product,Cost),0)</f>
        <v>5776</v>
      </c>
      <c r="Q249">
        <f t="shared" si="18"/>
        <v>20518.400000000001</v>
      </c>
      <c r="R249" s="2">
        <f t="shared" si="19"/>
        <v>0.78033345503225027</v>
      </c>
    </row>
    <row r="250" spans="1:18" x14ac:dyDescent="0.3">
      <c r="A250" t="s">
        <v>307</v>
      </c>
      <c r="B250" s="1">
        <v>45298</v>
      </c>
      <c r="C250" t="s">
        <v>4</v>
      </c>
      <c r="D250" t="s">
        <v>69</v>
      </c>
      <c r="E250" t="s">
        <v>27</v>
      </c>
      <c r="F250" t="s">
        <v>23</v>
      </c>
      <c r="G250" t="str">
        <f>INDEX(Lookup_Tables!$B$1:$B$7,MATCH(Cleaned_Data!F250,Lookup_Tables!$A$1:$A$7,0))</f>
        <v>Electronics</v>
      </c>
      <c r="H250" t="s">
        <v>54</v>
      </c>
      <c r="I250">
        <v>10</v>
      </c>
      <c r="J250">
        <v>1400</v>
      </c>
      <c r="K250">
        <v>0</v>
      </c>
      <c r="L250">
        <f t="shared" si="15"/>
        <v>0</v>
      </c>
      <c r="M250">
        <v>2038</v>
      </c>
      <c r="N250">
        <f t="shared" si="16"/>
        <v>14000</v>
      </c>
      <c r="O250">
        <f t="shared" si="17"/>
        <v>14000</v>
      </c>
      <c r="P250">
        <f>I250*IFERROR(_xlfn.XLOOKUP(F250,Lookup_Tables!Product,Cost),0)</f>
        <v>192650</v>
      </c>
      <c r="Q250">
        <f t="shared" si="18"/>
        <v>-178650</v>
      </c>
      <c r="R250" s="2">
        <f t="shared" si="19"/>
        <v>-12.760714285714286</v>
      </c>
    </row>
    <row r="251" spans="1:18" x14ac:dyDescent="0.3">
      <c r="A251" t="s">
        <v>308</v>
      </c>
      <c r="B251" s="1">
        <v>45477</v>
      </c>
      <c r="C251" t="s">
        <v>6</v>
      </c>
      <c r="D251" t="s">
        <v>64</v>
      </c>
      <c r="E251" t="s">
        <v>25</v>
      </c>
      <c r="F251" t="s">
        <v>61</v>
      </c>
      <c r="G251" t="str">
        <f>INDEX(Lookup_Tables!$B$1:$B$7,MATCH(Cleaned_Data!F251,Lookup_Tables!$A$1:$A$7,0))</f>
        <v>Electronics</v>
      </c>
      <c r="H251" t="s">
        <v>54</v>
      </c>
      <c r="I251">
        <v>8</v>
      </c>
      <c r="J251">
        <v>16258</v>
      </c>
      <c r="K251">
        <v>0.1</v>
      </c>
      <c r="L251">
        <f t="shared" si="15"/>
        <v>0.1</v>
      </c>
      <c r="M251">
        <v>1521</v>
      </c>
      <c r="N251">
        <f t="shared" si="16"/>
        <v>130064</v>
      </c>
      <c r="O251">
        <f t="shared" si="17"/>
        <v>117057.60000000001</v>
      </c>
      <c r="P251">
        <f>I251*IFERROR(_xlfn.XLOOKUP(F251,Lookup_Tables!Product,Cost),0)</f>
        <v>59072</v>
      </c>
      <c r="Q251">
        <f t="shared" si="18"/>
        <v>57985.600000000006</v>
      </c>
      <c r="R251" s="2">
        <f t="shared" si="19"/>
        <v>0.49535954948674843</v>
      </c>
    </row>
    <row r="252" spans="1:18" x14ac:dyDescent="0.3">
      <c r="A252" t="s">
        <v>309</v>
      </c>
      <c r="B252" s="1">
        <v>45329</v>
      </c>
      <c r="C252" t="s">
        <v>4</v>
      </c>
      <c r="D252" t="s">
        <v>53</v>
      </c>
      <c r="E252" t="s">
        <v>26</v>
      </c>
      <c r="F252" t="s">
        <v>61</v>
      </c>
      <c r="G252" t="str">
        <f>INDEX(Lookup_Tables!$B$1:$B$7,MATCH(Cleaned_Data!F252,Lookup_Tables!$A$1:$A$7,0))</f>
        <v>Electronics</v>
      </c>
      <c r="H252" t="s">
        <v>54</v>
      </c>
      <c r="I252">
        <v>3</v>
      </c>
      <c r="J252">
        <v>7618</v>
      </c>
      <c r="L252">
        <f t="shared" si="15"/>
        <v>0</v>
      </c>
      <c r="M252">
        <v>22100</v>
      </c>
      <c r="N252">
        <f t="shared" si="16"/>
        <v>22854</v>
      </c>
      <c r="O252">
        <f t="shared" si="17"/>
        <v>22854</v>
      </c>
      <c r="P252">
        <f>I252*IFERROR(_xlfn.XLOOKUP(F252,Lookup_Tables!Product,Cost),0)</f>
        <v>22152</v>
      </c>
      <c r="Q252">
        <f t="shared" si="18"/>
        <v>702</v>
      </c>
      <c r="R252" s="2">
        <f t="shared" si="19"/>
        <v>3.0716723549488054E-2</v>
      </c>
    </row>
    <row r="253" spans="1:18" x14ac:dyDescent="0.3">
      <c r="A253" t="s">
        <v>310</v>
      </c>
      <c r="B253" s="1">
        <v>45481</v>
      </c>
      <c r="C253" t="s">
        <v>5</v>
      </c>
      <c r="D253" t="s">
        <v>64</v>
      </c>
      <c r="E253" t="s">
        <v>26</v>
      </c>
      <c r="F253" t="s">
        <v>58</v>
      </c>
      <c r="G253" t="str">
        <f>INDEX(Lookup_Tables!$B$1:$B$7,MATCH(Cleaned_Data!F253,Lookup_Tables!$A$1:$A$7,0))</f>
        <v>Electronics</v>
      </c>
      <c r="H253" t="s">
        <v>54</v>
      </c>
      <c r="I253">
        <v>4</v>
      </c>
      <c r="J253">
        <v>18491</v>
      </c>
      <c r="K253">
        <v>0</v>
      </c>
      <c r="L253">
        <f t="shared" si="15"/>
        <v>0</v>
      </c>
      <c r="N253">
        <f t="shared" si="16"/>
        <v>73964</v>
      </c>
      <c r="O253">
        <f t="shared" si="17"/>
        <v>73964</v>
      </c>
      <c r="P253">
        <f>I253*IFERROR(_xlfn.XLOOKUP(F253,Lookup_Tables!Product,Cost),0)</f>
        <v>11552</v>
      </c>
      <c r="Q253">
        <f t="shared" si="18"/>
        <v>62412</v>
      </c>
      <c r="R253" s="2">
        <f t="shared" si="19"/>
        <v>0.84381591044291815</v>
      </c>
    </row>
    <row r="254" spans="1:18" x14ac:dyDescent="0.3">
      <c r="A254" t="s">
        <v>311</v>
      </c>
      <c r="B254" s="1">
        <v>45481</v>
      </c>
      <c r="C254" t="s">
        <v>5</v>
      </c>
      <c r="D254" t="s">
        <v>56</v>
      </c>
      <c r="E254" t="s">
        <v>29</v>
      </c>
      <c r="F254" t="s">
        <v>22</v>
      </c>
      <c r="G254" t="str">
        <f>INDEX(Lookup_Tables!$B$1:$B$7,MATCH(Cleaned_Data!F254,Lookup_Tables!$A$1:$A$7,0))</f>
        <v>Furniture</v>
      </c>
      <c r="H254" t="s">
        <v>51</v>
      </c>
      <c r="I254">
        <v>6</v>
      </c>
      <c r="J254">
        <v>39319</v>
      </c>
      <c r="L254">
        <f t="shared" si="15"/>
        <v>0</v>
      </c>
      <c r="N254">
        <f t="shared" si="16"/>
        <v>235914</v>
      </c>
      <c r="O254">
        <f t="shared" si="17"/>
        <v>235914</v>
      </c>
      <c r="P254">
        <f>I254*IFERROR(_xlfn.XLOOKUP(F254,Lookup_Tables!Product,Cost),0)</f>
        <v>78240</v>
      </c>
      <c r="Q254">
        <f t="shared" si="18"/>
        <v>157674</v>
      </c>
      <c r="R254" s="2">
        <f t="shared" si="19"/>
        <v>0.66835372211907729</v>
      </c>
    </row>
    <row r="255" spans="1:18" x14ac:dyDescent="0.3">
      <c r="A255" t="s">
        <v>312</v>
      </c>
      <c r="B255" s="1">
        <v>45348</v>
      </c>
      <c r="C255" t="s">
        <v>5</v>
      </c>
      <c r="D255" t="s">
        <v>53</v>
      </c>
      <c r="E255" t="s">
        <v>27</v>
      </c>
      <c r="F255" t="s">
        <v>23</v>
      </c>
      <c r="G255" t="str">
        <f>INDEX(Lookup_Tables!$B$1:$B$7,MATCH(Cleaned_Data!F255,Lookup_Tables!$A$1:$A$7,0))</f>
        <v>Electronics</v>
      </c>
      <c r="H255" t="s">
        <v>54</v>
      </c>
      <c r="I255">
        <v>8</v>
      </c>
      <c r="J255">
        <v>29170</v>
      </c>
      <c r="K255">
        <v>0</v>
      </c>
      <c r="L255">
        <f t="shared" si="15"/>
        <v>0</v>
      </c>
      <c r="M255">
        <v>12380</v>
      </c>
      <c r="N255">
        <f t="shared" si="16"/>
        <v>233360</v>
      </c>
      <c r="O255">
        <f t="shared" si="17"/>
        <v>233360</v>
      </c>
      <c r="P255">
        <f>I255*IFERROR(_xlfn.XLOOKUP(F255,Lookup_Tables!Product,Cost),0)</f>
        <v>154120</v>
      </c>
      <c r="Q255">
        <f t="shared" si="18"/>
        <v>79240</v>
      </c>
      <c r="R255" s="2">
        <f t="shared" si="19"/>
        <v>0.33956119300651355</v>
      </c>
    </row>
    <row r="256" spans="1:18" x14ac:dyDescent="0.3">
      <c r="A256" t="s">
        <v>313</v>
      </c>
      <c r="B256" s="1">
        <v>45523</v>
      </c>
      <c r="C256" t="s">
        <v>4</v>
      </c>
      <c r="D256" t="s">
        <v>64</v>
      </c>
      <c r="E256" t="s">
        <v>27</v>
      </c>
      <c r="F256" t="s">
        <v>23</v>
      </c>
      <c r="G256" t="str">
        <f>INDEX(Lookup_Tables!$B$1:$B$7,MATCH(Cleaned_Data!F256,Lookup_Tables!$A$1:$A$7,0))</f>
        <v>Electronics</v>
      </c>
      <c r="H256" t="s">
        <v>54</v>
      </c>
      <c r="I256">
        <v>7</v>
      </c>
      <c r="J256">
        <v>35912</v>
      </c>
      <c r="K256">
        <v>0</v>
      </c>
      <c r="L256">
        <f t="shared" si="15"/>
        <v>0</v>
      </c>
      <c r="M256">
        <v>22723</v>
      </c>
      <c r="N256">
        <f t="shared" si="16"/>
        <v>251384</v>
      </c>
      <c r="O256">
        <f t="shared" si="17"/>
        <v>251384</v>
      </c>
      <c r="P256">
        <f>I256*IFERROR(_xlfn.XLOOKUP(F256,Lookup_Tables!Product,Cost),0)</f>
        <v>134855</v>
      </c>
      <c r="Q256">
        <f t="shared" si="18"/>
        <v>116529</v>
      </c>
      <c r="R256" s="2">
        <f t="shared" si="19"/>
        <v>0.46354978837157496</v>
      </c>
    </row>
    <row r="257" spans="1:18" x14ac:dyDescent="0.3">
      <c r="A257" t="s">
        <v>314</v>
      </c>
      <c r="B257" s="1">
        <v>45420</v>
      </c>
      <c r="C257" t="s">
        <v>3</v>
      </c>
      <c r="D257" t="s">
        <v>76</v>
      </c>
      <c r="E257" t="s">
        <v>26</v>
      </c>
      <c r="F257" t="s">
        <v>61</v>
      </c>
      <c r="G257" t="str">
        <f>INDEX(Lookup_Tables!$B$1:$B$7,MATCH(Cleaned_Data!F257,Lookup_Tables!$A$1:$A$7,0))</f>
        <v>Electronics</v>
      </c>
      <c r="H257" t="s">
        <v>54</v>
      </c>
      <c r="I257">
        <v>2</v>
      </c>
      <c r="J257">
        <v>29764</v>
      </c>
      <c r="K257">
        <v>0.05</v>
      </c>
      <c r="L257">
        <f t="shared" si="15"/>
        <v>0.05</v>
      </c>
      <c r="M257">
        <v>10578</v>
      </c>
      <c r="N257">
        <f t="shared" si="16"/>
        <v>59528</v>
      </c>
      <c r="O257">
        <f t="shared" si="17"/>
        <v>56551.6</v>
      </c>
      <c r="P257">
        <f>I257*IFERROR(_xlfn.XLOOKUP(F257,Lookup_Tables!Product,Cost),0)</f>
        <v>14768</v>
      </c>
      <c r="Q257">
        <f t="shared" si="18"/>
        <v>41783.599999999999</v>
      </c>
      <c r="R257" s="2">
        <f t="shared" si="19"/>
        <v>0.7388579633467488</v>
      </c>
    </row>
    <row r="258" spans="1:18" x14ac:dyDescent="0.3">
      <c r="A258" t="s">
        <v>315</v>
      </c>
      <c r="B258" s="1">
        <v>45326</v>
      </c>
      <c r="C258" t="s">
        <v>4</v>
      </c>
      <c r="D258" t="s">
        <v>49</v>
      </c>
      <c r="E258" t="s">
        <v>29</v>
      </c>
      <c r="F258" t="s">
        <v>22</v>
      </c>
      <c r="G258" t="str">
        <f>INDEX(Lookup_Tables!$B$1:$B$7,MATCH(Cleaned_Data!F258,Lookup_Tables!$A$1:$A$7,0))</f>
        <v>Furniture</v>
      </c>
      <c r="H258" t="s">
        <v>51</v>
      </c>
      <c r="I258">
        <v>1</v>
      </c>
      <c r="J258">
        <v>38810</v>
      </c>
      <c r="L258">
        <f t="shared" si="15"/>
        <v>0</v>
      </c>
      <c r="M258">
        <v>29860</v>
      </c>
      <c r="N258">
        <f t="shared" si="16"/>
        <v>38810</v>
      </c>
      <c r="O258">
        <f t="shared" si="17"/>
        <v>38810</v>
      </c>
      <c r="P258">
        <f>I258*IFERROR(_xlfn.XLOOKUP(F258,Lookup_Tables!Product,Cost),0)</f>
        <v>13040</v>
      </c>
      <c r="Q258">
        <f t="shared" si="18"/>
        <v>25770</v>
      </c>
      <c r="R258" s="2">
        <f t="shared" si="19"/>
        <v>0.66400412264880182</v>
      </c>
    </row>
    <row r="259" spans="1:18" x14ac:dyDescent="0.3">
      <c r="A259" t="s">
        <v>316</v>
      </c>
      <c r="B259" s="1">
        <v>45312</v>
      </c>
      <c r="C259" t="s">
        <v>3</v>
      </c>
      <c r="D259" t="s">
        <v>76</v>
      </c>
      <c r="E259" t="s">
        <v>28</v>
      </c>
      <c r="F259" t="s">
        <v>58</v>
      </c>
      <c r="G259" t="str">
        <f>INDEX(Lookup_Tables!$B$1:$B$7,MATCH(Cleaned_Data!F259,Lookup_Tables!$A$1:$A$7,0))</f>
        <v>Electronics</v>
      </c>
      <c r="H259" t="s">
        <v>54</v>
      </c>
      <c r="I259">
        <v>7</v>
      </c>
      <c r="J259">
        <v>14517</v>
      </c>
      <c r="L259">
        <f t="shared" ref="L259:L322" si="20">IF(ISBLANK(K259),0,K259)</f>
        <v>0</v>
      </c>
      <c r="N259">
        <f t="shared" ref="N259:N322" si="21">I259*J259</f>
        <v>101619</v>
      </c>
      <c r="O259">
        <f t="shared" ref="O259:O322" si="22">N259-(N259*L259)</f>
        <v>101619</v>
      </c>
      <c r="P259">
        <f>I259*IFERROR(_xlfn.XLOOKUP(F259,Lookup_Tables!Product,Cost),0)</f>
        <v>20216</v>
      </c>
      <c r="Q259">
        <f t="shared" ref="Q259:Q322" si="23">O259-P259</f>
        <v>81403</v>
      </c>
      <c r="R259" s="2">
        <f t="shared" ref="R259:R322" si="24">Q259/O259</f>
        <v>0.8010608252393745</v>
      </c>
    </row>
    <row r="260" spans="1:18" x14ac:dyDescent="0.3">
      <c r="A260" t="s">
        <v>317</v>
      </c>
      <c r="B260" s="1">
        <v>45412</v>
      </c>
      <c r="C260" t="s">
        <v>6</v>
      </c>
      <c r="D260" t="s">
        <v>69</v>
      </c>
      <c r="E260" t="s">
        <v>29</v>
      </c>
      <c r="F260" t="s">
        <v>23</v>
      </c>
      <c r="G260" t="str">
        <f>INDEX(Lookup_Tables!$B$1:$B$7,MATCH(Cleaned_Data!F260,Lookup_Tables!$A$1:$A$7,0))</f>
        <v>Electronics</v>
      </c>
      <c r="H260" t="s">
        <v>54</v>
      </c>
      <c r="I260">
        <v>1</v>
      </c>
      <c r="J260">
        <v>21855</v>
      </c>
      <c r="K260">
        <v>0.1</v>
      </c>
      <c r="L260">
        <f t="shared" si="20"/>
        <v>0.1</v>
      </c>
      <c r="N260">
        <f t="shared" si="21"/>
        <v>21855</v>
      </c>
      <c r="O260">
        <f t="shared" si="22"/>
        <v>19669.5</v>
      </c>
      <c r="P260">
        <f>I260*IFERROR(_xlfn.XLOOKUP(F260,Lookup_Tables!Product,Cost),0)</f>
        <v>19265</v>
      </c>
      <c r="Q260">
        <f t="shared" si="23"/>
        <v>404.5</v>
      </c>
      <c r="R260" s="2">
        <f t="shared" si="24"/>
        <v>2.0564833879864765E-2</v>
      </c>
    </row>
    <row r="261" spans="1:18" x14ac:dyDescent="0.3">
      <c r="A261" t="s">
        <v>318</v>
      </c>
      <c r="B261" s="1">
        <v>45302</v>
      </c>
      <c r="C261" t="s">
        <v>5</v>
      </c>
      <c r="D261" t="s">
        <v>56</v>
      </c>
      <c r="E261" t="s">
        <v>28</v>
      </c>
      <c r="F261" t="s">
        <v>24</v>
      </c>
      <c r="G261" t="str">
        <f>INDEX(Lookup_Tables!$B$1:$B$7,MATCH(Cleaned_Data!F261,Lookup_Tables!$A$1:$A$7,0))</f>
        <v>Electronics</v>
      </c>
      <c r="H261" t="s">
        <v>54</v>
      </c>
      <c r="I261">
        <v>10</v>
      </c>
      <c r="J261">
        <v>38029</v>
      </c>
      <c r="K261">
        <v>0</v>
      </c>
      <c r="L261">
        <f t="shared" si="20"/>
        <v>0</v>
      </c>
      <c r="N261">
        <f t="shared" si="21"/>
        <v>380290</v>
      </c>
      <c r="O261">
        <f t="shared" si="22"/>
        <v>380290</v>
      </c>
      <c r="P261">
        <f>I261*IFERROR(_xlfn.XLOOKUP(F261,Lookup_Tables!Product,Cost),0)</f>
        <v>280460</v>
      </c>
      <c r="Q261">
        <f t="shared" si="23"/>
        <v>99830</v>
      </c>
      <c r="R261" s="2">
        <f t="shared" si="24"/>
        <v>0.26251018959215333</v>
      </c>
    </row>
    <row r="262" spans="1:18" x14ac:dyDescent="0.3">
      <c r="A262" t="s">
        <v>319</v>
      </c>
      <c r="B262" s="1">
        <v>45558</v>
      </c>
      <c r="C262" t="s">
        <v>4</v>
      </c>
      <c r="D262" t="s">
        <v>69</v>
      </c>
      <c r="E262" t="s">
        <v>26</v>
      </c>
      <c r="F262" t="s">
        <v>24</v>
      </c>
      <c r="G262" t="str">
        <f>INDEX(Lookup_Tables!$B$1:$B$7,MATCH(Cleaned_Data!F262,Lookup_Tables!$A$1:$A$7,0))</f>
        <v>Electronics</v>
      </c>
      <c r="H262" t="s">
        <v>54</v>
      </c>
      <c r="I262">
        <v>1</v>
      </c>
      <c r="J262">
        <v>35663</v>
      </c>
      <c r="K262">
        <v>0.1</v>
      </c>
      <c r="L262">
        <f t="shared" si="20"/>
        <v>0.1</v>
      </c>
      <c r="N262">
        <f t="shared" si="21"/>
        <v>35663</v>
      </c>
      <c r="O262">
        <f t="shared" si="22"/>
        <v>32096.7</v>
      </c>
      <c r="P262">
        <f>I262*IFERROR(_xlfn.XLOOKUP(F262,Lookup_Tables!Product,Cost),0)</f>
        <v>28046</v>
      </c>
      <c r="Q262">
        <f t="shared" si="23"/>
        <v>4050.7000000000007</v>
      </c>
      <c r="R262" s="2">
        <f t="shared" si="24"/>
        <v>0.12620300529337908</v>
      </c>
    </row>
    <row r="263" spans="1:18" x14ac:dyDescent="0.3">
      <c r="A263" t="s">
        <v>320</v>
      </c>
      <c r="B263" s="1">
        <v>45331</v>
      </c>
      <c r="C263" t="s">
        <v>3</v>
      </c>
      <c r="D263" t="s">
        <v>69</v>
      </c>
      <c r="E263" t="s">
        <v>26</v>
      </c>
      <c r="F263" t="s">
        <v>22</v>
      </c>
      <c r="G263" t="str">
        <f>INDEX(Lookup_Tables!$B$1:$B$7,MATCH(Cleaned_Data!F263,Lookup_Tables!$A$1:$A$7,0))</f>
        <v>Furniture</v>
      </c>
      <c r="H263" t="s">
        <v>51</v>
      </c>
      <c r="I263">
        <v>8</v>
      </c>
      <c r="J263">
        <v>49032</v>
      </c>
      <c r="K263">
        <v>0.1</v>
      </c>
      <c r="L263">
        <f t="shared" si="20"/>
        <v>0.1</v>
      </c>
      <c r="N263">
        <f t="shared" si="21"/>
        <v>392256</v>
      </c>
      <c r="O263">
        <f t="shared" si="22"/>
        <v>353030.40000000002</v>
      </c>
      <c r="P263">
        <f>I263*IFERROR(_xlfn.XLOOKUP(F263,Lookup_Tables!Product,Cost),0)</f>
        <v>104320</v>
      </c>
      <c r="Q263">
        <f t="shared" si="23"/>
        <v>248710.40000000002</v>
      </c>
      <c r="R263" s="2">
        <f t="shared" si="24"/>
        <v>0.70450136872065405</v>
      </c>
    </row>
    <row r="264" spans="1:18" x14ac:dyDescent="0.3">
      <c r="A264" t="s">
        <v>321</v>
      </c>
      <c r="B264" s="1">
        <v>45375</v>
      </c>
      <c r="C264" t="s">
        <v>3</v>
      </c>
      <c r="D264" t="s">
        <v>69</v>
      </c>
      <c r="E264" t="s">
        <v>28</v>
      </c>
      <c r="F264" t="s">
        <v>23</v>
      </c>
      <c r="G264" t="str">
        <f>INDEX(Lookup_Tables!$B$1:$B$7,MATCH(Cleaned_Data!F264,Lookup_Tables!$A$1:$A$7,0))</f>
        <v>Electronics</v>
      </c>
      <c r="H264" t="s">
        <v>54</v>
      </c>
      <c r="I264">
        <v>1</v>
      </c>
      <c r="J264">
        <v>9951</v>
      </c>
      <c r="L264">
        <f t="shared" si="20"/>
        <v>0</v>
      </c>
      <c r="N264">
        <f t="shared" si="21"/>
        <v>9951</v>
      </c>
      <c r="O264">
        <f t="shared" si="22"/>
        <v>9951</v>
      </c>
      <c r="P264">
        <f>I264*IFERROR(_xlfn.XLOOKUP(F264,Lookup_Tables!Product,Cost),0)</f>
        <v>19265</v>
      </c>
      <c r="Q264">
        <f t="shared" si="23"/>
        <v>-9314</v>
      </c>
      <c r="R264" s="2">
        <f t="shared" si="24"/>
        <v>-0.93598633303185608</v>
      </c>
    </row>
    <row r="265" spans="1:18" x14ac:dyDescent="0.3">
      <c r="A265" t="s">
        <v>322</v>
      </c>
      <c r="B265" s="1">
        <v>45293</v>
      </c>
      <c r="C265" t="s">
        <v>4</v>
      </c>
      <c r="D265" t="s">
        <v>76</v>
      </c>
      <c r="E265" t="s">
        <v>25</v>
      </c>
      <c r="F265" t="s">
        <v>23</v>
      </c>
      <c r="G265" t="str">
        <f>INDEX(Lookup_Tables!$B$1:$B$7,MATCH(Cleaned_Data!F265,Lookup_Tables!$A$1:$A$7,0))</f>
        <v>Electronics</v>
      </c>
      <c r="H265" t="s">
        <v>54</v>
      </c>
      <c r="I265">
        <v>7</v>
      </c>
      <c r="J265">
        <v>5474</v>
      </c>
      <c r="K265">
        <v>0</v>
      </c>
      <c r="L265">
        <f t="shared" si="20"/>
        <v>0</v>
      </c>
      <c r="M265">
        <v>27707</v>
      </c>
      <c r="N265">
        <f t="shared" si="21"/>
        <v>38318</v>
      </c>
      <c r="O265">
        <f t="shared" si="22"/>
        <v>38318</v>
      </c>
      <c r="P265">
        <f>I265*IFERROR(_xlfn.XLOOKUP(F265,Lookup_Tables!Product,Cost),0)</f>
        <v>134855</v>
      </c>
      <c r="Q265">
        <f t="shared" si="23"/>
        <v>-96537</v>
      </c>
      <c r="R265" s="2">
        <f t="shared" si="24"/>
        <v>-2.5193642674461088</v>
      </c>
    </row>
    <row r="266" spans="1:18" x14ac:dyDescent="0.3">
      <c r="A266" t="s">
        <v>323</v>
      </c>
      <c r="B266" s="1">
        <v>45640</v>
      </c>
      <c r="C266" t="s">
        <v>3</v>
      </c>
      <c r="D266" t="s">
        <v>49</v>
      </c>
      <c r="E266" t="s">
        <v>25</v>
      </c>
      <c r="F266" t="s">
        <v>58</v>
      </c>
      <c r="G266" t="str">
        <f>INDEX(Lookup_Tables!$B$1:$B$7,MATCH(Cleaned_Data!F266,Lookup_Tables!$A$1:$A$7,0))</f>
        <v>Electronics</v>
      </c>
      <c r="H266" t="s">
        <v>54</v>
      </c>
      <c r="I266">
        <v>9</v>
      </c>
      <c r="J266">
        <v>25072</v>
      </c>
      <c r="K266">
        <v>0</v>
      </c>
      <c r="L266">
        <f t="shared" si="20"/>
        <v>0</v>
      </c>
      <c r="N266">
        <f t="shared" si="21"/>
        <v>225648</v>
      </c>
      <c r="O266">
        <f t="shared" si="22"/>
        <v>225648</v>
      </c>
      <c r="P266">
        <f>I266*IFERROR(_xlfn.XLOOKUP(F266,Lookup_Tables!Product,Cost),0)</f>
        <v>25992</v>
      </c>
      <c r="Q266">
        <f t="shared" si="23"/>
        <v>199656</v>
      </c>
      <c r="R266" s="2">
        <f t="shared" si="24"/>
        <v>0.88481174218251435</v>
      </c>
    </row>
    <row r="267" spans="1:18" x14ac:dyDescent="0.3">
      <c r="A267" t="s">
        <v>324</v>
      </c>
      <c r="B267" s="1">
        <v>45642</v>
      </c>
      <c r="C267" t="s">
        <v>3</v>
      </c>
      <c r="D267" t="s">
        <v>64</v>
      </c>
      <c r="E267" t="s">
        <v>25</v>
      </c>
      <c r="F267" t="s">
        <v>50</v>
      </c>
      <c r="G267" t="str">
        <f>INDEX(Lookup_Tables!$B$1:$B$7,MATCH(Cleaned_Data!F267,Lookup_Tables!$A$1:$A$7,0))</f>
        <v>Furniture</v>
      </c>
      <c r="H267" t="s">
        <v>51</v>
      </c>
      <c r="I267">
        <v>10</v>
      </c>
      <c r="J267">
        <v>33237</v>
      </c>
      <c r="K267">
        <v>0.05</v>
      </c>
      <c r="L267">
        <f t="shared" si="20"/>
        <v>0.05</v>
      </c>
      <c r="N267">
        <f t="shared" si="21"/>
        <v>332370</v>
      </c>
      <c r="O267">
        <f t="shared" si="22"/>
        <v>315751.5</v>
      </c>
      <c r="P267">
        <f>I267*IFERROR(_xlfn.XLOOKUP(F267,Lookup_Tables!Product,Cost),0)</f>
        <v>132710</v>
      </c>
      <c r="Q267">
        <f t="shared" si="23"/>
        <v>183041.5</v>
      </c>
      <c r="R267" s="2">
        <f t="shared" si="24"/>
        <v>0.57970112572703536</v>
      </c>
    </row>
    <row r="268" spans="1:18" x14ac:dyDescent="0.3">
      <c r="A268" t="s">
        <v>325</v>
      </c>
      <c r="B268" s="1">
        <v>45311</v>
      </c>
      <c r="C268" t="s">
        <v>5</v>
      </c>
      <c r="D268" t="s">
        <v>64</v>
      </c>
      <c r="E268" t="s">
        <v>25</v>
      </c>
      <c r="F268" t="s">
        <v>23</v>
      </c>
      <c r="G268" t="str">
        <f>INDEX(Lookup_Tables!$B$1:$B$7,MATCH(Cleaned_Data!F268,Lookup_Tables!$A$1:$A$7,0))</f>
        <v>Electronics</v>
      </c>
      <c r="H268" t="s">
        <v>54</v>
      </c>
      <c r="I268">
        <v>1</v>
      </c>
      <c r="J268">
        <v>8086</v>
      </c>
      <c r="K268">
        <v>0.05</v>
      </c>
      <c r="L268">
        <f t="shared" si="20"/>
        <v>0.05</v>
      </c>
      <c r="N268">
        <f t="shared" si="21"/>
        <v>8086</v>
      </c>
      <c r="O268">
        <f t="shared" si="22"/>
        <v>7681.7</v>
      </c>
      <c r="P268">
        <f>I268*IFERROR(_xlfn.XLOOKUP(F268,Lookup_Tables!Product,Cost),0)</f>
        <v>19265</v>
      </c>
      <c r="Q268">
        <f t="shared" si="23"/>
        <v>-11583.3</v>
      </c>
      <c r="R268" s="2">
        <f t="shared" si="24"/>
        <v>-1.5079084056914485</v>
      </c>
    </row>
    <row r="269" spans="1:18" x14ac:dyDescent="0.3">
      <c r="A269" t="s">
        <v>326</v>
      </c>
      <c r="B269" s="1">
        <v>45336</v>
      </c>
      <c r="C269" t="s">
        <v>4</v>
      </c>
      <c r="D269" t="s">
        <v>69</v>
      </c>
      <c r="E269" t="s">
        <v>27</v>
      </c>
      <c r="F269" t="s">
        <v>24</v>
      </c>
      <c r="G269" t="str">
        <f>INDEX(Lookup_Tables!$B$1:$B$7,MATCH(Cleaned_Data!F269,Lookup_Tables!$A$1:$A$7,0))</f>
        <v>Electronics</v>
      </c>
      <c r="H269" t="s">
        <v>54</v>
      </c>
      <c r="I269">
        <v>2</v>
      </c>
      <c r="J269">
        <v>46103</v>
      </c>
      <c r="L269">
        <f t="shared" si="20"/>
        <v>0</v>
      </c>
      <c r="M269">
        <v>12440</v>
      </c>
      <c r="N269">
        <f t="shared" si="21"/>
        <v>92206</v>
      </c>
      <c r="O269">
        <f t="shared" si="22"/>
        <v>92206</v>
      </c>
      <c r="P269">
        <f>I269*IFERROR(_xlfn.XLOOKUP(F269,Lookup_Tables!Product,Cost),0)</f>
        <v>56092</v>
      </c>
      <c r="Q269">
        <f t="shared" si="23"/>
        <v>36114</v>
      </c>
      <c r="R269" s="2">
        <f t="shared" si="24"/>
        <v>0.39166648591197972</v>
      </c>
    </row>
    <row r="270" spans="1:18" x14ac:dyDescent="0.3">
      <c r="A270" t="s">
        <v>327</v>
      </c>
      <c r="B270" s="1">
        <v>45306</v>
      </c>
      <c r="C270" t="s">
        <v>5</v>
      </c>
      <c r="D270" t="s">
        <v>69</v>
      </c>
      <c r="E270" t="s">
        <v>27</v>
      </c>
      <c r="F270" t="s">
        <v>61</v>
      </c>
      <c r="G270" t="str">
        <f>INDEX(Lookup_Tables!$B$1:$B$7,MATCH(Cleaned_Data!F270,Lookup_Tables!$A$1:$A$7,0))</f>
        <v>Electronics</v>
      </c>
      <c r="H270" t="s">
        <v>54</v>
      </c>
      <c r="I270">
        <v>5</v>
      </c>
      <c r="J270">
        <v>1184</v>
      </c>
      <c r="K270">
        <v>0.1</v>
      </c>
      <c r="L270">
        <f t="shared" si="20"/>
        <v>0.1</v>
      </c>
      <c r="N270">
        <f t="shared" si="21"/>
        <v>5920</v>
      </c>
      <c r="O270">
        <f t="shared" si="22"/>
        <v>5328</v>
      </c>
      <c r="P270">
        <f>I270*IFERROR(_xlfn.XLOOKUP(F270,Lookup_Tables!Product,Cost),0)</f>
        <v>36920</v>
      </c>
      <c r="Q270">
        <f t="shared" si="23"/>
        <v>-31592</v>
      </c>
      <c r="R270" s="2">
        <f t="shared" si="24"/>
        <v>-5.9294294294294296</v>
      </c>
    </row>
    <row r="271" spans="1:18" x14ac:dyDescent="0.3">
      <c r="A271" t="s">
        <v>328</v>
      </c>
      <c r="B271" s="1">
        <v>45293</v>
      </c>
      <c r="C271" t="s">
        <v>4</v>
      </c>
      <c r="D271" t="s">
        <v>69</v>
      </c>
      <c r="E271" t="s">
        <v>29</v>
      </c>
      <c r="F271" t="s">
        <v>23</v>
      </c>
      <c r="G271" t="str">
        <f>INDEX(Lookup_Tables!$B$1:$B$7,MATCH(Cleaned_Data!F271,Lookup_Tables!$A$1:$A$7,0))</f>
        <v>Electronics</v>
      </c>
      <c r="H271" t="s">
        <v>54</v>
      </c>
      <c r="I271">
        <v>9</v>
      </c>
      <c r="J271">
        <v>37393</v>
      </c>
      <c r="K271">
        <v>0.05</v>
      </c>
      <c r="L271">
        <f t="shared" si="20"/>
        <v>0.05</v>
      </c>
      <c r="M271">
        <v>331</v>
      </c>
      <c r="N271">
        <f t="shared" si="21"/>
        <v>336537</v>
      </c>
      <c r="O271">
        <f t="shared" si="22"/>
        <v>319710.15000000002</v>
      </c>
      <c r="P271">
        <f>I271*IFERROR(_xlfn.XLOOKUP(F271,Lookup_Tables!Product,Cost),0)</f>
        <v>173385</v>
      </c>
      <c r="Q271">
        <f t="shared" si="23"/>
        <v>146325.15000000002</v>
      </c>
      <c r="R271" s="2">
        <f t="shared" si="24"/>
        <v>0.4576806523033442</v>
      </c>
    </row>
    <row r="272" spans="1:18" x14ac:dyDescent="0.3">
      <c r="A272" t="s">
        <v>329</v>
      </c>
      <c r="B272" s="1">
        <v>45333</v>
      </c>
      <c r="C272" t="s">
        <v>3</v>
      </c>
      <c r="D272" t="s">
        <v>76</v>
      </c>
      <c r="E272" t="s">
        <v>25</v>
      </c>
      <c r="F272" t="s">
        <v>58</v>
      </c>
      <c r="G272" t="str">
        <f>INDEX(Lookup_Tables!$B$1:$B$7,MATCH(Cleaned_Data!F272,Lookup_Tables!$A$1:$A$7,0))</f>
        <v>Electronics</v>
      </c>
      <c r="H272" t="s">
        <v>54</v>
      </c>
      <c r="I272">
        <v>1</v>
      </c>
      <c r="J272">
        <v>7943</v>
      </c>
      <c r="K272">
        <v>0</v>
      </c>
      <c r="L272">
        <f t="shared" si="20"/>
        <v>0</v>
      </c>
      <c r="N272">
        <f t="shared" si="21"/>
        <v>7943</v>
      </c>
      <c r="O272">
        <f t="shared" si="22"/>
        <v>7943</v>
      </c>
      <c r="P272">
        <f>I272*IFERROR(_xlfn.XLOOKUP(F272,Lookup_Tables!Product,Cost),0)</f>
        <v>2888</v>
      </c>
      <c r="Q272">
        <f t="shared" si="23"/>
        <v>5055</v>
      </c>
      <c r="R272" s="2">
        <f t="shared" si="24"/>
        <v>0.63640941709681476</v>
      </c>
    </row>
    <row r="273" spans="1:18" x14ac:dyDescent="0.3">
      <c r="A273" t="s">
        <v>330</v>
      </c>
      <c r="B273" s="1">
        <v>45447</v>
      </c>
      <c r="C273" t="s">
        <v>3</v>
      </c>
      <c r="D273" t="s">
        <v>64</v>
      </c>
      <c r="E273" t="s">
        <v>29</v>
      </c>
      <c r="F273" t="s">
        <v>23</v>
      </c>
      <c r="G273" t="str">
        <f>INDEX(Lookup_Tables!$B$1:$B$7,MATCH(Cleaned_Data!F273,Lookup_Tables!$A$1:$A$7,0))</f>
        <v>Electronics</v>
      </c>
      <c r="H273" t="s">
        <v>54</v>
      </c>
      <c r="I273">
        <v>5</v>
      </c>
      <c r="J273">
        <v>43796</v>
      </c>
      <c r="K273">
        <v>0.05</v>
      </c>
      <c r="L273">
        <f t="shared" si="20"/>
        <v>0.05</v>
      </c>
      <c r="M273">
        <v>17627</v>
      </c>
      <c r="N273">
        <f t="shared" si="21"/>
        <v>218980</v>
      </c>
      <c r="O273">
        <f t="shared" si="22"/>
        <v>208031</v>
      </c>
      <c r="P273">
        <f>I273*IFERROR(_xlfn.XLOOKUP(F273,Lookup_Tables!Product,Cost),0)</f>
        <v>96325</v>
      </c>
      <c r="Q273">
        <f t="shared" si="23"/>
        <v>111706</v>
      </c>
      <c r="R273" s="2">
        <f t="shared" si="24"/>
        <v>0.53696804803130305</v>
      </c>
    </row>
    <row r="274" spans="1:18" x14ac:dyDescent="0.3">
      <c r="A274" t="s">
        <v>331</v>
      </c>
      <c r="B274" s="1">
        <v>45303</v>
      </c>
      <c r="C274" t="s">
        <v>4</v>
      </c>
      <c r="D274" t="s">
        <v>56</v>
      </c>
      <c r="E274" t="s">
        <v>28</v>
      </c>
      <c r="F274" t="s">
        <v>50</v>
      </c>
      <c r="G274" t="str">
        <f>INDEX(Lookup_Tables!$B$1:$B$7,MATCH(Cleaned_Data!F274,Lookup_Tables!$A$1:$A$7,0))</f>
        <v>Furniture</v>
      </c>
      <c r="H274" t="s">
        <v>51</v>
      </c>
      <c r="I274">
        <v>3</v>
      </c>
      <c r="J274">
        <v>20673</v>
      </c>
      <c r="L274">
        <f t="shared" si="20"/>
        <v>0</v>
      </c>
      <c r="M274">
        <v>27108</v>
      </c>
      <c r="N274">
        <f t="shared" si="21"/>
        <v>62019</v>
      </c>
      <c r="O274">
        <f t="shared" si="22"/>
        <v>62019</v>
      </c>
      <c r="P274">
        <f>I274*IFERROR(_xlfn.XLOOKUP(F274,Lookup_Tables!Product,Cost),0)</f>
        <v>39813</v>
      </c>
      <c r="Q274">
        <f t="shared" si="23"/>
        <v>22206</v>
      </c>
      <c r="R274" s="2">
        <f t="shared" si="24"/>
        <v>0.35805156484303197</v>
      </c>
    </row>
    <row r="275" spans="1:18" x14ac:dyDescent="0.3">
      <c r="A275" t="s">
        <v>332</v>
      </c>
      <c r="B275" s="1">
        <v>45447</v>
      </c>
      <c r="C275" t="s">
        <v>3</v>
      </c>
      <c r="D275" t="s">
        <v>69</v>
      </c>
      <c r="E275" t="s">
        <v>28</v>
      </c>
      <c r="F275" t="s">
        <v>58</v>
      </c>
      <c r="G275" t="str">
        <f>INDEX(Lookup_Tables!$B$1:$B$7,MATCH(Cleaned_Data!F275,Lookup_Tables!$A$1:$A$7,0))</f>
        <v>Electronics</v>
      </c>
      <c r="H275" t="s">
        <v>54</v>
      </c>
      <c r="I275">
        <v>4</v>
      </c>
      <c r="J275">
        <v>31352</v>
      </c>
      <c r="K275">
        <v>0</v>
      </c>
      <c r="L275">
        <f t="shared" si="20"/>
        <v>0</v>
      </c>
      <c r="M275">
        <v>14790</v>
      </c>
      <c r="N275">
        <f t="shared" si="21"/>
        <v>125408</v>
      </c>
      <c r="O275">
        <f t="shared" si="22"/>
        <v>125408</v>
      </c>
      <c r="P275">
        <f>I275*IFERROR(_xlfn.XLOOKUP(F275,Lookup_Tables!Product,Cost),0)</f>
        <v>11552</v>
      </c>
      <c r="Q275">
        <f t="shared" si="23"/>
        <v>113856</v>
      </c>
      <c r="R275" s="2">
        <f t="shared" si="24"/>
        <v>0.9078846644552182</v>
      </c>
    </row>
    <row r="276" spans="1:18" x14ac:dyDescent="0.3">
      <c r="A276" t="s">
        <v>333</v>
      </c>
      <c r="B276" s="1">
        <v>45626</v>
      </c>
      <c r="C276" t="s">
        <v>6</v>
      </c>
      <c r="D276" t="s">
        <v>76</v>
      </c>
      <c r="E276" t="s">
        <v>25</v>
      </c>
      <c r="F276" t="s">
        <v>24</v>
      </c>
      <c r="G276" t="str">
        <f>INDEX(Lookup_Tables!$B$1:$B$7,MATCH(Cleaned_Data!F276,Lookup_Tables!$A$1:$A$7,0))</f>
        <v>Electronics</v>
      </c>
      <c r="H276" t="s">
        <v>54</v>
      </c>
      <c r="I276">
        <v>7</v>
      </c>
      <c r="J276">
        <v>14680</v>
      </c>
      <c r="L276">
        <f t="shared" si="20"/>
        <v>0</v>
      </c>
      <c r="N276">
        <f t="shared" si="21"/>
        <v>102760</v>
      </c>
      <c r="O276">
        <f t="shared" si="22"/>
        <v>102760</v>
      </c>
      <c r="P276">
        <f>I276*IFERROR(_xlfn.XLOOKUP(F276,Lookup_Tables!Product,Cost),0)</f>
        <v>196322</v>
      </c>
      <c r="Q276">
        <f t="shared" si="23"/>
        <v>-93562</v>
      </c>
      <c r="R276" s="2">
        <f t="shared" si="24"/>
        <v>-0.91049046321525884</v>
      </c>
    </row>
    <row r="277" spans="1:18" x14ac:dyDescent="0.3">
      <c r="A277" t="s">
        <v>334</v>
      </c>
      <c r="B277" s="1">
        <v>45386</v>
      </c>
      <c r="C277" t="s">
        <v>4</v>
      </c>
      <c r="D277" t="s">
        <v>76</v>
      </c>
      <c r="E277" t="s">
        <v>28</v>
      </c>
      <c r="F277" t="s">
        <v>23</v>
      </c>
      <c r="G277" t="str">
        <f>INDEX(Lookup_Tables!$B$1:$B$7,MATCH(Cleaned_Data!F277,Lookup_Tables!$A$1:$A$7,0))</f>
        <v>Electronics</v>
      </c>
      <c r="H277" t="s">
        <v>54</v>
      </c>
      <c r="I277">
        <v>10</v>
      </c>
      <c r="J277">
        <v>35511</v>
      </c>
      <c r="L277">
        <f t="shared" si="20"/>
        <v>0</v>
      </c>
      <c r="N277">
        <f t="shared" si="21"/>
        <v>355110</v>
      </c>
      <c r="O277">
        <f t="shared" si="22"/>
        <v>355110</v>
      </c>
      <c r="P277">
        <f>I277*IFERROR(_xlfn.XLOOKUP(F277,Lookup_Tables!Product,Cost),0)</f>
        <v>192650</v>
      </c>
      <c r="Q277">
        <f t="shared" si="23"/>
        <v>162460</v>
      </c>
      <c r="R277" s="2">
        <f t="shared" si="24"/>
        <v>0.45749204471853794</v>
      </c>
    </row>
    <row r="278" spans="1:18" x14ac:dyDescent="0.3">
      <c r="A278" t="s">
        <v>335</v>
      </c>
      <c r="B278" s="1">
        <v>45378</v>
      </c>
      <c r="C278" t="s">
        <v>4</v>
      </c>
      <c r="D278" t="s">
        <v>69</v>
      </c>
      <c r="E278" t="s">
        <v>28</v>
      </c>
      <c r="F278" t="s">
        <v>23</v>
      </c>
      <c r="G278" t="str">
        <f>INDEX(Lookup_Tables!$B$1:$B$7,MATCH(Cleaned_Data!F278,Lookup_Tables!$A$1:$A$7,0))</f>
        <v>Electronics</v>
      </c>
      <c r="H278" t="s">
        <v>54</v>
      </c>
      <c r="I278">
        <v>10</v>
      </c>
      <c r="J278">
        <v>12530</v>
      </c>
      <c r="K278">
        <v>0.1</v>
      </c>
      <c r="L278">
        <f t="shared" si="20"/>
        <v>0.1</v>
      </c>
      <c r="N278">
        <f t="shared" si="21"/>
        <v>125300</v>
      </c>
      <c r="O278">
        <f t="shared" si="22"/>
        <v>112770</v>
      </c>
      <c r="P278">
        <f>I278*IFERROR(_xlfn.XLOOKUP(F278,Lookup_Tables!Product,Cost),0)</f>
        <v>192650</v>
      </c>
      <c r="Q278">
        <f t="shared" si="23"/>
        <v>-79880</v>
      </c>
      <c r="R278" s="2">
        <f t="shared" si="24"/>
        <v>-0.7083444178416245</v>
      </c>
    </row>
    <row r="279" spans="1:18" x14ac:dyDescent="0.3">
      <c r="A279" t="s">
        <v>336</v>
      </c>
      <c r="B279" s="1">
        <v>45373</v>
      </c>
      <c r="C279" t="s">
        <v>3</v>
      </c>
      <c r="D279" t="s">
        <v>76</v>
      </c>
      <c r="E279" t="s">
        <v>26</v>
      </c>
      <c r="F279" t="s">
        <v>50</v>
      </c>
      <c r="G279" t="str">
        <f>INDEX(Lookup_Tables!$B$1:$B$7,MATCH(Cleaned_Data!F279,Lookup_Tables!$A$1:$A$7,0))</f>
        <v>Furniture</v>
      </c>
      <c r="H279" t="s">
        <v>51</v>
      </c>
      <c r="I279">
        <v>2</v>
      </c>
      <c r="J279">
        <v>41676</v>
      </c>
      <c r="K279">
        <v>0.1</v>
      </c>
      <c r="L279">
        <f t="shared" si="20"/>
        <v>0.1</v>
      </c>
      <c r="N279">
        <f t="shared" si="21"/>
        <v>83352</v>
      </c>
      <c r="O279">
        <f t="shared" si="22"/>
        <v>75016.800000000003</v>
      </c>
      <c r="P279">
        <f>I279*IFERROR(_xlfn.XLOOKUP(F279,Lookup_Tables!Product,Cost),0)</f>
        <v>26542</v>
      </c>
      <c r="Q279">
        <f t="shared" si="23"/>
        <v>48474.8</v>
      </c>
      <c r="R279" s="2">
        <f t="shared" si="24"/>
        <v>0.6461859210203581</v>
      </c>
    </row>
    <row r="280" spans="1:18" x14ac:dyDescent="0.3">
      <c r="A280" t="s">
        <v>337</v>
      </c>
      <c r="B280" s="1">
        <v>45373</v>
      </c>
      <c r="C280" t="s">
        <v>4</v>
      </c>
      <c r="D280" t="s">
        <v>69</v>
      </c>
      <c r="E280" t="s">
        <v>28</v>
      </c>
      <c r="F280" t="s">
        <v>24</v>
      </c>
      <c r="G280" t="str">
        <f>INDEX(Lookup_Tables!$B$1:$B$7,MATCH(Cleaned_Data!F280,Lookup_Tables!$A$1:$A$7,0))</f>
        <v>Electronics</v>
      </c>
      <c r="H280" t="s">
        <v>54</v>
      </c>
      <c r="I280">
        <v>10</v>
      </c>
      <c r="J280">
        <v>22833</v>
      </c>
      <c r="K280">
        <v>0</v>
      </c>
      <c r="L280">
        <f t="shared" si="20"/>
        <v>0</v>
      </c>
      <c r="N280">
        <f t="shared" si="21"/>
        <v>228330</v>
      </c>
      <c r="O280">
        <f t="shared" si="22"/>
        <v>228330</v>
      </c>
      <c r="P280">
        <f>I280*IFERROR(_xlfn.XLOOKUP(F280,Lookup_Tables!Product,Cost),0)</f>
        <v>280460</v>
      </c>
      <c r="Q280">
        <f t="shared" si="23"/>
        <v>-52130</v>
      </c>
      <c r="R280" s="2">
        <f t="shared" si="24"/>
        <v>-0.22830990233434065</v>
      </c>
    </row>
    <row r="281" spans="1:18" x14ac:dyDescent="0.3">
      <c r="A281" t="s">
        <v>338</v>
      </c>
      <c r="B281" s="1">
        <v>45520</v>
      </c>
      <c r="C281" t="s">
        <v>4</v>
      </c>
      <c r="D281" t="s">
        <v>76</v>
      </c>
      <c r="E281" t="s">
        <v>26</v>
      </c>
      <c r="F281" t="s">
        <v>22</v>
      </c>
      <c r="G281" t="str">
        <f>INDEX(Lookup_Tables!$B$1:$B$7,MATCH(Cleaned_Data!F281,Lookup_Tables!$A$1:$A$7,0))</f>
        <v>Furniture</v>
      </c>
      <c r="H281" t="s">
        <v>51</v>
      </c>
      <c r="I281">
        <v>3</v>
      </c>
      <c r="J281">
        <v>27034</v>
      </c>
      <c r="K281">
        <v>0.1</v>
      </c>
      <c r="L281">
        <f t="shared" si="20"/>
        <v>0.1</v>
      </c>
      <c r="N281">
        <f t="shared" si="21"/>
        <v>81102</v>
      </c>
      <c r="O281">
        <f t="shared" si="22"/>
        <v>72991.8</v>
      </c>
      <c r="P281">
        <f>I281*IFERROR(_xlfn.XLOOKUP(F281,Lookup_Tables!Product,Cost),0)</f>
        <v>39120</v>
      </c>
      <c r="Q281">
        <f t="shared" si="23"/>
        <v>33871.800000000003</v>
      </c>
      <c r="R281" s="2">
        <f t="shared" si="24"/>
        <v>0.46404938636942783</v>
      </c>
    </row>
    <row r="282" spans="1:18" x14ac:dyDescent="0.3">
      <c r="A282" t="s">
        <v>339</v>
      </c>
      <c r="B282" s="1">
        <v>45632</v>
      </c>
      <c r="C282" t="s">
        <v>5</v>
      </c>
      <c r="D282" t="s">
        <v>56</v>
      </c>
      <c r="E282" t="s">
        <v>25</v>
      </c>
      <c r="F282" t="s">
        <v>23</v>
      </c>
      <c r="G282" t="str">
        <f>INDEX(Lookup_Tables!$B$1:$B$7,MATCH(Cleaned_Data!F282,Lookup_Tables!$A$1:$A$7,0))</f>
        <v>Electronics</v>
      </c>
      <c r="H282" t="s">
        <v>54</v>
      </c>
      <c r="I282">
        <v>10</v>
      </c>
      <c r="J282">
        <v>8901</v>
      </c>
      <c r="L282">
        <f t="shared" si="20"/>
        <v>0</v>
      </c>
      <c r="N282">
        <f t="shared" si="21"/>
        <v>89010</v>
      </c>
      <c r="O282">
        <f t="shared" si="22"/>
        <v>89010</v>
      </c>
      <c r="P282">
        <f>I282*IFERROR(_xlfn.XLOOKUP(F282,Lookup_Tables!Product,Cost),0)</f>
        <v>192650</v>
      </c>
      <c r="Q282">
        <f t="shared" si="23"/>
        <v>-103640</v>
      </c>
      <c r="R282" s="2">
        <f t="shared" si="24"/>
        <v>-1.1643635546567801</v>
      </c>
    </row>
    <row r="283" spans="1:18" x14ac:dyDescent="0.3">
      <c r="A283" t="s">
        <v>340</v>
      </c>
      <c r="B283" s="1">
        <v>45314</v>
      </c>
      <c r="C283" t="s">
        <v>6</v>
      </c>
      <c r="D283" t="s">
        <v>76</v>
      </c>
      <c r="E283" t="s">
        <v>27</v>
      </c>
      <c r="F283" t="s">
        <v>50</v>
      </c>
      <c r="G283" t="str">
        <f>INDEX(Lookup_Tables!$B$1:$B$7,MATCH(Cleaned_Data!F283,Lookup_Tables!$A$1:$A$7,0))</f>
        <v>Furniture</v>
      </c>
      <c r="H283" t="s">
        <v>51</v>
      </c>
      <c r="I283">
        <v>7</v>
      </c>
      <c r="J283">
        <v>27576</v>
      </c>
      <c r="K283">
        <v>0.1</v>
      </c>
      <c r="L283">
        <f t="shared" si="20"/>
        <v>0.1</v>
      </c>
      <c r="N283">
        <f t="shared" si="21"/>
        <v>193032</v>
      </c>
      <c r="O283">
        <f t="shared" si="22"/>
        <v>173728.8</v>
      </c>
      <c r="P283">
        <f>I283*IFERROR(_xlfn.XLOOKUP(F283,Lookup_Tables!Product,Cost),0)</f>
        <v>92897</v>
      </c>
      <c r="Q283">
        <f t="shared" si="23"/>
        <v>80831.799999999988</v>
      </c>
      <c r="R283" s="2">
        <f t="shared" si="24"/>
        <v>0.46527576314347419</v>
      </c>
    </row>
    <row r="284" spans="1:18" x14ac:dyDescent="0.3">
      <c r="A284" t="s">
        <v>341</v>
      </c>
      <c r="B284" s="1">
        <v>45364</v>
      </c>
      <c r="C284" t="s">
        <v>4</v>
      </c>
      <c r="D284" t="s">
        <v>56</v>
      </c>
      <c r="E284" t="s">
        <v>25</v>
      </c>
      <c r="F284" t="s">
        <v>50</v>
      </c>
      <c r="G284" t="str">
        <f>INDEX(Lookup_Tables!$B$1:$B$7,MATCH(Cleaned_Data!F284,Lookup_Tables!$A$1:$A$7,0))</f>
        <v>Furniture</v>
      </c>
      <c r="H284" t="s">
        <v>51</v>
      </c>
      <c r="I284">
        <v>4</v>
      </c>
      <c r="J284">
        <v>42661</v>
      </c>
      <c r="L284">
        <f t="shared" si="20"/>
        <v>0</v>
      </c>
      <c r="M284">
        <v>5622</v>
      </c>
      <c r="N284">
        <f t="shared" si="21"/>
        <v>170644</v>
      </c>
      <c r="O284">
        <f t="shared" si="22"/>
        <v>170644</v>
      </c>
      <c r="P284">
        <f>I284*IFERROR(_xlfn.XLOOKUP(F284,Lookup_Tables!Product,Cost),0)</f>
        <v>53084</v>
      </c>
      <c r="Q284">
        <f t="shared" si="23"/>
        <v>117560</v>
      </c>
      <c r="R284" s="2">
        <f t="shared" si="24"/>
        <v>0.68891962213731506</v>
      </c>
    </row>
    <row r="285" spans="1:18" x14ac:dyDescent="0.3">
      <c r="A285" t="s">
        <v>342</v>
      </c>
      <c r="B285" s="1">
        <v>45531</v>
      </c>
      <c r="C285" t="s">
        <v>6</v>
      </c>
      <c r="D285" t="s">
        <v>49</v>
      </c>
      <c r="E285" t="s">
        <v>27</v>
      </c>
      <c r="F285" t="s">
        <v>22</v>
      </c>
      <c r="G285" t="str">
        <f>INDEX(Lookup_Tables!$B$1:$B$7,MATCH(Cleaned_Data!F285,Lookup_Tables!$A$1:$A$7,0))</f>
        <v>Furniture</v>
      </c>
      <c r="H285" t="s">
        <v>51</v>
      </c>
      <c r="I285">
        <v>2</v>
      </c>
      <c r="J285">
        <v>16344</v>
      </c>
      <c r="L285">
        <f t="shared" si="20"/>
        <v>0</v>
      </c>
      <c r="N285">
        <f t="shared" si="21"/>
        <v>32688</v>
      </c>
      <c r="O285">
        <f t="shared" si="22"/>
        <v>32688</v>
      </c>
      <c r="P285">
        <f>I285*IFERROR(_xlfn.XLOOKUP(F285,Lookup_Tables!Product,Cost),0)</f>
        <v>26080</v>
      </c>
      <c r="Q285">
        <f t="shared" si="23"/>
        <v>6608</v>
      </c>
      <c r="R285" s="2">
        <f t="shared" si="24"/>
        <v>0.20215369554576604</v>
      </c>
    </row>
    <row r="286" spans="1:18" x14ac:dyDescent="0.3">
      <c r="A286" t="s">
        <v>343</v>
      </c>
      <c r="B286" s="1">
        <v>45307</v>
      </c>
      <c r="C286" t="s">
        <v>4</v>
      </c>
      <c r="D286" t="s">
        <v>53</v>
      </c>
      <c r="E286" t="s">
        <v>27</v>
      </c>
      <c r="F286" t="s">
        <v>50</v>
      </c>
      <c r="G286" t="str">
        <f>INDEX(Lookup_Tables!$B$1:$B$7,MATCH(Cleaned_Data!F286,Lookup_Tables!$A$1:$A$7,0))</f>
        <v>Furniture</v>
      </c>
      <c r="H286" t="s">
        <v>51</v>
      </c>
      <c r="I286">
        <v>2</v>
      </c>
      <c r="J286">
        <v>39671</v>
      </c>
      <c r="K286">
        <v>0</v>
      </c>
      <c r="L286">
        <f t="shared" si="20"/>
        <v>0</v>
      </c>
      <c r="N286">
        <f t="shared" si="21"/>
        <v>79342</v>
      </c>
      <c r="O286">
        <f t="shared" si="22"/>
        <v>79342</v>
      </c>
      <c r="P286">
        <f>I286*IFERROR(_xlfn.XLOOKUP(F286,Lookup_Tables!Product,Cost),0)</f>
        <v>26542</v>
      </c>
      <c r="Q286">
        <f t="shared" si="23"/>
        <v>52800</v>
      </c>
      <c r="R286" s="2">
        <f t="shared" si="24"/>
        <v>0.66547351969952862</v>
      </c>
    </row>
    <row r="287" spans="1:18" x14ac:dyDescent="0.3">
      <c r="A287" t="s">
        <v>344</v>
      </c>
      <c r="B287" s="1">
        <v>45479</v>
      </c>
      <c r="C287" t="s">
        <v>3</v>
      </c>
      <c r="D287" t="s">
        <v>76</v>
      </c>
      <c r="E287" t="s">
        <v>29</v>
      </c>
      <c r="F287" t="s">
        <v>23</v>
      </c>
      <c r="G287" t="str">
        <f>INDEX(Lookup_Tables!$B$1:$B$7,MATCH(Cleaned_Data!F287,Lookup_Tables!$A$1:$A$7,0))</f>
        <v>Electronics</v>
      </c>
      <c r="H287" t="s">
        <v>54</v>
      </c>
      <c r="I287">
        <v>10</v>
      </c>
      <c r="J287">
        <v>40258</v>
      </c>
      <c r="K287">
        <v>0</v>
      </c>
      <c r="L287">
        <f t="shared" si="20"/>
        <v>0</v>
      </c>
      <c r="N287">
        <f t="shared" si="21"/>
        <v>402580</v>
      </c>
      <c r="O287">
        <f t="shared" si="22"/>
        <v>402580</v>
      </c>
      <c r="P287">
        <f>I287*IFERROR(_xlfn.XLOOKUP(F287,Lookup_Tables!Product,Cost),0)</f>
        <v>192650</v>
      </c>
      <c r="Q287">
        <f t="shared" si="23"/>
        <v>209930</v>
      </c>
      <c r="R287" s="2">
        <f t="shared" si="24"/>
        <v>0.52146157285508465</v>
      </c>
    </row>
    <row r="288" spans="1:18" x14ac:dyDescent="0.3">
      <c r="A288" t="s">
        <v>345</v>
      </c>
      <c r="B288" s="1">
        <v>45402</v>
      </c>
      <c r="C288" t="s">
        <v>4</v>
      </c>
      <c r="D288" t="s">
        <v>69</v>
      </c>
      <c r="E288" t="s">
        <v>28</v>
      </c>
      <c r="F288" t="s">
        <v>61</v>
      </c>
      <c r="G288" t="str">
        <f>INDEX(Lookup_Tables!$B$1:$B$7,MATCH(Cleaned_Data!F288,Lookup_Tables!$A$1:$A$7,0))</f>
        <v>Electronics</v>
      </c>
      <c r="H288" t="s">
        <v>54</v>
      </c>
      <c r="I288">
        <v>2</v>
      </c>
      <c r="J288">
        <v>21020</v>
      </c>
      <c r="K288">
        <v>0.1</v>
      </c>
      <c r="L288">
        <f t="shared" si="20"/>
        <v>0.1</v>
      </c>
      <c r="N288">
        <f t="shared" si="21"/>
        <v>42040</v>
      </c>
      <c r="O288">
        <f t="shared" si="22"/>
        <v>37836</v>
      </c>
      <c r="P288">
        <f>I288*IFERROR(_xlfn.XLOOKUP(F288,Lookup_Tables!Product,Cost),0)</f>
        <v>14768</v>
      </c>
      <c r="Q288">
        <f t="shared" si="23"/>
        <v>23068</v>
      </c>
      <c r="R288" s="2">
        <f t="shared" si="24"/>
        <v>0.60968389893223385</v>
      </c>
    </row>
    <row r="289" spans="1:18" x14ac:dyDescent="0.3">
      <c r="A289" t="s">
        <v>346</v>
      </c>
      <c r="B289" s="1">
        <v>45550</v>
      </c>
      <c r="C289" t="s">
        <v>5</v>
      </c>
      <c r="D289" t="s">
        <v>53</v>
      </c>
      <c r="E289" t="s">
        <v>29</v>
      </c>
      <c r="F289" t="s">
        <v>58</v>
      </c>
      <c r="G289" t="str">
        <f>INDEX(Lookup_Tables!$B$1:$B$7,MATCH(Cleaned_Data!F289,Lookup_Tables!$A$1:$A$7,0))</f>
        <v>Electronics</v>
      </c>
      <c r="H289" t="s">
        <v>54</v>
      </c>
      <c r="I289">
        <v>10</v>
      </c>
      <c r="J289">
        <v>13307</v>
      </c>
      <c r="L289">
        <f t="shared" si="20"/>
        <v>0</v>
      </c>
      <c r="M289">
        <v>29633</v>
      </c>
      <c r="N289">
        <f t="shared" si="21"/>
        <v>133070</v>
      </c>
      <c r="O289">
        <f t="shared" si="22"/>
        <v>133070</v>
      </c>
      <c r="P289">
        <f>I289*IFERROR(_xlfn.XLOOKUP(F289,Lookup_Tables!Product,Cost),0)</f>
        <v>28880</v>
      </c>
      <c r="Q289">
        <f t="shared" si="23"/>
        <v>104190</v>
      </c>
      <c r="R289" s="2">
        <f t="shared" si="24"/>
        <v>0.78297136845269411</v>
      </c>
    </row>
    <row r="290" spans="1:18" x14ac:dyDescent="0.3">
      <c r="A290" t="s">
        <v>347</v>
      </c>
      <c r="B290" s="1">
        <v>45598</v>
      </c>
      <c r="C290" t="s">
        <v>5</v>
      </c>
      <c r="D290" t="s">
        <v>64</v>
      </c>
      <c r="E290" t="s">
        <v>28</v>
      </c>
      <c r="F290" t="s">
        <v>22</v>
      </c>
      <c r="G290" t="str">
        <f>INDEX(Lookup_Tables!$B$1:$B$7,MATCH(Cleaned_Data!F290,Lookup_Tables!$A$1:$A$7,0))</f>
        <v>Furniture</v>
      </c>
      <c r="H290" t="s">
        <v>51</v>
      </c>
      <c r="I290">
        <v>2</v>
      </c>
      <c r="J290">
        <v>2363</v>
      </c>
      <c r="K290">
        <v>0.05</v>
      </c>
      <c r="L290">
        <f t="shared" si="20"/>
        <v>0.05</v>
      </c>
      <c r="M290">
        <v>7904</v>
      </c>
      <c r="N290">
        <f t="shared" si="21"/>
        <v>4726</v>
      </c>
      <c r="O290">
        <f t="shared" si="22"/>
        <v>4489.7</v>
      </c>
      <c r="P290">
        <f>I290*IFERROR(_xlfn.XLOOKUP(F290,Lookup_Tables!Product,Cost),0)</f>
        <v>26080</v>
      </c>
      <c r="Q290">
        <f t="shared" si="23"/>
        <v>-21590.3</v>
      </c>
      <c r="R290" s="2">
        <f t="shared" si="24"/>
        <v>-4.8088513709156517</v>
      </c>
    </row>
    <row r="291" spans="1:18" x14ac:dyDescent="0.3">
      <c r="A291" t="s">
        <v>348</v>
      </c>
      <c r="B291" s="1">
        <v>45442</v>
      </c>
      <c r="C291" t="s">
        <v>6</v>
      </c>
      <c r="D291" t="s">
        <v>64</v>
      </c>
      <c r="E291" t="s">
        <v>28</v>
      </c>
      <c r="F291" t="s">
        <v>58</v>
      </c>
      <c r="G291" t="str">
        <f>INDEX(Lookup_Tables!$B$1:$B$7,MATCH(Cleaned_Data!F291,Lookup_Tables!$A$1:$A$7,0))</f>
        <v>Electronics</v>
      </c>
      <c r="H291" t="s">
        <v>54</v>
      </c>
      <c r="I291">
        <v>6</v>
      </c>
      <c r="J291">
        <v>33956</v>
      </c>
      <c r="K291">
        <v>0.1</v>
      </c>
      <c r="L291">
        <f t="shared" si="20"/>
        <v>0.1</v>
      </c>
      <c r="M291">
        <v>27527</v>
      </c>
      <c r="N291">
        <f t="shared" si="21"/>
        <v>203736</v>
      </c>
      <c r="O291">
        <f t="shared" si="22"/>
        <v>183362.4</v>
      </c>
      <c r="P291">
        <f>I291*IFERROR(_xlfn.XLOOKUP(F291,Lookup_Tables!Product,Cost),0)</f>
        <v>17328</v>
      </c>
      <c r="Q291">
        <f t="shared" si="23"/>
        <v>166034.4</v>
      </c>
      <c r="R291" s="2">
        <f t="shared" si="24"/>
        <v>0.90549861912802188</v>
      </c>
    </row>
    <row r="292" spans="1:18" x14ac:dyDescent="0.3">
      <c r="A292" t="s">
        <v>349</v>
      </c>
      <c r="B292" s="1">
        <v>45589</v>
      </c>
      <c r="C292" t="s">
        <v>4</v>
      </c>
      <c r="D292" t="s">
        <v>64</v>
      </c>
      <c r="E292" t="s">
        <v>29</v>
      </c>
      <c r="F292" t="s">
        <v>23</v>
      </c>
      <c r="G292" t="str">
        <f>INDEX(Lookup_Tables!$B$1:$B$7,MATCH(Cleaned_Data!F292,Lookup_Tables!$A$1:$A$7,0))</f>
        <v>Electronics</v>
      </c>
      <c r="H292" t="s">
        <v>54</v>
      </c>
      <c r="I292">
        <v>5</v>
      </c>
      <c r="J292">
        <v>42220</v>
      </c>
      <c r="L292">
        <f t="shared" si="20"/>
        <v>0</v>
      </c>
      <c r="M292">
        <v>29132</v>
      </c>
      <c r="N292">
        <f t="shared" si="21"/>
        <v>211100</v>
      </c>
      <c r="O292">
        <f t="shared" si="22"/>
        <v>211100</v>
      </c>
      <c r="P292">
        <f>I292*IFERROR(_xlfn.XLOOKUP(F292,Lookup_Tables!Product,Cost),0)</f>
        <v>96325</v>
      </c>
      <c r="Q292">
        <f t="shared" si="23"/>
        <v>114775</v>
      </c>
      <c r="R292" s="2">
        <f t="shared" si="24"/>
        <v>0.54369966840360018</v>
      </c>
    </row>
    <row r="293" spans="1:18" x14ac:dyDescent="0.3">
      <c r="A293" t="s">
        <v>350</v>
      </c>
      <c r="B293" s="1">
        <v>45441</v>
      </c>
      <c r="C293" t="s">
        <v>5</v>
      </c>
      <c r="D293" t="s">
        <v>49</v>
      </c>
      <c r="E293" t="s">
        <v>26</v>
      </c>
      <c r="F293" t="s">
        <v>50</v>
      </c>
      <c r="G293" t="str">
        <f>INDEX(Lookup_Tables!$B$1:$B$7,MATCH(Cleaned_Data!F293,Lookup_Tables!$A$1:$A$7,0))</f>
        <v>Furniture</v>
      </c>
      <c r="H293" t="s">
        <v>51</v>
      </c>
      <c r="I293">
        <v>10</v>
      </c>
      <c r="J293">
        <v>12142</v>
      </c>
      <c r="K293">
        <v>0</v>
      </c>
      <c r="L293">
        <f t="shared" si="20"/>
        <v>0</v>
      </c>
      <c r="M293">
        <v>12197</v>
      </c>
      <c r="N293">
        <f t="shared" si="21"/>
        <v>121420</v>
      </c>
      <c r="O293">
        <f t="shared" si="22"/>
        <v>121420</v>
      </c>
      <c r="P293">
        <f>I293*IFERROR(_xlfn.XLOOKUP(F293,Lookup_Tables!Product,Cost),0)</f>
        <v>132710</v>
      </c>
      <c r="Q293">
        <f t="shared" si="23"/>
        <v>-11290</v>
      </c>
      <c r="R293" s="2">
        <f t="shared" si="24"/>
        <v>-9.2983034096524461E-2</v>
      </c>
    </row>
    <row r="294" spans="1:18" x14ac:dyDescent="0.3">
      <c r="A294" t="s">
        <v>351</v>
      </c>
      <c r="B294" s="1">
        <v>45585</v>
      </c>
      <c r="C294" t="s">
        <v>5</v>
      </c>
      <c r="D294" t="s">
        <v>53</v>
      </c>
      <c r="E294" t="s">
        <v>29</v>
      </c>
      <c r="F294" t="s">
        <v>61</v>
      </c>
      <c r="G294" t="str">
        <f>INDEX(Lookup_Tables!$B$1:$B$7,MATCH(Cleaned_Data!F294,Lookup_Tables!$A$1:$A$7,0))</f>
        <v>Electronics</v>
      </c>
      <c r="H294" t="s">
        <v>54</v>
      </c>
      <c r="I294">
        <v>1</v>
      </c>
      <c r="J294">
        <v>38643</v>
      </c>
      <c r="K294">
        <v>0.05</v>
      </c>
      <c r="L294">
        <f t="shared" si="20"/>
        <v>0.05</v>
      </c>
      <c r="N294">
        <f t="shared" si="21"/>
        <v>38643</v>
      </c>
      <c r="O294">
        <f t="shared" si="22"/>
        <v>36710.85</v>
      </c>
      <c r="P294">
        <f>I294*IFERROR(_xlfn.XLOOKUP(F294,Lookup_Tables!Product,Cost),0)</f>
        <v>7384</v>
      </c>
      <c r="Q294">
        <f t="shared" si="23"/>
        <v>29326.85</v>
      </c>
      <c r="R294" s="2">
        <f t="shared" si="24"/>
        <v>0.79886055484958807</v>
      </c>
    </row>
    <row r="295" spans="1:18" x14ac:dyDescent="0.3">
      <c r="A295" t="s">
        <v>352</v>
      </c>
      <c r="B295" s="1">
        <v>45522</v>
      </c>
      <c r="C295" t="s">
        <v>3</v>
      </c>
      <c r="D295" t="s">
        <v>76</v>
      </c>
      <c r="E295" t="s">
        <v>25</v>
      </c>
      <c r="F295" t="s">
        <v>23</v>
      </c>
      <c r="G295" t="str">
        <f>INDEX(Lookup_Tables!$B$1:$B$7,MATCH(Cleaned_Data!F295,Lookup_Tables!$A$1:$A$7,0))</f>
        <v>Electronics</v>
      </c>
      <c r="H295" t="s">
        <v>54</v>
      </c>
      <c r="I295">
        <v>6</v>
      </c>
      <c r="J295">
        <v>18729</v>
      </c>
      <c r="K295">
        <v>0</v>
      </c>
      <c r="L295">
        <f t="shared" si="20"/>
        <v>0</v>
      </c>
      <c r="N295">
        <f t="shared" si="21"/>
        <v>112374</v>
      </c>
      <c r="O295">
        <f t="shared" si="22"/>
        <v>112374</v>
      </c>
      <c r="P295">
        <f>I295*IFERROR(_xlfn.XLOOKUP(F295,Lookup_Tables!Product,Cost),0)</f>
        <v>115590</v>
      </c>
      <c r="Q295">
        <f t="shared" si="23"/>
        <v>-3216</v>
      </c>
      <c r="R295" s="2">
        <f t="shared" si="24"/>
        <v>-2.8618719632655241E-2</v>
      </c>
    </row>
    <row r="296" spans="1:18" x14ac:dyDescent="0.3">
      <c r="A296" t="s">
        <v>353</v>
      </c>
      <c r="B296" s="1">
        <v>45320</v>
      </c>
      <c r="C296" t="s">
        <v>3</v>
      </c>
      <c r="D296" t="s">
        <v>53</v>
      </c>
      <c r="E296" t="s">
        <v>25</v>
      </c>
      <c r="F296" t="s">
        <v>24</v>
      </c>
      <c r="G296" t="str">
        <f>INDEX(Lookup_Tables!$B$1:$B$7,MATCH(Cleaned_Data!F296,Lookup_Tables!$A$1:$A$7,0))</f>
        <v>Electronics</v>
      </c>
      <c r="H296" t="s">
        <v>54</v>
      </c>
      <c r="I296">
        <v>4</v>
      </c>
      <c r="J296">
        <v>16868</v>
      </c>
      <c r="K296">
        <v>0.05</v>
      </c>
      <c r="L296">
        <f t="shared" si="20"/>
        <v>0.05</v>
      </c>
      <c r="N296">
        <f t="shared" si="21"/>
        <v>67472</v>
      </c>
      <c r="O296">
        <f t="shared" si="22"/>
        <v>64098.400000000001</v>
      </c>
      <c r="P296">
        <f>I296*IFERROR(_xlfn.XLOOKUP(F296,Lookup_Tables!Product,Cost),0)</f>
        <v>112184</v>
      </c>
      <c r="Q296">
        <f t="shared" si="23"/>
        <v>-48085.599999999999</v>
      </c>
      <c r="R296" s="2">
        <f t="shared" si="24"/>
        <v>-0.75018409195861357</v>
      </c>
    </row>
    <row r="297" spans="1:18" x14ac:dyDescent="0.3">
      <c r="A297" t="s">
        <v>354</v>
      </c>
      <c r="B297" s="1">
        <v>45453</v>
      </c>
      <c r="C297" t="s">
        <v>3</v>
      </c>
      <c r="D297" t="s">
        <v>53</v>
      </c>
      <c r="E297" t="s">
        <v>27</v>
      </c>
      <c r="F297" t="s">
        <v>24</v>
      </c>
      <c r="G297" t="str">
        <f>INDEX(Lookup_Tables!$B$1:$B$7,MATCH(Cleaned_Data!F297,Lookup_Tables!$A$1:$A$7,0))</f>
        <v>Electronics</v>
      </c>
      <c r="H297" t="s">
        <v>54</v>
      </c>
      <c r="I297">
        <v>4</v>
      </c>
      <c r="J297">
        <v>25541</v>
      </c>
      <c r="K297">
        <v>0</v>
      </c>
      <c r="L297">
        <f t="shared" si="20"/>
        <v>0</v>
      </c>
      <c r="M297">
        <v>27478</v>
      </c>
      <c r="N297">
        <f t="shared" si="21"/>
        <v>102164</v>
      </c>
      <c r="O297">
        <f t="shared" si="22"/>
        <v>102164</v>
      </c>
      <c r="P297">
        <f>I297*IFERROR(_xlfn.XLOOKUP(F297,Lookup_Tables!Product,Cost),0)</f>
        <v>112184</v>
      </c>
      <c r="Q297">
        <f t="shared" si="23"/>
        <v>-10020</v>
      </c>
      <c r="R297" s="2">
        <f t="shared" si="24"/>
        <v>-9.8077600720410316E-2</v>
      </c>
    </row>
    <row r="298" spans="1:18" x14ac:dyDescent="0.3">
      <c r="A298" t="s">
        <v>355</v>
      </c>
      <c r="B298" s="1">
        <v>45298</v>
      </c>
      <c r="C298" t="s">
        <v>4</v>
      </c>
      <c r="D298" t="s">
        <v>64</v>
      </c>
      <c r="E298" t="s">
        <v>25</v>
      </c>
      <c r="F298" t="s">
        <v>50</v>
      </c>
      <c r="G298" t="str">
        <f>INDEX(Lookup_Tables!$B$1:$B$7,MATCH(Cleaned_Data!F298,Lookup_Tables!$A$1:$A$7,0))</f>
        <v>Furniture</v>
      </c>
      <c r="H298" t="s">
        <v>51</v>
      </c>
      <c r="I298">
        <v>10</v>
      </c>
      <c r="J298">
        <v>12880</v>
      </c>
      <c r="L298">
        <f t="shared" si="20"/>
        <v>0</v>
      </c>
      <c r="N298">
        <f t="shared" si="21"/>
        <v>128800</v>
      </c>
      <c r="O298">
        <f t="shared" si="22"/>
        <v>128800</v>
      </c>
      <c r="P298">
        <f>I298*IFERROR(_xlfn.XLOOKUP(F298,Lookup_Tables!Product,Cost),0)</f>
        <v>132710</v>
      </c>
      <c r="Q298">
        <f t="shared" si="23"/>
        <v>-3910</v>
      </c>
      <c r="R298" s="2">
        <f t="shared" si="24"/>
        <v>-3.0357142857142857E-2</v>
      </c>
    </row>
    <row r="299" spans="1:18" x14ac:dyDescent="0.3">
      <c r="A299" t="s">
        <v>356</v>
      </c>
      <c r="B299" s="1">
        <v>45312</v>
      </c>
      <c r="C299" t="s">
        <v>5</v>
      </c>
      <c r="D299" t="s">
        <v>76</v>
      </c>
      <c r="E299" t="s">
        <v>25</v>
      </c>
      <c r="F299" t="s">
        <v>22</v>
      </c>
      <c r="G299" t="str">
        <f>INDEX(Lookup_Tables!$B$1:$B$7,MATCH(Cleaned_Data!F299,Lookup_Tables!$A$1:$A$7,0))</f>
        <v>Furniture</v>
      </c>
      <c r="H299" t="s">
        <v>51</v>
      </c>
      <c r="I299">
        <v>9</v>
      </c>
      <c r="J299">
        <v>25387</v>
      </c>
      <c r="L299">
        <f t="shared" si="20"/>
        <v>0</v>
      </c>
      <c r="M299">
        <v>17234</v>
      </c>
      <c r="N299">
        <f t="shared" si="21"/>
        <v>228483</v>
      </c>
      <c r="O299">
        <f t="shared" si="22"/>
        <v>228483</v>
      </c>
      <c r="P299">
        <f>I299*IFERROR(_xlfn.XLOOKUP(F299,Lookup_Tables!Product,Cost),0)</f>
        <v>117360</v>
      </c>
      <c r="Q299">
        <f t="shared" si="23"/>
        <v>111123</v>
      </c>
      <c r="R299" s="2">
        <f t="shared" si="24"/>
        <v>0.48635128215228268</v>
      </c>
    </row>
    <row r="300" spans="1:18" x14ac:dyDescent="0.3">
      <c r="A300" t="s">
        <v>357</v>
      </c>
      <c r="B300" s="1">
        <v>45420</v>
      </c>
      <c r="C300" t="s">
        <v>5</v>
      </c>
      <c r="D300" t="s">
        <v>76</v>
      </c>
      <c r="E300" t="s">
        <v>25</v>
      </c>
      <c r="F300" t="s">
        <v>23</v>
      </c>
      <c r="G300" t="str">
        <f>INDEX(Lookup_Tables!$B$1:$B$7,MATCH(Cleaned_Data!F300,Lookup_Tables!$A$1:$A$7,0))</f>
        <v>Electronics</v>
      </c>
      <c r="H300" t="s">
        <v>54</v>
      </c>
      <c r="I300">
        <v>9</v>
      </c>
      <c r="J300">
        <v>7879</v>
      </c>
      <c r="L300">
        <f t="shared" si="20"/>
        <v>0</v>
      </c>
      <c r="N300">
        <f t="shared" si="21"/>
        <v>70911</v>
      </c>
      <c r="O300">
        <f t="shared" si="22"/>
        <v>70911</v>
      </c>
      <c r="P300">
        <f>I300*IFERROR(_xlfn.XLOOKUP(F300,Lookup_Tables!Product,Cost),0)</f>
        <v>173385</v>
      </c>
      <c r="Q300">
        <f t="shared" si="23"/>
        <v>-102474</v>
      </c>
      <c r="R300" s="2">
        <f t="shared" si="24"/>
        <v>-1.4451072471125777</v>
      </c>
    </row>
    <row r="301" spans="1:18" x14ac:dyDescent="0.3">
      <c r="A301" t="s">
        <v>358</v>
      </c>
      <c r="B301" s="1">
        <v>45297</v>
      </c>
      <c r="C301" t="s">
        <v>3</v>
      </c>
      <c r="D301" t="s">
        <v>49</v>
      </c>
      <c r="E301" t="s">
        <v>26</v>
      </c>
      <c r="F301" t="s">
        <v>22</v>
      </c>
      <c r="G301" t="str">
        <f>INDEX(Lookup_Tables!$B$1:$B$7,MATCH(Cleaned_Data!F301,Lookup_Tables!$A$1:$A$7,0))</f>
        <v>Furniture</v>
      </c>
      <c r="H301" t="s">
        <v>51</v>
      </c>
      <c r="I301">
        <v>1</v>
      </c>
      <c r="J301">
        <v>5325</v>
      </c>
      <c r="K301">
        <v>0</v>
      </c>
      <c r="L301">
        <f t="shared" si="20"/>
        <v>0</v>
      </c>
      <c r="N301">
        <f t="shared" si="21"/>
        <v>5325</v>
      </c>
      <c r="O301">
        <f t="shared" si="22"/>
        <v>5325</v>
      </c>
      <c r="P301">
        <f>I301*IFERROR(_xlfn.XLOOKUP(F301,Lookup_Tables!Product,Cost),0)</f>
        <v>13040</v>
      </c>
      <c r="Q301">
        <f t="shared" si="23"/>
        <v>-7715</v>
      </c>
      <c r="R301" s="2">
        <f t="shared" si="24"/>
        <v>-1.4488262910798122</v>
      </c>
    </row>
    <row r="302" spans="1:18" x14ac:dyDescent="0.3">
      <c r="A302" t="s">
        <v>359</v>
      </c>
      <c r="B302" s="1">
        <v>45500</v>
      </c>
      <c r="C302" t="s">
        <v>3</v>
      </c>
      <c r="D302" t="s">
        <v>64</v>
      </c>
      <c r="E302" t="s">
        <v>25</v>
      </c>
      <c r="F302" t="s">
        <v>61</v>
      </c>
      <c r="G302" t="str">
        <f>INDEX(Lookup_Tables!$B$1:$B$7,MATCH(Cleaned_Data!F302,Lookup_Tables!$A$1:$A$7,0))</f>
        <v>Electronics</v>
      </c>
      <c r="H302" t="s">
        <v>54</v>
      </c>
      <c r="I302">
        <v>8</v>
      </c>
      <c r="J302">
        <v>9183</v>
      </c>
      <c r="K302">
        <v>0.05</v>
      </c>
      <c r="L302">
        <f t="shared" si="20"/>
        <v>0.05</v>
      </c>
      <c r="M302">
        <v>9900</v>
      </c>
      <c r="N302">
        <f t="shared" si="21"/>
        <v>73464</v>
      </c>
      <c r="O302">
        <f t="shared" si="22"/>
        <v>69790.8</v>
      </c>
      <c r="P302">
        <f>I302*IFERROR(_xlfn.XLOOKUP(F302,Lookup_Tables!Product,Cost),0)</f>
        <v>59072</v>
      </c>
      <c r="Q302">
        <f t="shared" si="23"/>
        <v>10718.800000000003</v>
      </c>
      <c r="R302" s="2">
        <f t="shared" si="24"/>
        <v>0.1535847131713636</v>
      </c>
    </row>
    <row r="303" spans="1:18" x14ac:dyDescent="0.3">
      <c r="A303" t="s">
        <v>360</v>
      </c>
      <c r="B303" s="1">
        <v>45325</v>
      </c>
      <c r="C303" t="s">
        <v>6</v>
      </c>
      <c r="D303" t="s">
        <v>49</v>
      </c>
      <c r="E303" t="s">
        <v>27</v>
      </c>
      <c r="F303" t="s">
        <v>23</v>
      </c>
      <c r="G303" t="str">
        <f>INDEX(Lookup_Tables!$B$1:$B$7,MATCH(Cleaned_Data!F303,Lookup_Tables!$A$1:$A$7,0))</f>
        <v>Electronics</v>
      </c>
      <c r="H303" t="s">
        <v>54</v>
      </c>
      <c r="I303">
        <v>10</v>
      </c>
      <c r="J303">
        <v>10645</v>
      </c>
      <c r="K303">
        <v>0</v>
      </c>
      <c r="L303">
        <f t="shared" si="20"/>
        <v>0</v>
      </c>
      <c r="M303">
        <v>20317</v>
      </c>
      <c r="N303">
        <f t="shared" si="21"/>
        <v>106450</v>
      </c>
      <c r="O303">
        <f t="shared" si="22"/>
        <v>106450</v>
      </c>
      <c r="P303">
        <f>I303*IFERROR(_xlfn.XLOOKUP(F303,Lookup_Tables!Product,Cost),0)</f>
        <v>192650</v>
      </c>
      <c r="Q303">
        <f t="shared" si="23"/>
        <v>-86200</v>
      </c>
      <c r="R303" s="2">
        <f t="shared" si="24"/>
        <v>-0.80976984499765148</v>
      </c>
    </row>
    <row r="304" spans="1:18" x14ac:dyDescent="0.3">
      <c r="A304" t="s">
        <v>361</v>
      </c>
      <c r="B304" s="1">
        <v>45567</v>
      </c>
      <c r="C304" t="s">
        <v>3</v>
      </c>
      <c r="D304" t="s">
        <v>49</v>
      </c>
      <c r="E304" t="s">
        <v>26</v>
      </c>
      <c r="F304" t="s">
        <v>58</v>
      </c>
      <c r="G304" t="str">
        <f>INDEX(Lookup_Tables!$B$1:$B$7,MATCH(Cleaned_Data!F304,Lookup_Tables!$A$1:$A$7,0))</f>
        <v>Electronics</v>
      </c>
      <c r="H304" t="s">
        <v>54</v>
      </c>
      <c r="I304">
        <v>2</v>
      </c>
      <c r="J304">
        <v>4515</v>
      </c>
      <c r="K304">
        <v>0.1</v>
      </c>
      <c r="L304">
        <f t="shared" si="20"/>
        <v>0.1</v>
      </c>
      <c r="N304">
        <f t="shared" si="21"/>
        <v>9030</v>
      </c>
      <c r="O304">
        <f t="shared" si="22"/>
        <v>8127</v>
      </c>
      <c r="P304">
        <f>I304*IFERROR(_xlfn.XLOOKUP(F304,Lookup_Tables!Product,Cost),0)</f>
        <v>5776</v>
      </c>
      <c r="Q304">
        <f t="shared" si="23"/>
        <v>2351</v>
      </c>
      <c r="R304" s="2">
        <f t="shared" si="24"/>
        <v>0.28928263811984745</v>
      </c>
    </row>
    <row r="305" spans="1:18" x14ac:dyDescent="0.3">
      <c r="A305" t="s">
        <v>362</v>
      </c>
      <c r="B305" s="1">
        <v>45636</v>
      </c>
      <c r="C305" t="s">
        <v>3</v>
      </c>
      <c r="D305" t="s">
        <v>53</v>
      </c>
      <c r="E305" t="s">
        <v>27</v>
      </c>
      <c r="F305" t="s">
        <v>22</v>
      </c>
      <c r="G305" t="str">
        <f>INDEX(Lookup_Tables!$B$1:$B$7,MATCH(Cleaned_Data!F305,Lookup_Tables!$A$1:$A$7,0))</f>
        <v>Furniture</v>
      </c>
      <c r="H305" t="s">
        <v>51</v>
      </c>
      <c r="I305">
        <v>5</v>
      </c>
      <c r="J305">
        <v>15620</v>
      </c>
      <c r="K305">
        <v>0.05</v>
      </c>
      <c r="L305">
        <f t="shared" si="20"/>
        <v>0.05</v>
      </c>
      <c r="M305">
        <v>6892</v>
      </c>
      <c r="N305">
        <f t="shared" si="21"/>
        <v>78100</v>
      </c>
      <c r="O305">
        <f t="shared" si="22"/>
        <v>74195</v>
      </c>
      <c r="P305">
        <f>I305*IFERROR(_xlfn.XLOOKUP(F305,Lookup_Tables!Product,Cost),0)</f>
        <v>65200</v>
      </c>
      <c r="Q305">
        <f t="shared" si="23"/>
        <v>8995</v>
      </c>
      <c r="R305" s="2">
        <f t="shared" si="24"/>
        <v>0.12123458454073725</v>
      </c>
    </row>
    <row r="306" spans="1:18" x14ac:dyDescent="0.3">
      <c r="A306" t="s">
        <v>363</v>
      </c>
      <c r="B306" s="1">
        <v>45593</v>
      </c>
      <c r="C306" t="s">
        <v>4</v>
      </c>
      <c r="D306" t="s">
        <v>69</v>
      </c>
      <c r="E306" t="s">
        <v>26</v>
      </c>
      <c r="F306" t="s">
        <v>61</v>
      </c>
      <c r="G306" t="str">
        <f>INDEX(Lookup_Tables!$B$1:$B$7,MATCH(Cleaned_Data!F306,Lookup_Tables!$A$1:$A$7,0))</f>
        <v>Electronics</v>
      </c>
      <c r="H306" t="s">
        <v>54</v>
      </c>
      <c r="I306">
        <v>3</v>
      </c>
      <c r="J306">
        <v>14569</v>
      </c>
      <c r="K306">
        <v>0.1</v>
      </c>
      <c r="L306">
        <f t="shared" si="20"/>
        <v>0.1</v>
      </c>
      <c r="M306">
        <v>19206</v>
      </c>
      <c r="N306">
        <f t="shared" si="21"/>
        <v>43707</v>
      </c>
      <c r="O306">
        <f t="shared" si="22"/>
        <v>39336.300000000003</v>
      </c>
      <c r="P306">
        <f>I306*IFERROR(_xlfn.XLOOKUP(F306,Lookup_Tables!Product,Cost),0)</f>
        <v>22152</v>
      </c>
      <c r="Q306">
        <f t="shared" si="23"/>
        <v>17184.300000000003</v>
      </c>
      <c r="R306" s="2">
        <f t="shared" si="24"/>
        <v>0.43685603373982812</v>
      </c>
    </row>
    <row r="307" spans="1:18" x14ac:dyDescent="0.3">
      <c r="A307" t="s">
        <v>364</v>
      </c>
      <c r="B307" s="1">
        <v>45568</v>
      </c>
      <c r="C307" t="s">
        <v>5</v>
      </c>
      <c r="D307" t="s">
        <v>64</v>
      </c>
      <c r="E307" t="s">
        <v>29</v>
      </c>
      <c r="F307" t="s">
        <v>61</v>
      </c>
      <c r="G307" t="str">
        <f>INDEX(Lookup_Tables!$B$1:$B$7,MATCH(Cleaned_Data!F307,Lookup_Tables!$A$1:$A$7,0))</f>
        <v>Electronics</v>
      </c>
      <c r="H307" t="s">
        <v>54</v>
      </c>
      <c r="I307">
        <v>7</v>
      </c>
      <c r="J307">
        <v>8675</v>
      </c>
      <c r="K307">
        <v>0</v>
      </c>
      <c r="L307">
        <f t="shared" si="20"/>
        <v>0</v>
      </c>
      <c r="M307">
        <v>12497</v>
      </c>
      <c r="N307">
        <f t="shared" si="21"/>
        <v>60725</v>
      </c>
      <c r="O307">
        <f t="shared" si="22"/>
        <v>60725</v>
      </c>
      <c r="P307">
        <f>I307*IFERROR(_xlfn.XLOOKUP(F307,Lookup_Tables!Product,Cost),0)</f>
        <v>51688</v>
      </c>
      <c r="Q307">
        <f t="shared" si="23"/>
        <v>9037</v>
      </c>
      <c r="R307" s="2">
        <f t="shared" si="24"/>
        <v>0.14881844380403458</v>
      </c>
    </row>
    <row r="308" spans="1:18" x14ac:dyDescent="0.3">
      <c r="A308" t="s">
        <v>365</v>
      </c>
      <c r="B308" s="1">
        <v>45566</v>
      </c>
      <c r="C308" t="s">
        <v>6</v>
      </c>
      <c r="D308" t="s">
        <v>69</v>
      </c>
      <c r="E308" t="s">
        <v>25</v>
      </c>
      <c r="F308" t="s">
        <v>58</v>
      </c>
      <c r="G308" t="str">
        <f>INDEX(Lookup_Tables!$B$1:$B$7,MATCH(Cleaned_Data!F308,Lookup_Tables!$A$1:$A$7,0))</f>
        <v>Electronics</v>
      </c>
      <c r="H308" t="s">
        <v>54</v>
      </c>
      <c r="I308">
        <v>8</v>
      </c>
      <c r="J308">
        <v>34922</v>
      </c>
      <c r="K308">
        <v>0.05</v>
      </c>
      <c r="L308">
        <f t="shared" si="20"/>
        <v>0.05</v>
      </c>
      <c r="N308">
        <f t="shared" si="21"/>
        <v>279376</v>
      </c>
      <c r="O308">
        <f t="shared" si="22"/>
        <v>265407.2</v>
      </c>
      <c r="P308">
        <f>I308*IFERROR(_xlfn.XLOOKUP(F308,Lookup_Tables!Product,Cost),0)</f>
        <v>23104</v>
      </c>
      <c r="Q308">
        <f t="shared" si="23"/>
        <v>242303.2</v>
      </c>
      <c r="R308" s="2">
        <f t="shared" si="24"/>
        <v>0.91294885745375409</v>
      </c>
    </row>
    <row r="309" spans="1:18" x14ac:dyDescent="0.3">
      <c r="A309" t="s">
        <v>366</v>
      </c>
      <c r="B309" s="1">
        <v>45463</v>
      </c>
      <c r="C309" t="s">
        <v>3</v>
      </c>
      <c r="D309" t="s">
        <v>49</v>
      </c>
      <c r="E309" t="s">
        <v>27</v>
      </c>
      <c r="F309" t="s">
        <v>22</v>
      </c>
      <c r="G309" t="str">
        <f>INDEX(Lookup_Tables!$B$1:$B$7,MATCH(Cleaned_Data!F309,Lookup_Tables!$A$1:$A$7,0))</f>
        <v>Furniture</v>
      </c>
      <c r="H309" t="s">
        <v>51</v>
      </c>
      <c r="I309">
        <v>9</v>
      </c>
      <c r="J309">
        <v>41185</v>
      </c>
      <c r="K309">
        <v>0.05</v>
      </c>
      <c r="L309">
        <f t="shared" si="20"/>
        <v>0.05</v>
      </c>
      <c r="N309">
        <f t="shared" si="21"/>
        <v>370665</v>
      </c>
      <c r="O309">
        <f t="shared" si="22"/>
        <v>352131.75</v>
      </c>
      <c r="P309">
        <f>I309*IFERROR(_xlfn.XLOOKUP(F309,Lookup_Tables!Product,Cost),0)</f>
        <v>117360</v>
      </c>
      <c r="Q309">
        <f t="shared" si="23"/>
        <v>234771.75</v>
      </c>
      <c r="R309" s="2">
        <f t="shared" si="24"/>
        <v>0.66671565401302213</v>
      </c>
    </row>
    <row r="310" spans="1:18" x14ac:dyDescent="0.3">
      <c r="A310" t="s">
        <v>367</v>
      </c>
      <c r="B310" s="1">
        <v>45579</v>
      </c>
      <c r="C310" t="s">
        <v>4</v>
      </c>
      <c r="D310" t="s">
        <v>64</v>
      </c>
      <c r="E310" t="s">
        <v>28</v>
      </c>
      <c r="F310" t="s">
        <v>50</v>
      </c>
      <c r="G310" t="str">
        <f>INDEX(Lookup_Tables!$B$1:$B$7,MATCH(Cleaned_Data!F310,Lookup_Tables!$A$1:$A$7,0))</f>
        <v>Furniture</v>
      </c>
      <c r="H310" t="s">
        <v>51</v>
      </c>
      <c r="I310">
        <v>2</v>
      </c>
      <c r="J310">
        <v>13604</v>
      </c>
      <c r="K310">
        <v>0</v>
      </c>
      <c r="L310">
        <f t="shared" si="20"/>
        <v>0</v>
      </c>
      <c r="M310">
        <v>27676</v>
      </c>
      <c r="N310">
        <f t="shared" si="21"/>
        <v>27208</v>
      </c>
      <c r="O310">
        <f t="shared" si="22"/>
        <v>27208</v>
      </c>
      <c r="P310">
        <f>I310*IFERROR(_xlfn.XLOOKUP(F310,Lookup_Tables!Product,Cost),0)</f>
        <v>26542</v>
      </c>
      <c r="Q310">
        <f t="shared" si="23"/>
        <v>666</v>
      </c>
      <c r="R310" s="2">
        <f t="shared" si="24"/>
        <v>2.4478094678035873E-2</v>
      </c>
    </row>
    <row r="311" spans="1:18" x14ac:dyDescent="0.3">
      <c r="A311" t="s">
        <v>368</v>
      </c>
      <c r="B311" s="1">
        <v>45461</v>
      </c>
      <c r="C311" t="s">
        <v>6</v>
      </c>
      <c r="D311" t="s">
        <v>76</v>
      </c>
      <c r="E311" t="s">
        <v>28</v>
      </c>
      <c r="F311" t="s">
        <v>61</v>
      </c>
      <c r="G311" t="str">
        <f>INDEX(Lookup_Tables!$B$1:$B$7,MATCH(Cleaned_Data!F311,Lookup_Tables!$A$1:$A$7,0))</f>
        <v>Electronics</v>
      </c>
      <c r="H311" t="s">
        <v>54</v>
      </c>
      <c r="I311">
        <v>3</v>
      </c>
      <c r="J311">
        <v>24085</v>
      </c>
      <c r="L311">
        <f t="shared" si="20"/>
        <v>0</v>
      </c>
      <c r="N311">
        <f t="shared" si="21"/>
        <v>72255</v>
      </c>
      <c r="O311">
        <f t="shared" si="22"/>
        <v>72255</v>
      </c>
      <c r="P311">
        <f>I311*IFERROR(_xlfn.XLOOKUP(F311,Lookup_Tables!Product,Cost),0)</f>
        <v>22152</v>
      </c>
      <c r="Q311">
        <f t="shared" si="23"/>
        <v>50103</v>
      </c>
      <c r="R311" s="2">
        <f t="shared" si="24"/>
        <v>0.69341914054390696</v>
      </c>
    </row>
    <row r="312" spans="1:18" x14ac:dyDescent="0.3">
      <c r="A312" t="s">
        <v>369</v>
      </c>
      <c r="B312" s="1">
        <v>45387</v>
      </c>
      <c r="C312" t="s">
        <v>5</v>
      </c>
      <c r="D312" t="s">
        <v>56</v>
      </c>
      <c r="E312" t="s">
        <v>27</v>
      </c>
      <c r="F312" t="s">
        <v>50</v>
      </c>
      <c r="G312" t="str">
        <f>INDEX(Lookup_Tables!$B$1:$B$7,MATCH(Cleaned_Data!F312,Lookup_Tables!$A$1:$A$7,0))</f>
        <v>Furniture</v>
      </c>
      <c r="H312" t="s">
        <v>51</v>
      </c>
      <c r="I312">
        <v>9</v>
      </c>
      <c r="J312">
        <v>35983</v>
      </c>
      <c r="K312">
        <v>0.1</v>
      </c>
      <c r="L312">
        <f t="shared" si="20"/>
        <v>0.1</v>
      </c>
      <c r="M312">
        <v>25066</v>
      </c>
      <c r="N312">
        <f t="shared" si="21"/>
        <v>323847</v>
      </c>
      <c r="O312">
        <f t="shared" si="22"/>
        <v>291462.3</v>
      </c>
      <c r="P312">
        <f>I312*IFERROR(_xlfn.XLOOKUP(F312,Lookup_Tables!Product,Cost),0)</f>
        <v>119439</v>
      </c>
      <c r="Q312">
        <f t="shared" si="23"/>
        <v>172023.3</v>
      </c>
      <c r="R312" s="2">
        <f t="shared" si="24"/>
        <v>0.59020772154752088</v>
      </c>
    </row>
    <row r="313" spans="1:18" x14ac:dyDescent="0.3">
      <c r="A313" t="s">
        <v>370</v>
      </c>
      <c r="B313" s="1">
        <v>45450</v>
      </c>
      <c r="C313" t="s">
        <v>6</v>
      </c>
      <c r="D313" t="s">
        <v>76</v>
      </c>
      <c r="E313" t="s">
        <v>25</v>
      </c>
      <c r="F313" t="s">
        <v>50</v>
      </c>
      <c r="G313" t="str">
        <f>INDEX(Lookup_Tables!$B$1:$B$7,MATCH(Cleaned_Data!F313,Lookup_Tables!$A$1:$A$7,0))</f>
        <v>Furniture</v>
      </c>
      <c r="H313" t="s">
        <v>51</v>
      </c>
      <c r="I313">
        <v>3</v>
      </c>
      <c r="J313">
        <v>22443</v>
      </c>
      <c r="K313">
        <v>0.1</v>
      </c>
      <c r="L313">
        <f t="shared" si="20"/>
        <v>0.1</v>
      </c>
      <c r="N313">
        <f t="shared" si="21"/>
        <v>67329</v>
      </c>
      <c r="O313">
        <f t="shared" si="22"/>
        <v>60596.1</v>
      </c>
      <c r="P313">
        <f>I313*IFERROR(_xlfn.XLOOKUP(F313,Lookup_Tables!Product,Cost),0)</f>
        <v>39813</v>
      </c>
      <c r="Q313">
        <f t="shared" si="23"/>
        <v>20783.099999999999</v>
      </c>
      <c r="R313" s="2">
        <f t="shared" si="24"/>
        <v>0.34297751835514168</v>
      </c>
    </row>
    <row r="314" spans="1:18" x14ac:dyDescent="0.3">
      <c r="A314" t="s">
        <v>371</v>
      </c>
      <c r="B314" s="1">
        <v>45375</v>
      </c>
      <c r="C314" t="s">
        <v>6</v>
      </c>
      <c r="D314" t="s">
        <v>56</v>
      </c>
      <c r="E314" t="s">
        <v>26</v>
      </c>
      <c r="F314" t="s">
        <v>24</v>
      </c>
      <c r="G314" t="str">
        <f>INDEX(Lookup_Tables!$B$1:$B$7,MATCH(Cleaned_Data!F314,Lookup_Tables!$A$1:$A$7,0))</f>
        <v>Electronics</v>
      </c>
      <c r="H314" t="s">
        <v>54</v>
      </c>
      <c r="I314">
        <v>3</v>
      </c>
      <c r="J314">
        <v>34124</v>
      </c>
      <c r="K314">
        <v>0</v>
      </c>
      <c r="L314">
        <f t="shared" si="20"/>
        <v>0</v>
      </c>
      <c r="N314">
        <f t="shared" si="21"/>
        <v>102372</v>
      </c>
      <c r="O314">
        <f t="shared" si="22"/>
        <v>102372</v>
      </c>
      <c r="P314">
        <f>I314*IFERROR(_xlfn.XLOOKUP(F314,Lookup_Tables!Product,Cost),0)</f>
        <v>84138</v>
      </c>
      <c r="Q314">
        <f t="shared" si="23"/>
        <v>18234</v>
      </c>
      <c r="R314" s="2">
        <f t="shared" si="24"/>
        <v>0.17811510960028132</v>
      </c>
    </row>
    <row r="315" spans="1:18" x14ac:dyDescent="0.3">
      <c r="A315" t="s">
        <v>372</v>
      </c>
      <c r="B315" s="1">
        <v>45503</v>
      </c>
      <c r="C315" t="s">
        <v>3</v>
      </c>
      <c r="D315" t="s">
        <v>64</v>
      </c>
      <c r="E315" t="s">
        <v>27</v>
      </c>
      <c r="F315" t="s">
        <v>23</v>
      </c>
      <c r="G315" t="str">
        <f>INDEX(Lookup_Tables!$B$1:$B$7,MATCH(Cleaned_Data!F315,Lookup_Tables!$A$1:$A$7,0))</f>
        <v>Electronics</v>
      </c>
      <c r="H315" t="s">
        <v>54</v>
      </c>
      <c r="I315">
        <v>10</v>
      </c>
      <c r="J315">
        <v>45042</v>
      </c>
      <c r="L315">
        <f t="shared" si="20"/>
        <v>0</v>
      </c>
      <c r="N315">
        <f t="shared" si="21"/>
        <v>450420</v>
      </c>
      <c r="O315">
        <f t="shared" si="22"/>
        <v>450420</v>
      </c>
      <c r="P315">
        <f>I315*IFERROR(_xlfn.XLOOKUP(F315,Lookup_Tables!Product,Cost),0)</f>
        <v>192650</v>
      </c>
      <c r="Q315">
        <f t="shared" si="23"/>
        <v>257770</v>
      </c>
      <c r="R315" s="2">
        <f t="shared" si="24"/>
        <v>0.57228808667465925</v>
      </c>
    </row>
    <row r="316" spans="1:18" x14ac:dyDescent="0.3">
      <c r="A316" t="s">
        <v>373</v>
      </c>
      <c r="B316" s="1">
        <v>45544</v>
      </c>
      <c r="C316" t="s">
        <v>5</v>
      </c>
      <c r="D316" t="s">
        <v>64</v>
      </c>
      <c r="E316" t="s">
        <v>29</v>
      </c>
      <c r="F316" t="s">
        <v>58</v>
      </c>
      <c r="G316" t="str">
        <f>INDEX(Lookup_Tables!$B$1:$B$7,MATCH(Cleaned_Data!F316,Lookup_Tables!$A$1:$A$7,0))</f>
        <v>Electronics</v>
      </c>
      <c r="H316" t="s">
        <v>54</v>
      </c>
      <c r="I316">
        <v>2</v>
      </c>
      <c r="J316">
        <v>43200</v>
      </c>
      <c r="L316">
        <f t="shared" si="20"/>
        <v>0</v>
      </c>
      <c r="M316">
        <v>9343</v>
      </c>
      <c r="N316">
        <f t="shared" si="21"/>
        <v>86400</v>
      </c>
      <c r="O316">
        <f t="shared" si="22"/>
        <v>86400</v>
      </c>
      <c r="P316">
        <f>I316*IFERROR(_xlfn.XLOOKUP(F316,Lookup_Tables!Product,Cost),0)</f>
        <v>5776</v>
      </c>
      <c r="Q316">
        <f t="shared" si="23"/>
        <v>80624</v>
      </c>
      <c r="R316" s="2">
        <f t="shared" si="24"/>
        <v>0.93314814814814817</v>
      </c>
    </row>
    <row r="317" spans="1:18" x14ac:dyDescent="0.3">
      <c r="A317" t="s">
        <v>374</v>
      </c>
      <c r="B317" s="1">
        <v>45611</v>
      </c>
      <c r="C317" t="s">
        <v>4</v>
      </c>
      <c r="D317" t="s">
        <v>53</v>
      </c>
      <c r="E317" t="s">
        <v>27</v>
      </c>
      <c r="F317" t="s">
        <v>50</v>
      </c>
      <c r="G317" t="str">
        <f>INDEX(Lookup_Tables!$B$1:$B$7,MATCH(Cleaned_Data!F317,Lookup_Tables!$A$1:$A$7,0))</f>
        <v>Furniture</v>
      </c>
      <c r="H317" t="s">
        <v>51</v>
      </c>
      <c r="I317">
        <v>8</v>
      </c>
      <c r="J317">
        <v>5092</v>
      </c>
      <c r="L317">
        <f t="shared" si="20"/>
        <v>0</v>
      </c>
      <c r="N317">
        <f t="shared" si="21"/>
        <v>40736</v>
      </c>
      <c r="O317">
        <f t="shared" si="22"/>
        <v>40736</v>
      </c>
      <c r="P317">
        <f>I317*IFERROR(_xlfn.XLOOKUP(F317,Lookup_Tables!Product,Cost),0)</f>
        <v>106168</v>
      </c>
      <c r="Q317">
        <f t="shared" si="23"/>
        <v>-65432</v>
      </c>
      <c r="R317" s="2">
        <f t="shared" si="24"/>
        <v>-1.6062450903377847</v>
      </c>
    </row>
    <row r="318" spans="1:18" x14ac:dyDescent="0.3">
      <c r="A318" t="s">
        <v>375</v>
      </c>
      <c r="B318" s="1">
        <v>45538</v>
      </c>
      <c r="C318" t="s">
        <v>3</v>
      </c>
      <c r="D318" t="s">
        <v>76</v>
      </c>
      <c r="E318" t="s">
        <v>27</v>
      </c>
      <c r="F318" t="s">
        <v>24</v>
      </c>
      <c r="G318" t="str">
        <f>INDEX(Lookup_Tables!$B$1:$B$7,MATCH(Cleaned_Data!F318,Lookup_Tables!$A$1:$A$7,0))</f>
        <v>Electronics</v>
      </c>
      <c r="H318" t="s">
        <v>54</v>
      </c>
      <c r="I318">
        <v>2</v>
      </c>
      <c r="J318">
        <v>21795</v>
      </c>
      <c r="K318">
        <v>0.05</v>
      </c>
      <c r="L318">
        <f t="shared" si="20"/>
        <v>0.05</v>
      </c>
      <c r="M318">
        <v>3074</v>
      </c>
      <c r="N318">
        <f t="shared" si="21"/>
        <v>43590</v>
      </c>
      <c r="O318">
        <f t="shared" si="22"/>
        <v>41410.5</v>
      </c>
      <c r="P318">
        <f>I318*IFERROR(_xlfn.XLOOKUP(F318,Lookup_Tables!Product,Cost),0)</f>
        <v>56092</v>
      </c>
      <c r="Q318">
        <f t="shared" si="23"/>
        <v>-14681.5</v>
      </c>
      <c r="R318" s="2">
        <f t="shared" si="24"/>
        <v>-0.35453568539380109</v>
      </c>
    </row>
    <row r="319" spans="1:18" x14ac:dyDescent="0.3">
      <c r="A319" t="s">
        <v>376</v>
      </c>
      <c r="B319" s="1">
        <v>45576</v>
      </c>
      <c r="C319" t="s">
        <v>5</v>
      </c>
      <c r="D319" t="s">
        <v>64</v>
      </c>
      <c r="E319" t="s">
        <v>26</v>
      </c>
      <c r="F319" t="s">
        <v>24</v>
      </c>
      <c r="G319" t="str">
        <f>INDEX(Lookup_Tables!$B$1:$B$7,MATCH(Cleaned_Data!F319,Lookup_Tables!$A$1:$A$7,0))</f>
        <v>Electronics</v>
      </c>
      <c r="H319" t="s">
        <v>54</v>
      </c>
      <c r="I319">
        <v>5</v>
      </c>
      <c r="J319">
        <v>33835</v>
      </c>
      <c r="K319">
        <v>0</v>
      </c>
      <c r="L319">
        <f t="shared" si="20"/>
        <v>0</v>
      </c>
      <c r="M319">
        <v>25389</v>
      </c>
      <c r="N319">
        <f t="shared" si="21"/>
        <v>169175</v>
      </c>
      <c r="O319">
        <f t="shared" si="22"/>
        <v>169175</v>
      </c>
      <c r="P319">
        <f>I319*IFERROR(_xlfn.XLOOKUP(F319,Lookup_Tables!Product,Cost),0)</f>
        <v>140230</v>
      </c>
      <c r="Q319">
        <f t="shared" si="23"/>
        <v>28945</v>
      </c>
      <c r="R319" s="2">
        <f t="shared" si="24"/>
        <v>0.17109501994975618</v>
      </c>
    </row>
    <row r="320" spans="1:18" x14ac:dyDescent="0.3">
      <c r="A320" t="s">
        <v>377</v>
      </c>
      <c r="B320" s="1">
        <v>45456</v>
      </c>
      <c r="C320" t="s">
        <v>3</v>
      </c>
      <c r="D320" t="s">
        <v>69</v>
      </c>
      <c r="E320" t="s">
        <v>29</v>
      </c>
      <c r="F320" t="s">
        <v>50</v>
      </c>
      <c r="G320" t="str">
        <f>INDEX(Lookup_Tables!$B$1:$B$7,MATCH(Cleaned_Data!F320,Lookup_Tables!$A$1:$A$7,0))</f>
        <v>Furniture</v>
      </c>
      <c r="H320" t="s">
        <v>51</v>
      </c>
      <c r="I320">
        <v>8</v>
      </c>
      <c r="J320">
        <v>21564</v>
      </c>
      <c r="L320">
        <f t="shared" si="20"/>
        <v>0</v>
      </c>
      <c r="M320">
        <v>23405</v>
      </c>
      <c r="N320">
        <f t="shared" si="21"/>
        <v>172512</v>
      </c>
      <c r="O320">
        <f t="shared" si="22"/>
        <v>172512</v>
      </c>
      <c r="P320">
        <f>I320*IFERROR(_xlfn.XLOOKUP(F320,Lookup_Tables!Product,Cost),0)</f>
        <v>106168</v>
      </c>
      <c r="Q320">
        <f t="shared" si="23"/>
        <v>66344</v>
      </c>
      <c r="R320" s="2">
        <f t="shared" si="24"/>
        <v>0.38457614542756446</v>
      </c>
    </row>
    <row r="321" spans="1:18" x14ac:dyDescent="0.3">
      <c r="A321" t="s">
        <v>378</v>
      </c>
      <c r="B321" s="1">
        <v>45621</v>
      </c>
      <c r="C321" t="s">
        <v>6</v>
      </c>
      <c r="D321" t="s">
        <v>56</v>
      </c>
      <c r="E321" t="s">
        <v>27</v>
      </c>
      <c r="F321" t="s">
        <v>61</v>
      </c>
      <c r="G321" t="str">
        <f>INDEX(Lookup_Tables!$B$1:$B$7,MATCH(Cleaned_Data!F321,Lookup_Tables!$A$1:$A$7,0))</f>
        <v>Electronics</v>
      </c>
      <c r="H321" t="s">
        <v>54</v>
      </c>
      <c r="I321">
        <v>3</v>
      </c>
      <c r="J321">
        <v>33217</v>
      </c>
      <c r="K321">
        <v>0.05</v>
      </c>
      <c r="L321">
        <f t="shared" si="20"/>
        <v>0.05</v>
      </c>
      <c r="M321">
        <v>619</v>
      </c>
      <c r="N321">
        <f t="shared" si="21"/>
        <v>99651</v>
      </c>
      <c r="O321">
        <f t="shared" si="22"/>
        <v>94668.45</v>
      </c>
      <c r="P321">
        <f>I321*IFERROR(_xlfn.XLOOKUP(F321,Lookup_Tables!Product,Cost),0)</f>
        <v>22152</v>
      </c>
      <c r="Q321">
        <f t="shared" si="23"/>
        <v>72516.45</v>
      </c>
      <c r="R321" s="2">
        <f t="shared" si="24"/>
        <v>0.76600440801555325</v>
      </c>
    </row>
    <row r="322" spans="1:18" x14ac:dyDescent="0.3">
      <c r="A322" t="s">
        <v>379</v>
      </c>
      <c r="B322" s="1">
        <v>45522</v>
      </c>
      <c r="C322" t="s">
        <v>4</v>
      </c>
      <c r="D322" t="s">
        <v>49</v>
      </c>
      <c r="E322" t="s">
        <v>25</v>
      </c>
      <c r="F322" t="s">
        <v>58</v>
      </c>
      <c r="G322" t="str">
        <f>INDEX(Lookup_Tables!$B$1:$B$7,MATCH(Cleaned_Data!F322,Lookup_Tables!$A$1:$A$7,0))</f>
        <v>Electronics</v>
      </c>
      <c r="H322" t="s">
        <v>54</v>
      </c>
      <c r="I322">
        <v>1</v>
      </c>
      <c r="J322">
        <v>32621</v>
      </c>
      <c r="L322">
        <f t="shared" si="20"/>
        <v>0</v>
      </c>
      <c r="N322">
        <f t="shared" si="21"/>
        <v>32621</v>
      </c>
      <c r="O322">
        <f t="shared" si="22"/>
        <v>32621</v>
      </c>
      <c r="P322">
        <f>I322*IFERROR(_xlfn.XLOOKUP(F322,Lookup_Tables!Product,Cost),0)</f>
        <v>2888</v>
      </c>
      <c r="Q322">
        <f t="shared" si="23"/>
        <v>29733</v>
      </c>
      <c r="R322" s="2">
        <f t="shared" si="24"/>
        <v>0.91146807271389596</v>
      </c>
    </row>
    <row r="323" spans="1:18" x14ac:dyDescent="0.3">
      <c r="A323" t="s">
        <v>380</v>
      </c>
      <c r="B323" s="1">
        <v>45304</v>
      </c>
      <c r="C323" t="s">
        <v>6</v>
      </c>
      <c r="D323" t="s">
        <v>56</v>
      </c>
      <c r="E323" t="s">
        <v>28</v>
      </c>
      <c r="F323" t="s">
        <v>61</v>
      </c>
      <c r="G323" t="str">
        <f>INDEX(Lookup_Tables!$B$1:$B$7,MATCH(Cleaned_Data!F323,Lookup_Tables!$A$1:$A$7,0))</f>
        <v>Electronics</v>
      </c>
      <c r="H323" t="s">
        <v>54</v>
      </c>
      <c r="I323">
        <v>2</v>
      </c>
      <c r="J323">
        <v>48032</v>
      </c>
      <c r="K323">
        <v>0.1</v>
      </c>
      <c r="L323">
        <f t="shared" ref="L323:L386" si="25">IF(ISBLANK(K323),0,K323)</f>
        <v>0.1</v>
      </c>
      <c r="M323">
        <v>11968</v>
      </c>
      <c r="N323">
        <f t="shared" ref="N323:N386" si="26">I323*J323</f>
        <v>96064</v>
      </c>
      <c r="O323">
        <f t="shared" ref="O323:O386" si="27">N323-(N323*L323)</f>
        <v>86457.600000000006</v>
      </c>
      <c r="P323">
        <f>I323*IFERROR(_xlfn.XLOOKUP(F323,Lookup_Tables!Product,Cost),0)</f>
        <v>14768</v>
      </c>
      <c r="Q323">
        <f t="shared" ref="Q323:Q386" si="28">O323-P323</f>
        <v>71689.600000000006</v>
      </c>
      <c r="R323" s="2">
        <f t="shared" ref="R323:R386" si="29">Q323/O323</f>
        <v>0.82918794877489077</v>
      </c>
    </row>
    <row r="324" spans="1:18" x14ac:dyDescent="0.3">
      <c r="A324" t="s">
        <v>381</v>
      </c>
      <c r="B324" s="1">
        <v>45628</v>
      </c>
      <c r="C324" t="s">
        <v>5</v>
      </c>
      <c r="D324" t="s">
        <v>69</v>
      </c>
      <c r="E324" t="s">
        <v>28</v>
      </c>
      <c r="F324" t="s">
        <v>24</v>
      </c>
      <c r="G324" t="str">
        <f>INDEX(Lookup_Tables!$B$1:$B$7,MATCH(Cleaned_Data!F324,Lookup_Tables!$A$1:$A$7,0))</f>
        <v>Electronics</v>
      </c>
      <c r="H324" t="s">
        <v>54</v>
      </c>
      <c r="I324">
        <v>5</v>
      </c>
      <c r="J324">
        <v>38706</v>
      </c>
      <c r="L324">
        <f t="shared" si="25"/>
        <v>0</v>
      </c>
      <c r="M324">
        <v>18743</v>
      </c>
      <c r="N324">
        <f t="shared" si="26"/>
        <v>193530</v>
      </c>
      <c r="O324">
        <f t="shared" si="27"/>
        <v>193530</v>
      </c>
      <c r="P324">
        <f>I324*IFERROR(_xlfn.XLOOKUP(F324,Lookup_Tables!Product,Cost),0)</f>
        <v>140230</v>
      </c>
      <c r="Q324">
        <f t="shared" si="28"/>
        <v>53300</v>
      </c>
      <c r="R324" s="2">
        <f t="shared" si="29"/>
        <v>0.27540949723557073</v>
      </c>
    </row>
    <row r="325" spans="1:18" x14ac:dyDescent="0.3">
      <c r="A325" t="s">
        <v>382</v>
      </c>
      <c r="B325" s="1">
        <v>45553</v>
      </c>
      <c r="C325" t="s">
        <v>5</v>
      </c>
      <c r="D325" t="s">
        <v>53</v>
      </c>
      <c r="E325" t="s">
        <v>29</v>
      </c>
      <c r="F325" t="s">
        <v>50</v>
      </c>
      <c r="G325" t="str">
        <f>INDEX(Lookup_Tables!$B$1:$B$7,MATCH(Cleaned_Data!F325,Lookup_Tables!$A$1:$A$7,0))</f>
        <v>Furniture</v>
      </c>
      <c r="H325" t="s">
        <v>51</v>
      </c>
      <c r="I325">
        <v>7</v>
      </c>
      <c r="J325">
        <v>40336</v>
      </c>
      <c r="K325">
        <v>0.05</v>
      </c>
      <c r="L325">
        <f t="shared" si="25"/>
        <v>0.05</v>
      </c>
      <c r="N325">
        <f t="shared" si="26"/>
        <v>282352</v>
      </c>
      <c r="O325">
        <f t="shared" si="27"/>
        <v>268234.40000000002</v>
      </c>
      <c r="P325">
        <f>I325*IFERROR(_xlfn.XLOOKUP(F325,Lookup_Tables!Product,Cost),0)</f>
        <v>92897</v>
      </c>
      <c r="Q325">
        <f t="shared" si="28"/>
        <v>175337.40000000002</v>
      </c>
      <c r="R325" s="2">
        <f t="shared" si="29"/>
        <v>0.65367231048664898</v>
      </c>
    </row>
    <row r="326" spans="1:18" x14ac:dyDescent="0.3">
      <c r="A326" t="s">
        <v>383</v>
      </c>
      <c r="B326" s="1">
        <v>45497</v>
      </c>
      <c r="C326" t="s">
        <v>6</v>
      </c>
      <c r="D326" t="s">
        <v>76</v>
      </c>
      <c r="E326" t="s">
        <v>27</v>
      </c>
      <c r="F326" t="s">
        <v>23</v>
      </c>
      <c r="G326" t="str">
        <f>INDEX(Lookup_Tables!$B$1:$B$7,MATCH(Cleaned_Data!F326,Lookup_Tables!$A$1:$A$7,0))</f>
        <v>Electronics</v>
      </c>
      <c r="H326" t="s">
        <v>54</v>
      </c>
      <c r="I326">
        <v>2</v>
      </c>
      <c r="J326">
        <v>49535</v>
      </c>
      <c r="K326">
        <v>0</v>
      </c>
      <c r="L326">
        <f t="shared" si="25"/>
        <v>0</v>
      </c>
      <c r="N326">
        <f t="shared" si="26"/>
        <v>99070</v>
      </c>
      <c r="O326">
        <f t="shared" si="27"/>
        <v>99070</v>
      </c>
      <c r="P326">
        <f>I326*IFERROR(_xlfn.XLOOKUP(F326,Lookup_Tables!Product,Cost),0)</f>
        <v>38530</v>
      </c>
      <c r="Q326">
        <f t="shared" si="28"/>
        <v>60540</v>
      </c>
      <c r="R326" s="2">
        <f t="shared" si="29"/>
        <v>0.61108307257494698</v>
      </c>
    </row>
    <row r="327" spans="1:18" x14ac:dyDescent="0.3">
      <c r="A327" t="s">
        <v>384</v>
      </c>
      <c r="B327" s="1">
        <v>45403</v>
      </c>
      <c r="C327" t="s">
        <v>6</v>
      </c>
      <c r="D327" t="s">
        <v>76</v>
      </c>
      <c r="E327" t="s">
        <v>25</v>
      </c>
      <c r="F327" t="s">
        <v>23</v>
      </c>
      <c r="G327" t="str">
        <f>INDEX(Lookup_Tables!$B$1:$B$7,MATCH(Cleaned_Data!F327,Lookup_Tables!$A$1:$A$7,0))</f>
        <v>Electronics</v>
      </c>
      <c r="H327" t="s">
        <v>54</v>
      </c>
      <c r="I327">
        <v>3</v>
      </c>
      <c r="J327">
        <v>33565</v>
      </c>
      <c r="K327">
        <v>0.1</v>
      </c>
      <c r="L327">
        <f t="shared" si="25"/>
        <v>0.1</v>
      </c>
      <c r="N327">
        <f t="shared" si="26"/>
        <v>100695</v>
      </c>
      <c r="O327">
        <f t="shared" si="27"/>
        <v>90625.5</v>
      </c>
      <c r="P327">
        <f>I327*IFERROR(_xlfn.XLOOKUP(F327,Lookup_Tables!Product,Cost),0)</f>
        <v>57795</v>
      </c>
      <c r="Q327">
        <f t="shared" si="28"/>
        <v>32830.5</v>
      </c>
      <c r="R327" s="2">
        <f t="shared" si="29"/>
        <v>0.36226558750020688</v>
      </c>
    </row>
    <row r="328" spans="1:18" x14ac:dyDescent="0.3">
      <c r="A328" t="s">
        <v>385</v>
      </c>
      <c r="B328" s="1">
        <v>45589</v>
      </c>
      <c r="C328" t="s">
        <v>5</v>
      </c>
      <c r="D328" t="s">
        <v>64</v>
      </c>
      <c r="E328" t="s">
        <v>29</v>
      </c>
      <c r="F328" t="s">
        <v>58</v>
      </c>
      <c r="G328" t="str">
        <f>INDEX(Lookup_Tables!$B$1:$B$7,MATCH(Cleaned_Data!F328,Lookup_Tables!$A$1:$A$7,0))</f>
        <v>Electronics</v>
      </c>
      <c r="H328" t="s">
        <v>54</v>
      </c>
      <c r="I328">
        <v>2</v>
      </c>
      <c r="J328">
        <v>4493</v>
      </c>
      <c r="K328">
        <v>0.1</v>
      </c>
      <c r="L328">
        <f t="shared" si="25"/>
        <v>0.1</v>
      </c>
      <c r="N328">
        <f t="shared" si="26"/>
        <v>8986</v>
      </c>
      <c r="O328">
        <f t="shared" si="27"/>
        <v>8087.4</v>
      </c>
      <c r="P328">
        <f>I328*IFERROR(_xlfn.XLOOKUP(F328,Lookup_Tables!Product,Cost),0)</f>
        <v>5776</v>
      </c>
      <c r="Q328">
        <f t="shared" si="28"/>
        <v>2311.3999999999996</v>
      </c>
      <c r="R328" s="2">
        <f t="shared" si="29"/>
        <v>0.28580260652372824</v>
      </c>
    </row>
    <row r="329" spans="1:18" x14ac:dyDescent="0.3">
      <c r="A329" t="s">
        <v>386</v>
      </c>
      <c r="B329" s="1">
        <v>45511</v>
      </c>
      <c r="C329" t="s">
        <v>5</v>
      </c>
      <c r="D329" t="s">
        <v>56</v>
      </c>
      <c r="E329" t="s">
        <v>27</v>
      </c>
      <c r="F329" t="s">
        <v>24</v>
      </c>
      <c r="G329" t="str">
        <f>INDEX(Lookup_Tables!$B$1:$B$7,MATCH(Cleaned_Data!F329,Lookup_Tables!$A$1:$A$7,0))</f>
        <v>Electronics</v>
      </c>
      <c r="H329" t="s">
        <v>54</v>
      </c>
      <c r="I329">
        <v>9</v>
      </c>
      <c r="J329">
        <v>47668</v>
      </c>
      <c r="K329">
        <v>0.05</v>
      </c>
      <c r="L329">
        <f t="shared" si="25"/>
        <v>0.05</v>
      </c>
      <c r="N329">
        <f t="shared" si="26"/>
        <v>429012</v>
      </c>
      <c r="O329">
        <f t="shared" si="27"/>
        <v>407561.4</v>
      </c>
      <c r="P329">
        <f>I329*IFERROR(_xlfn.XLOOKUP(F329,Lookup_Tables!Product,Cost),0)</f>
        <v>252414</v>
      </c>
      <c r="Q329">
        <f t="shared" si="28"/>
        <v>155147.40000000002</v>
      </c>
      <c r="R329" s="2">
        <f t="shared" si="29"/>
        <v>0.38067245818666834</v>
      </c>
    </row>
    <row r="330" spans="1:18" x14ac:dyDescent="0.3">
      <c r="A330" t="s">
        <v>387</v>
      </c>
      <c r="B330" s="1">
        <v>45657</v>
      </c>
      <c r="C330" t="s">
        <v>5</v>
      </c>
      <c r="D330" t="s">
        <v>76</v>
      </c>
      <c r="E330" t="s">
        <v>26</v>
      </c>
      <c r="F330" t="s">
        <v>50</v>
      </c>
      <c r="G330" t="str">
        <f>INDEX(Lookup_Tables!$B$1:$B$7,MATCH(Cleaned_Data!F330,Lookup_Tables!$A$1:$A$7,0))</f>
        <v>Furniture</v>
      </c>
      <c r="H330" t="s">
        <v>51</v>
      </c>
      <c r="I330">
        <v>4</v>
      </c>
      <c r="J330">
        <v>45626</v>
      </c>
      <c r="K330">
        <v>0</v>
      </c>
      <c r="L330">
        <f t="shared" si="25"/>
        <v>0</v>
      </c>
      <c r="N330">
        <f t="shared" si="26"/>
        <v>182504</v>
      </c>
      <c r="O330">
        <f t="shared" si="27"/>
        <v>182504</v>
      </c>
      <c r="P330">
        <f>I330*IFERROR(_xlfn.XLOOKUP(F330,Lookup_Tables!Product,Cost),0)</f>
        <v>53084</v>
      </c>
      <c r="Q330">
        <f t="shared" si="28"/>
        <v>129420</v>
      </c>
      <c r="R330" s="2">
        <f t="shared" si="29"/>
        <v>0.70913514224345764</v>
      </c>
    </row>
    <row r="331" spans="1:18" x14ac:dyDescent="0.3">
      <c r="A331" t="s">
        <v>388</v>
      </c>
      <c r="B331" s="1">
        <v>45349</v>
      </c>
      <c r="C331" t="s">
        <v>3</v>
      </c>
      <c r="D331" t="s">
        <v>69</v>
      </c>
      <c r="E331" t="s">
        <v>28</v>
      </c>
      <c r="F331" t="s">
        <v>23</v>
      </c>
      <c r="G331" t="str">
        <f>INDEX(Lookup_Tables!$B$1:$B$7,MATCH(Cleaned_Data!F331,Lookup_Tables!$A$1:$A$7,0))</f>
        <v>Electronics</v>
      </c>
      <c r="H331" t="s">
        <v>54</v>
      </c>
      <c r="I331">
        <v>4</v>
      </c>
      <c r="J331">
        <v>46766</v>
      </c>
      <c r="L331">
        <f t="shared" si="25"/>
        <v>0</v>
      </c>
      <c r="N331">
        <f t="shared" si="26"/>
        <v>187064</v>
      </c>
      <c r="O331">
        <f t="shared" si="27"/>
        <v>187064</v>
      </c>
      <c r="P331">
        <f>I331*IFERROR(_xlfn.XLOOKUP(F331,Lookup_Tables!Product,Cost),0)</f>
        <v>77060</v>
      </c>
      <c r="Q331">
        <f t="shared" si="28"/>
        <v>110004</v>
      </c>
      <c r="R331" s="2">
        <f t="shared" si="29"/>
        <v>0.58805542488132401</v>
      </c>
    </row>
    <row r="332" spans="1:18" x14ac:dyDescent="0.3">
      <c r="A332" t="s">
        <v>389</v>
      </c>
      <c r="B332" s="1">
        <v>45590</v>
      </c>
      <c r="C332" t="s">
        <v>6</v>
      </c>
      <c r="D332" t="s">
        <v>76</v>
      </c>
      <c r="E332" t="s">
        <v>27</v>
      </c>
      <c r="F332" t="s">
        <v>22</v>
      </c>
      <c r="G332" t="str">
        <f>INDEX(Lookup_Tables!$B$1:$B$7,MATCH(Cleaned_Data!F332,Lookup_Tables!$A$1:$A$7,0))</f>
        <v>Furniture</v>
      </c>
      <c r="H332" t="s">
        <v>51</v>
      </c>
      <c r="I332">
        <v>5</v>
      </c>
      <c r="J332">
        <v>11548</v>
      </c>
      <c r="K332">
        <v>0.1</v>
      </c>
      <c r="L332">
        <f t="shared" si="25"/>
        <v>0.1</v>
      </c>
      <c r="M332">
        <v>2015</v>
      </c>
      <c r="N332">
        <f t="shared" si="26"/>
        <v>57740</v>
      </c>
      <c r="O332">
        <f t="shared" si="27"/>
        <v>51966</v>
      </c>
      <c r="P332">
        <f>I332*IFERROR(_xlfn.XLOOKUP(F332,Lookup_Tables!Product,Cost),0)</f>
        <v>65200</v>
      </c>
      <c r="Q332">
        <f t="shared" si="28"/>
        <v>-13234</v>
      </c>
      <c r="R332" s="2">
        <f t="shared" si="29"/>
        <v>-0.2546665127198553</v>
      </c>
    </row>
    <row r="333" spans="1:18" x14ac:dyDescent="0.3">
      <c r="A333" t="s">
        <v>390</v>
      </c>
      <c r="B333" s="1">
        <v>45591</v>
      </c>
      <c r="C333" t="s">
        <v>6</v>
      </c>
      <c r="D333" t="s">
        <v>64</v>
      </c>
      <c r="E333" t="s">
        <v>26</v>
      </c>
      <c r="F333" t="s">
        <v>22</v>
      </c>
      <c r="G333" t="str">
        <f>INDEX(Lookup_Tables!$B$1:$B$7,MATCH(Cleaned_Data!F333,Lookup_Tables!$A$1:$A$7,0))</f>
        <v>Furniture</v>
      </c>
      <c r="H333" t="s">
        <v>51</v>
      </c>
      <c r="I333">
        <v>10</v>
      </c>
      <c r="J333">
        <v>30921</v>
      </c>
      <c r="K333">
        <v>0.05</v>
      </c>
      <c r="L333">
        <f t="shared" si="25"/>
        <v>0.05</v>
      </c>
      <c r="M333">
        <v>17631</v>
      </c>
      <c r="N333">
        <f t="shared" si="26"/>
        <v>309210</v>
      </c>
      <c r="O333">
        <f t="shared" si="27"/>
        <v>293749.5</v>
      </c>
      <c r="P333">
        <f>I333*IFERROR(_xlfn.XLOOKUP(F333,Lookup_Tables!Product,Cost),0)</f>
        <v>130400</v>
      </c>
      <c r="Q333">
        <f t="shared" si="28"/>
        <v>163349.5</v>
      </c>
      <c r="R333" s="2">
        <f t="shared" si="29"/>
        <v>0.55608435078187368</v>
      </c>
    </row>
    <row r="334" spans="1:18" x14ac:dyDescent="0.3">
      <c r="A334" t="s">
        <v>391</v>
      </c>
      <c r="B334" s="1">
        <v>45484</v>
      </c>
      <c r="C334" t="s">
        <v>3</v>
      </c>
      <c r="D334" t="s">
        <v>76</v>
      </c>
      <c r="E334" t="s">
        <v>27</v>
      </c>
      <c r="F334" t="s">
        <v>50</v>
      </c>
      <c r="G334" t="str">
        <f>INDEX(Lookup_Tables!$B$1:$B$7,MATCH(Cleaned_Data!F334,Lookup_Tables!$A$1:$A$7,0))</f>
        <v>Furniture</v>
      </c>
      <c r="H334" t="s">
        <v>51</v>
      </c>
      <c r="I334">
        <v>4</v>
      </c>
      <c r="J334">
        <v>43407</v>
      </c>
      <c r="K334">
        <v>0.05</v>
      </c>
      <c r="L334">
        <f t="shared" si="25"/>
        <v>0.05</v>
      </c>
      <c r="M334">
        <v>3374</v>
      </c>
      <c r="N334">
        <f t="shared" si="26"/>
        <v>173628</v>
      </c>
      <c r="O334">
        <f t="shared" si="27"/>
        <v>164946.6</v>
      </c>
      <c r="P334">
        <f>I334*IFERROR(_xlfn.XLOOKUP(F334,Lookup_Tables!Product,Cost),0)</f>
        <v>53084</v>
      </c>
      <c r="Q334">
        <f t="shared" si="28"/>
        <v>111862.6</v>
      </c>
      <c r="R334" s="2">
        <f t="shared" si="29"/>
        <v>0.67817463348744378</v>
      </c>
    </row>
    <row r="335" spans="1:18" x14ac:dyDescent="0.3">
      <c r="A335" t="s">
        <v>392</v>
      </c>
      <c r="B335" s="1">
        <v>45586</v>
      </c>
      <c r="C335" t="s">
        <v>4</v>
      </c>
      <c r="D335" t="s">
        <v>64</v>
      </c>
      <c r="E335" t="s">
        <v>28</v>
      </c>
      <c r="F335" t="s">
        <v>23</v>
      </c>
      <c r="G335" t="str">
        <f>INDEX(Lookup_Tables!$B$1:$B$7,MATCH(Cleaned_Data!F335,Lookup_Tables!$A$1:$A$7,0))</f>
        <v>Electronics</v>
      </c>
      <c r="H335" t="s">
        <v>54</v>
      </c>
      <c r="I335">
        <v>6</v>
      </c>
      <c r="J335">
        <v>35177</v>
      </c>
      <c r="K335">
        <v>0.1</v>
      </c>
      <c r="L335">
        <f t="shared" si="25"/>
        <v>0.1</v>
      </c>
      <c r="M335">
        <v>15806</v>
      </c>
      <c r="N335">
        <f t="shared" si="26"/>
        <v>211062</v>
      </c>
      <c r="O335">
        <f t="shared" si="27"/>
        <v>189955.8</v>
      </c>
      <c r="P335">
        <f>I335*IFERROR(_xlfn.XLOOKUP(F335,Lookup_Tables!Product,Cost),0)</f>
        <v>115590</v>
      </c>
      <c r="Q335">
        <f t="shared" si="28"/>
        <v>74365.799999999988</v>
      </c>
      <c r="R335" s="2">
        <f t="shared" si="29"/>
        <v>0.39149002030998786</v>
      </c>
    </row>
    <row r="336" spans="1:18" x14ac:dyDescent="0.3">
      <c r="A336" t="s">
        <v>393</v>
      </c>
      <c r="B336" s="1">
        <v>45409</v>
      </c>
      <c r="C336" t="s">
        <v>4</v>
      </c>
      <c r="D336" t="s">
        <v>49</v>
      </c>
      <c r="E336" t="s">
        <v>29</v>
      </c>
      <c r="F336" t="s">
        <v>58</v>
      </c>
      <c r="G336" t="str">
        <f>INDEX(Lookup_Tables!$B$1:$B$7,MATCH(Cleaned_Data!F336,Lookup_Tables!$A$1:$A$7,0))</f>
        <v>Electronics</v>
      </c>
      <c r="H336" t="s">
        <v>54</v>
      </c>
      <c r="I336">
        <v>4</v>
      </c>
      <c r="J336">
        <v>30302</v>
      </c>
      <c r="K336">
        <v>0.1</v>
      </c>
      <c r="L336">
        <f t="shared" si="25"/>
        <v>0.1</v>
      </c>
      <c r="M336">
        <v>12769</v>
      </c>
      <c r="N336">
        <f t="shared" si="26"/>
        <v>121208</v>
      </c>
      <c r="O336">
        <f t="shared" si="27"/>
        <v>109087.2</v>
      </c>
      <c r="P336">
        <f>I336*IFERROR(_xlfn.XLOOKUP(F336,Lookup_Tables!Product,Cost),0)</f>
        <v>11552</v>
      </c>
      <c r="Q336">
        <f t="shared" si="28"/>
        <v>97535.2</v>
      </c>
      <c r="R336" s="2">
        <f t="shared" si="29"/>
        <v>0.89410306617091651</v>
      </c>
    </row>
    <row r="337" spans="1:18" x14ac:dyDescent="0.3">
      <c r="A337" t="s">
        <v>394</v>
      </c>
      <c r="B337" s="1">
        <v>45386</v>
      </c>
      <c r="C337" t="s">
        <v>5</v>
      </c>
      <c r="D337" t="s">
        <v>64</v>
      </c>
      <c r="E337" t="s">
        <v>25</v>
      </c>
      <c r="F337" t="s">
        <v>22</v>
      </c>
      <c r="G337" t="str">
        <f>INDEX(Lookup_Tables!$B$1:$B$7,MATCH(Cleaned_Data!F337,Lookup_Tables!$A$1:$A$7,0))</f>
        <v>Furniture</v>
      </c>
      <c r="H337" t="s">
        <v>51</v>
      </c>
      <c r="I337">
        <v>8</v>
      </c>
      <c r="J337">
        <v>41232</v>
      </c>
      <c r="K337">
        <v>0</v>
      </c>
      <c r="L337">
        <f t="shared" si="25"/>
        <v>0</v>
      </c>
      <c r="N337">
        <f t="shared" si="26"/>
        <v>329856</v>
      </c>
      <c r="O337">
        <f t="shared" si="27"/>
        <v>329856</v>
      </c>
      <c r="P337">
        <f>I337*IFERROR(_xlfn.XLOOKUP(F337,Lookup_Tables!Product,Cost),0)</f>
        <v>104320</v>
      </c>
      <c r="Q337">
        <f t="shared" si="28"/>
        <v>225536</v>
      </c>
      <c r="R337" s="2">
        <f t="shared" si="29"/>
        <v>0.68374078385719828</v>
      </c>
    </row>
    <row r="338" spans="1:18" x14ac:dyDescent="0.3">
      <c r="A338" t="s">
        <v>395</v>
      </c>
      <c r="B338" s="1">
        <v>45329</v>
      </c>
      <c r="C338" t="s">
        <v>3</v>
      </c>
      <c r="D338" t="s">
        <v>76</v>
      </c>
      <c r="E338" t="s">
        <v>27</v>
      </c>
      <c r="F338" t="s">
        <v>58</v>
      </c>
      <c r="G338" t="str">
        <f>INDEX(Lookup_Tables!$B$1:$B$7,MATCH(Cleaned_Data!F338,Lookup_Tables!$A$1:$A$7,0))</f>
        <v>Electronics</v>
      </c>
      <c r="H338" t="s">
        <v>54</v>
      </c>
      <c r="I338">
        <v>5</v>
      </c>
      <c r="J338">
        <v>27244</v>
      </c>
      <c r="K338">
        <v>0</v>
      </c>
      <c r="L338">
        <f t="shared" si="25"/>
        <v>0</v>
      </c>
      <c r="M338">
        <v>13217</v>
      </c>
      <c r="N338">
        <f t="shared" si="26"/>
        <v>136220</v>
      </c>
      <c r="O338">
        <f t="shared" si="27"/>
        <v>136220</v>
      </c>
      <c r="P338">
        <f>I338*IFERROR(_xlfn.XLOOKUP(F338,Lookup_Tables!Product,Cost),0)</f>
        <v>14440</v>
      </c>
      <c r="Q338">
        <f t="shared" si="28"/>
        <v>121780</v>
      </c>
      <c r="R338" s="2">
        <f t="shared" si="29"/>
        <v>0.89399500807517251</v>
      </c>
    </row>
    <row r="339" spans="1:18" x14ac:dyDescent="0.3">
      <c r="A339" t="s">
        <v>396</v>
      </c>
      <c r="B339" s="1">
        <v>45410</v>
      </c>
      <c r="C339" t="s">
        <v>3</v>
      </c>
      <c r="D339" t="s">
        <v>56</v>
      </c>
      <c r="E339" t="s">
        <v>27</v>
      </c>
      <c r="F339" t="s">
        <v>22</v>
      </c>
      <c r="G339" t="str">
        <f>INDEX(Lookup_Tables!$B$1:$B$7,MATCH(Cleaned_Data!F339,Lookup_Tables!$A$1:$A$7,0))</f>
        <v>Furniture</v>
      </c>
      <c r="H339" t="s">
        <v>51</v>
      </c>
      <c r="I339">
        <v>7</v>
      </c>
      <c r="J339">
        <v>34929</v>
      </c>
      <c r="L339">
        <f t="shared" si="25"/>
        <v>0</v>
      </c>
      <c r="M339">
        <v>5291</v>
      </c>
      <c r="N339">
        <f t="shared" si="26"/>
        <v>244503</v>
      </c>
      <c r="O339">
        <f t="shared" si="27"/>
        <v>244503</v>
      </c>
      <c r="P339">
        <f>I339*IFERROR(_xlfn.XLOOKUP(F339,Lookup_Tables!Product,Cost),0)</f>
        <v>91280</v>
      </c>
      <c r="Q339">
        <f t="shared" si="28"/>
        <v>153223</v>
      </c>
      <c r="R339" s="2">
        <f t="shared" si="29"/>
        <v>0.62667124738755764</v>
      </c>
    </row>
    <row r="340" spans="1:18" x14ac:dyDescent="0.3">
      <c r="A340" t="s">
        <v>397</v>
      </c>
      <c r="B340" s="1">
        <v>45565</v>
      </c>
      <c r="C340" t="s">
        <v>3</v>
      </c>
      <c r="D340" t="s">
        <v>69</v>
      </c>
      <c r="E340" t="s">
        <v>29</v>
      </c>
      <c r="F340" t="s">
        <v>50</v>
      </c>
      <c r="G340" t="str">
        <f>INDEX(Lookup_Tables!$B$1:$B$7,MATCH(Cleaned_Data!F340,Lookup_Tables!$A$1:$A$7,0))</f>
        <v>Furniture</v>
      </c>
      <c r="H340" t="s">
        <v>51</v>
      </c>
      <c r="I340">
        <v>4</v>
      </c>
      <c r="J340">
        <v>14387</v>
      </c>
      <c r="K340">
        <v>0</v>
      </c>
      <c r="L340">
        <f t="shared" si="25"/>
        <v>0</v>
      </c>
      <c r="N340">
        <f t="shared" si="26"/>
        <v>57548</v>
      </c>
      <c r="O340">
        <f t="shared" si="27"/>
        <v>57548</v>
      </c>
      <c r="P340">
        <f>I340*IFERROR(_xlfn.XLOOKUP(F340,Lookup_Tables!Product,Cost),0)</f>
        <v>53084</v>
      </c>
      <c r="Q340">
        <f t="shared" si="28"/>
        <v>4464</v>
      </c>
      <c r="R340" s="2">
        <f t="shared" si="29"/>
        <v>7.7570028497949542E-2</v>
      </c>
    </row>
    <row r="341" spans="1:18" x14ac:dyDescent="0.3">
      <c r="A341" t="s">
        <v>398</v>
      </c>
      <c r="B341" s="1">
        <v>45319</v>
      </c>
      <c r="C341" t="s">
        <v>5</v>
      </c>
      <c r="D341" t="s">
        <v>64</v>
      </c>
      <c r="E341" t="s">
        <v>29</v>
      </c>
      <c r="F341" t="s">
        <v>58</v>
      </c>
      <c r="G341" t="str">
        <f>INDEX(Lookup_Tables!$B$1:$B$7,MATCH(Cleaned_Data!F341,Lookup_Tables!$A$1:$A$7,0))</f>
        <v>Electronics</v>
      </c>
      <c r="H341" t="s">
        <v>54</v>
      </c>
      <c r="I341">
        <v>6</v>
      </c>
      <c r="J341">
        <v>47869</v>
      </c>
      <c r="K341">
        <v>0.1</v>
      </c>
      <c r="L341">
        <f t="shared" si="25"/>
        <v>0.1</v>
      </c>
      <c r="N341">
        <f t="shared" si="26"/>
        <v>287214</v>
      </c>
      <c r="O341">
        <f t="shared" si="27"/>
        <v>258492.6</v>
      </c>
      <c r="P341">
        <f>I341*IFERROR(_xlfn.XLOOKUP(F341,Lookup_Tables!Product,Cost),0)</f>
        <v>17328</v>
      </c>
      <c r="Q341">
        <f t="shared" si="28"/>
        <v>241164.6</v>
      </c>
      <c r="R341" s="2">
        <f t="shared" si="29"/>
        <v>0.93296519900376262</v>
      </c>
    </row>
    <row r="342" spans="1:18" x14ac:dyDescent="0.3">
      <c r="A342" t="s">
        <v>399</v>
      </c>
      <c r="B342" s="1">
        <v>45508</v>
      </c>
      <c r="C342" t="s">
        <v>4</v>
      </c>
      <c r="D342" t="s">
        <v>64</v>
      </c>
      <c r="E342" t="s">
        <v>28</v>
      </c>
      <c r="F342" t="s">
        <v>24</v>
      </c>
      <c r="G342" t="str">
        <f>INDEX(Lookup_Tables!$B$1:$B$7,MATCH(Cleaned_Data!F342,Lookup_Tables!$A$1:$A$7,0))</f>
        <v>Electronics</v>
      </c>
      <c r="H342" t="s">
        <v>54</v>
      </c>
      <c r="I342">
        <v>5</v>
      </c>
      <c r="J342">
        <v>46984</v>
      </c>
      <c r="K342">
        <v>0</v>
      </c>
      <c r="L342">
        <f t="shared" si="25"/>
        <v>0</v>
      </c>
      <c r="M342">
        <v>11921</v>
      </c>
      <c r="N342">
        <f t="shared" si="26"/>
        <v>234920</v>
      </c>
      <c r="O342">
        <f t="shared" si="27"/>
        <v>234920</v>
      </c>
      <c r="P342">
        <f>I342*IFERROR(_xlfn.XLOOKUP(F342,Lookup_Tables!Product,Cost),0)</f>
        <v>140230</v>
      </c>
      <c r="Q342">
        <f t="shared" si="28"/>
        <v>94690</v>
      </c>
      <c r="R342" s="2">
        <f t="shared" si="29"/>
        <v>0.40307338668482889</v>
      </c>
    </row>
    <row r="343" spans="1:18" x14ac:dyDescent="0.3">
      <c r="A343" t="s">
        <v>400</v>
      </c>
      <c r="B343" s="1">
        <v>45591</v>
      </c>
      <c r="C343" t="s">
        <v>4</v>
      </c>
      <c r="D343" t="s">
        <v>69</v>
      </c>
      <c r="E343" t="s">
        <v>26</v>
      </c>
      <c r="F343" t="s">
        <v>61</v>
      </c>
      <c r="G343" t="str">
        <f>INDEX(Lookup_Tables!$B$1:$B$7,MATCH(Cleaned_Data!F343,Lookup_Tables!$A$1:$A$7,0))</f>
        <v>Electronics</v>
      </c>
      <c r="H343" t="s">
        <v>54</v>
      </c>
      <c r="I343">
        <v>8</v>
      </c>
      <c r="J343">
        <v>16869</v>
      </c>
      <c r="K343">
        <v>0</v>
      </c>
      <c r="L343">
        <f t="shared" si="25"/>
        <v>0</v>
      </c>
      <c r="N343">
        <f t="shared" si="26"/>
        <v>134952</v>
      </c>
      <c r="O343">
        <f t="shared" si="27"/>
        <v>134952</v>
      </c>
      <c r="P343">
        <f>I343*IFERROR(_xlfn.XLOOKUP(F343,Lookup_Tables!Product,Cost),0)</f>
        <v>59072</v>
      </c>
      <c r="Q343">
        <f t="shared" si="28"/>
        <v>75880</v>
      </c>
      <c r="R343" s="2">
        <f t="shared" si="29"/>
        <v>0.56227399371628428</v>
      </c>
    </row>
    <row r="344" spans="1:18" x14ac:dyDescent="0.3">
      <c r="A344" t="s">
        <v>401</v>
      </c>
      <c r="B344" s="1">
        <v>45538</v>
      </c>
      <c r="C344" t="s">
        <v>5</v>
      </c>
      <c r="D344" t="s">
        <v>56</v>
      </c>
      <c r="E344" t="s">
        <v>27</v>
      </c>
      <c r="F344" t="s">
        <v>58</v>
      </c>
      <c r="G344" t="str">
        <f>INDEX(Lookup_Tables!$B$1:$B$7,MATCH(Cleaned_Data!F344,Lookup_Tables!$A$1:$A$7,0))</f>
        <v>Electronics</v>
      </c>
      <c r="H344" t="s">
        <v>54</v>
      </c>
      <c r="I344">
        <v>9</v>
      </c>
      <c r="J344">
        <v>24778</v>
      </c>
      <c r="K344">
        <v>0.1</v>
      </c>
      <c r="L344">
        <f t="shared" si="25"/>
        <v>0.1</v>
      </c>
      <c r="N344">
        <f t="shared" si="26"/>
        <v>223002</v>
      </c>
      <c r="O344">
        <f t="shared" si="27"/>
        <v>200701.8</v>
      </c>
      <c r="P344">
        <f>I344*IFERROR(_xlfn.XLOOKUP(F344,Lookup_Tables!Product,Cost),0)</f>
        <v>25992</v>
      </c>
      <c r="Q344">
        <f t="shared" si="28"/>
        <v>174709.8</v>
      </c>
      <c r="R344" s="2">
        <f t="shared" si="29"/>
        <v>0.87049443502748858</v>
      </c>
    </row>
    <row r="345" spans="1:18" x14ac:dyDescent="0.3">
      <c r="A345" t="s">
        <v>402</v>
      </c>
      <c r="B345" s="1">
        <v>45325</v>
      </c>
      <c r="C345" t="s">
        <v>5</v>
      </c>
      <c r="D345" t="s">
        <v>64</v>
      </c>
      <c r="E345" t="s">
        <v>26</v>
      </c>
      <c r="F345" t="s">
        <v>58</v>
      </c>
      <c r="G345" t="str">
        <f>INDEX(Lookup_Tables!$B$1:$B$7,MATCH(Cleaned_Data!F345,Lookup_Tables!$A$1:$A$7,0))</f>
        <v>Electronics</v>
      </c>
      <c r="H345" t="s">
        <v>54</v>
      </c>
      <c r="I345">
        <v>6</v>
      </c>
      <c r="J345">
        <v>36389</v>
      </c>
      <c r="K345">
        <v>0</v>
      </c>
      <c r="L345">
        <f t="shared" si="25"/>
        <v>0</v>
      </c>
      <c r="N345">
        <f t="shared" si="26"/>
        <v>218334</v>
      </c>
      <c r="O345">
        <f t="shared" si="27"/>
        <v>218334</v>
      </c>
      <c r="P345">
        <f>I345*IFERROR(_xlfn.XLOOKUP(F345,Lookup_Tables!Product,Cost),0)</f>
        <v>17328</v>
      </c>
      <c r="Q345">
        <f t="shared" si="28"/>
        <v>201006</v>
      </c>
      <c r="R345" s="2">
        <f t="shared" si="29"/>
        <v>0.92063535683860509</v>
      </c>
    </row>
    <row r="346" spans="1:18" x14ac:dyDescent="0.3">
      <c r="A346" t="s">
        <v>403</v>
      </c>
      <c r="B346" s="1">
        <v>45492</v>
      </c>
      <c r="C346" t="s">
        <v>4</v>
      </c>
      <c r="D346" t="s">
        <v>56</v>
      </c>
      <c r="E346" t="s">
        <v>27</v>
      </c>
      <c r="F346" t="s">
        <v>61</v>
      </c>
      <c r="G346" t="str">
        <f>INDEX(Lookup_Tables!$B$1:$B$7,MATCH(Cleaned_Data!F346,Lookup_Tables!$A$1:$A$7,0))</f>
        <v>Electronics</v>
      </c>
      <c r="H346" t="s">
        <v>54</v>
      </c>
      <c r="I346">
        <v>8</v>
      </c>
      <c r="J346">
        <v>9311</v>
      </c>
      <c r="L346">
        <f t="shared" si="25"/>
        <v>0</v>
      </c>
      <c r="N346">
        <f t="shared" si="26"/>
        <v>74488</v>
      </c>
      <c r="O346">
        <f t="shared" si="27"/>
        <v>74488</v>
      </c>
      <c r="P346">
        <f>I346*IFERROR(_xlfn.XLOOKUP(F346,Lookup_Tables!Product,Cost),0)</f>
        <v>59072</v>
      </c>
      <c r="Q346">
        <f t="shared" si="28"/>
        <v>15416</v>
      </c>
      <c r="R346" s="2">
        <f t="shared" si="29"/>
        <v>0.20695951025668563</v>
      </c>
    </row>
    <row r="347" spans="1:18" x14ac:dyDescent="0.3">
      <c r="A347" t="s">
        <v>404</v>
      </c>
      <c r="B347" s="1">
        <v>45327</v>
      </c>
      <c r="C347" t="s">
        <v>6</v>
      </c>
      <c r="D347" t="s">
        <v>49</v>
      </c>
      <c r="E347" t="s">
        <v>27</v>
      </c>
      <c r="F347" t="s">
        <v>23</v>
      </c>
      <c r="G347" t="str">
        <f>INDEX(Lookup_Tables!$B$1:$B$7,MATCH(Cleaned_Data!F347,Lookup_Tables!$A$1:$A$7,0))</f>
        <v>Electronics</v>
      </c>
      <c r="H347" t="s">
        <v>54</v>
      </c>
      <c r="I347">
        <v>8</v>
      </c>
      <c r="J347">
        <v>23641</v>
      </c>
      <c r="L347">
        <f t="shared" si="25"/>
        <v>0</v>
      </c>
      <c r="N347">
        <f t="shared" si="26"/>
        <v>189128</v>
      </c>
      <c r="O347">
        <f t="shared" si="27"/>
        <v>189128</v>
      </c>
      <c r="P347">
        <f>I347*IFERROR(_xlfn.XLOOKUP(F347,Lookup_Tables!Product,Cost),0)</f>
        <v>154120</v>
      </c>
      <c r="Q347">
        <f t="shared" si="28"/>
        <v>35008</v>
      </c>
      <c r="R347" s="2">
        <f t="shared" si="29"/>
        <v>0.18510215303921154</v>
      </c>
    </row>
    <row r="348" spans="1:18" x14ac:dyDescent="0.3">
      <c r="A348" t="s">
        <v>405</v>
      </c>
      <c r="B348" s="1">
        <v>45527</v>
      </c>
      <c r="C348" t="s">
        <v>6</v>
      </c>
      <c r="D348" t="s">
        <v>76</v>
      </c>
      <c r="E348" t="s">
        <v>29</v>
      </c>
      <c r="F348" t="s">
        <v>58</v>
      </c>
      <c r="G348" t="str">
        <f>INDEX(Lookup_Tables!$B$1:$B$7,MATCH(Cleaned_Data!F348,Lookup_Tables!$A$1:$A$7,0))</f>
        <v>Electronics</v>
      </c>
      <c r="H348" t="s">
        <v>54</v>
      </c>
      <c r="I348">
        <v>10</v>
      </c>
      <c r="J348">
        <v>22061</v>
      </c>
      <c r="K348">
        <v>0.05</v>
      </c>
      <c r="L348">
        <f t="shared" si="25"/>
        <v>0.05</v>
      </c>
      <c r="M348">
        <v>20497</v>
      </c>
      <c r="N348">
        <f t="shared" si="26"/>
        <v>220610</v>
      </c>
      <c r="O348">
        <f t="shared" si="27"/>
        <v>209579.5</v>
      </c>
      <c r="P348">
        <f>I348*IFERROR(_xlfn.XLOOKUP(F348,Lookup_Tables!Product,Cost),0)</f>
        <v>28880</v>
      </c>
      <c r="Q348">
        <f t="shared" si="28"/>
        <v>180699.5</v>
      </c>
      <c r="R348" s="2">
        <f t="shared" si="29"/>
        <v>0.86220026290739316</v>
      </c>
    </row>
    <row r="349" spans="1:18" x14ac:dyDescent="0.3">
      <c r="A349" t="s">
        <v>406</v>
      </c>
      <c r="B349" s="1">
        <v>45367</v>
      </c>
      <c r="C349" t="s">
        <v>6</v>
      </c>
      <c r="D349" t="s">
        <v>56</v>
      </c>
      <c r="E349" t="s">
        <v>26</v>
      </c>
      <c r="F349" t="s">
        <v>22</v>
      </c>
      <c r="G349" t="str">
        <f>INDEX(Lookup_Tables!$B$1:$B$7,MATCH(Cleaned_Data!F349,Lookup_Tables!$A$1:$A$7,0))</f>
        <v>Furniture</v>
      </c>
      <c r="H349" t="s">
        <v>51</v>
      </c>
      <c r="I349">
        <v>3</v>
      </c>
      <c r="J349">
        <v>42630</v>
      </c>
      <c r="K349">
        <v>0.05</v>
      </c>
      <c r="L349">
        <f t="shared" si="25"/>
        <v>0.05</v>
      </c>
      <c r="M349">
        <v>25287</v>
      </c>
      <c r="N349">
        <f t="shared" si="26"/>
        <v>127890</v>
      </c>
      <c r="O349">
        <f t="shared" si="27"/>
        <v>121495.5</v>
      </c>
      <c r="P349">
        <f>I349*IFERROR(_xlfn.XLOOKUP(F349,Lookup_Tables!Product,Cost),0)</f>
        <v>39120</v>
      </c>
      <c r="Q349">
        <f t="shared" si="28"/>
        <v>82375.5</v>
      </c>
      <c r="R349" s="2">
        <f t="shared" si="29"/>
        <v>0.67801276590491011</v>
      </c>
    </row>
    <row r="350" spans="1:18" x14ac:dyDescent="0.3">
      <c r="A350" t="s">
        <v>407</v>
      </c>
      <c r="B350" s="1">
        <v>45503</v>
      </c>
      <c r="C350" t="s">
        <v>5</v>
      </c>
      <c r="D350" t="s">
        <v>53</v>
      </c>
      <c r="E350" t="s">
        <v>27</v>
      </c>
      <c r="F350" t="s">
        <v>61</v>
      </c>
      <c r="G350" t="str">
        <f>INDEX(Lookup_Tables!$B$1:$B$7,MATCH(Cleaned_Data!F350,Lookup_Tables!$A$1:$A$7,0))</f>
        <v>Electronics</v>
      </c>
      <c r="H350" t="s">
        <v>54</v>
      </c>
      <c r="I350">
        <v>8</v>
      </c>
      <c r="J350">
        <v>47194</v>
      </c>
      <c r="K350">
        <v>0</v>
      </c>
      <c r="L350">
        <f t="shared" si="25"/>
        <v>0</v>
      </c>
      <c r="N350">
        <f t="shared" si="26"/>
        <v>377552</v>
      </c>
      <c r="O350">
        <f t="shared" si="27"/>
        <v>377552</v>
      </c>
      <c r="P350">
        <f>I350*IFERROR(_xlfn.XLOOKUP(F350,Lookup_Tables!Product,Cost),0)</f>
        <v>59072</v>
      </c>
      <c r="Q350">
        <f t="shared" si="28"/>
        <v>318480</v>
      </c>
      <c r="R350" s="2">
        <f t="shared" si="29"/>
        <v>0.84353943297876843</v>
      </c>
    </row>
    <row r="351" spans="1:18" x14ac:dyDescent="0.3">
      <c r="A351" t="s">
        <v>408</v>
      </c>
      <c r="B351" s="1">
        <v>45344</v>
      </c>
      <c r="C351" t="s">
        <v>6</v>
      </c>
      <c r="D351" t="s">
        <v>69</v>
      </c>
      <c r="E351" t="s">
        <v>25</v>
      </c>
      <c r="F351" t="s">
        <v>23</v>
      </c>
      <c r="G351" t="str">
        <f>INDEX(Lookup_Tables!$B$1:$B$7,MATCH(Cleaned_Data!F351,Lookup_Tables!$A$1:$A$7,0))</f>
        <v>Electronics</v>
      </c>
      <c r="H351" t="s">
        <v>54</v>
      </c>
      <c r="I351">
        <v>6</v>
      </c>
      <c r="J351">
        <v>32421</v>
      </c>
      <c r="K351">
        <v>0.1</v>
      </c>
      <c r="L351">
        <f t="shared" si="25"/>
        <v>0.1</v>
      </c>
      <c r="M351">
        <v>6790</v>
      </c>
      <c r="N351">
        <f t="shared" si="26"/>
        <v>194526</v>
      </c>
      <c r="O351">
        <f t="shared" si="27"/>
        <v>175073.4</v>
      </c>
      <c r="P351">
        <f>I351*IFERROR(_xlfn.XLOOKUP(F351,Lookup_Tables!Product,Cost),0)</f>
        <v>115590</v>
      </c>
      <c r="Q351">
        <f t="shared" si="28"/>
        <v>59483.399999999994</v>
      </c>
      <c r="R351" s="2">
        <f t="shared" si="29"/>
        <v>0.33976263669980705</v>
      </c>
    </row>
    <row r="352" spans="1:18" x14ac:dyDescent="0.3">
      <c r="A352" t="s">
        <v>409</v>
      </c>
      <c r="B352" s="1">
        <v>45654</v>
      </c>
      <c r="C352" t="s">
        <v>6</v>
      </c>
      <c r="D352" t="s">
        <v>64</v>
      </c>
      <c r="E352" t="s">
        <v>29</v>
      </c>
      <c r="F352" t="s">
        <v>24</v>
      </c>
      <c r="G352" t="str">
        <f>INDEX(Lookup_Tables!$B$1:$B$7,MATCH(Cleaned_Data!F352,Lookup_Tables!$A$1:$A$7,0))</f>
        <v>Electronics</v>
      </c>
      <c r="H352" t="s">
        <v>54</v>
      </c>
      <c r="I352">
        <v>4</v>
      </c>
      <c r="J352">
        <v>30071</v>
      </c>
      <c r="K352">
        <v>0</v>
      </c>
      <c r="L352">
        <f t="shared" si="25"/>
        <v>0</v>
      </c>
      <c r="N352">
        <f t="shared" si="26"/>
        <v>120284</v>
      </c>
      <c r="O352">
        <f t="shared" si="27"/>
        <v>120284</v>
      </c>
      <c r="P352">
        <f>I352*IFERROR(_xlfn.XLOOKUP(F352,Lookup_Tables!Product,Cost),0)</f>
        <v>112184</v>
      </c>
      <c r="Q352">
        <f t="shared" si="28"/>
        <v>8100</v>
      </c>
      <c r="R352" s="2">
        <f t="shared" si="29"/>
        <v>6.7340627182335133E-2</v>
      </c>
    </row>
    <row r="353" spans="1:18" x14ac:dyDescent="0.3">
      <c r="A353" t="s">
        <v>410</v>
      </c>
      <c r="B353" s="1">
        <v>45647</v>
      </c>
      <c r="C353" t="s">
        <v>6</v>
      </c>
      <c r="D353" t="s">
        <v>49</v>
      </c>
      <c r="E353" t="s">
        <v>27</v>
      </c>
      <c r="F353" t="s">
        <v>61</v>
      </c>
      <c r="G353" t="str">
        <f>INDEX(Lookup_Tables!$B$1:$B$7,MATCH(Cleaned_Data!F353,Lookup_Tables!$A$1:$A$7,0))</f>
        <v>Electronics</v>
      </c>
      <c r="H353" t="s">
        <v>54</v>
      </c>
      <c r="I353">
        <v>2</v>
      </c>
      <c r="J353">
        <v>12186</v>
      </c>
      <c r="K353">
        <v>0</v>
      </c>
      <c r="L353">
        <f t="shared" si="25"/>
        <v>0</v>
      </c>
      <c r="M353">
        <v>2071</v>
      </c>
      <c r="N353">
        <f t="shared" si="26"/>
        <v>24372</v>
      </c>
      <c r="O353">
        <f t="shared" si="27"/>
        <v>24372</v>
      </c>
      <c r="P353">
        <f>I353*IFERROR(_xlfn.XLOOKUP(F353,Lookup_Tables!Product,Cost),0)</f>
        <v>14768</v>
      </c>
      <c r="Q353">
        <f t="shared" si="28"/>
        <v>9604</v>
      </c>
      <c r="R353" s="2">
        <f t="shared" si="29"/>
        <v>0.39405875594945017</v>
      </c>
    </row>
    <row r="354" spans="1:18" x14ac:dyDescent="0.3">
      <c r="A354" t="s">
        <v>411</v>
      </c>
      <c r="B354" s="1">
        <v>45300</v>
      </c>
      <c r="C354" t="s">
        <v>4</v>
      </c>
      <c r="D354" t="s">
        <v>76</v>
      </c>
      <c r="E354" t="s">
        <v>26</v>
      </c>
      <c r="F354" t="s">
        <v>61</v>
      </c>
      <c r="G354" t="str">
        <f>INDEX(Lookup_Tables!$B$1:$B$7,MATCH(Cleaned_Data!F354,Lookup_Tables!$A$1:$A$7,0))</f>
        <v>Electronics</v>
      </c>
      <c r="H354" t="s">
        <v>54</v>
      </c>
      <c r="I354">
        <v>5</v>
      </c>
      <c r="J354">
        <v>24081</v>
      </c>
      <c r="L354">
        <f t="shared" si="25"/>
        <v>0</v>
      </c>
      <c r="M354">
        <v>19227</v>
      </c>
      <c r="N354">
        <f t="shared" si="26"/>
        <v>120405</v>
      </c>
      <c r="O354">
        <f t="shared" si="27"/>
        <v>120405</v>
      </c>
      <c r="P354">
        <f>I354*IFERROR(_xlfn.XLOOKUP(F354,Lookup_Tables!Product,Cost),0)</f>
        <v>36920</v>
      </c>
      <c r="Q354">
        <f t="shared" si="28"/>
        <v>83485</v>
      </c>
      <c r="R354" s="2">
        <f t="shared" si="29"/>
        <v>0.6933682156056642</v>
      </c>
    </row>
    <row r="355" spans="1:18" x14ac:dyDescent="0.3">
      <c r="A355" t="s">
        <v>412</v>
      </c>
      <c r="B355" s="1">
        <v>45581</v>
      </c>
      <c r="C355" t="s">
        <v>4</v>
      </c>
      <c r="D355" t="s">
        <v>49</v>
      </c>
      <c r="E355" t="s">
        <v>25</v>
      </c>
      <c r="F355" t="s">
        <v>24</v>
      </c>
      <c r="G355" t="str">
        <f>INDEX(Lookup_Tables!$B$1:$B$7,MATCH(Cleaned_Data!F355,Lookup_Tables!$A$1:$A$7,0))</f>
        <v>Electronics</v>
      </c>
      <c r="H355" t="s">
        <v>54</v>
      </c>
      <c r="I355">
        <v>8</v>
      </c>
      <c r="J355">
        <v>11781</v>
      </c>
      <c r="K355">
        <v>0</v>
      </c>
      <c r="L355">
        <f t="shared" si="25"/>
        <v>0</v>
      </c>
      <c r="N355">
        <f t="shared" si="26"/>
        <v>94248</v>
      </c>
      <c r="O355">
        <f t="shared" si="27"/>
        <v>94248</v>
      </c>
      <c r="P355">
        <f>I355*IFERROR(_xlfn.XLOOKUP(F355,Lookup_Tables!Product,Cost),0)</f>
        <v>224368</v>
      </c>
      <c r="Q355">
        <f t="shared" si="28"/>
        <v>-130120</v>
      </c>
      <c r="R355" s="2">
        <f t="shared" si="29"/>
        <v>-1.3806128512010865</v>
      </c>
    </row>
    <row r="356" spans="1:18" x14ac:dyDescent="0.3">
      <c r="A356" t="s">
        <v>413</v>
      </c>
      <c r="B356" s="1">
        <v>45432</v>
      </c>
      <c r="C356" t="s">
        <v>5</v>
      </c>
      <c r="D356" t="s">
        <v>69</v>
      </c>
      <c r="E356" t="s">
        <v>29</v>
      </c>
      <c r="F356" t="s">
        <v>24</v>
      </c>
      <c r="G356" t="str">
        <f>INDEX(Lookup_Tables!$B$1:$B$7,MATCH(Cleaned_Data!F356,Lookup_Tables!$A$1:$A$7,0))</f>
        <v>Electronics</v>
      </c>
      <c r="H356" t="s">
        <v>54</v>
      </c>
      <c r="I356">
        <v>3</v>
      </c>
      <c r="J356">
        <v>44474</v>
      </c>
      <c r="K356">
        <v>0.05</v>
      </c>
      <c r="L356">
        <f t="shared" si="25"/>
        <v>0.05</v>
      </c>
      <c r="N356">
        <f t="shared" si="26"/>
        <v>133422</v>
      </c>
      <c r="O356">
        <f t="shared" si="27"/>
        <v>126750.9</v>
      </c>
      <c r="P356">
        <f>I356*IFERROR(_xlfn.XLOOKUP(F356,Lookup_Tables!Product,Cost),0)</f>
        <v>84138</v>
      </c>
      <c r="Q356">
        <f t="shared" si="28"/>
        <v>42612.899999999994</v>
      </c>
      <c r="R356" s="2">
        <f t="shared" si="29"/>
        <v>0.33619406252736667</v>
      </c>
    </row>
    <row r="357" spans="1:18" x14ac:dyDescent="0.3">
      <c r="A357" t="s">
        <v>414</v>
      </c>
      <c r="B357" s="1">
        <v>45593</v>
      </c>
      <c r="C357" t="s">
        <v>5</v>
      </c>
      <c r="D357" t="s">
        <v>56</v>
      </c>
      <c r="E357" t="s">
        <v>27</v>
      </c>
      <c r="F357" t="s">
        <v>24</v>
      </c>
      <c r="G357" t="str">
        <f>INDEX(Lookup_Tables!$B$1:$B$7,MATCH(Cleaned_Data!F357,Lookup_Tables!$A$1:$A$7,0))</f>
        <v>Electronics</v>
      </c>
      <c r="H357" t="s">
        <v>54</v>
      </c>
      <c r="I357">
        <v>8</v>
      </c>
      <c r="J357">
        <v>20712</v>
      </c>
      <c r="K357">
        <v>0.05</v>
      </c>
      <c r="L357">
        <f t="shared" si="25"/>
        <v>0.05</v>
      </c>
      <c r="N357">
        <f t="shared" si="26"/>
        <v>165696</v>
      </c>
      <c r="O357">
        <f t="shared" si="27"/>
        <v>157411.20000000001</v>
      </c>
      <c r="P357">
        <f>I357*IFERROR(_xlfn.XLOOKUP(F357,Lookup_Tables!Product,Cost),0)</f>
        <v>224368</v>
      </c>
      <c r="Q357">
        <f t="shared" si="28"/>
        <v>-66956.799999999988</v>
      </c>
      <c r="R357" s="2">
        <f t="shared" si="29"/>
        <v>-0.42536236303388819</v>
      </c>
    </row>
    <row r="358" spans="1:18" x14ac:dyDescent="0.3">
      <c r="A358" t="s">
        <v>415</v>
      </c>
      <c r="B358" s="1">
        <v>45425</v>
      </c>
      <c r="C358" t="s">
        <v>6</v>
      </c>
      <c r="D358" t="s">
        <v>64</v>
      </c>
      <c r="E358" t="s">
        <v>29</v>
      </c>
      <c r="F358" t="s">
        <v>22</v>
      </c>
      <c r="G358" t="str">
        <f>INDEX(Lookup_Tables!$B$1:$B$7,MATCH(Cleaned_Data!F358,Lookup_Tables!$A$1:$A$7,0))</f>
        <v>Furniture</v>
      </c>
      <c r="H358" t="s">
        <v>51</v>
      </c>
      <c r="I358">
        <v>10</v>
      </c>
      <c r="J358">
        <v>5026</v>
      </c>
      <c r="L358">
        <f t="shared" si="25"/>
        <v>0</v>
      </c>
      <c r="N358">
        <f t="shared" si="26"/>
        <v>50260</v>
      </c>
      <c r="O358">
        <f t="shared" si="27"/>
        <v>50260</v>
      </c>
      <c r="P358">
        <f>I358*IFERROR(_xlfn.XLOOKUP(F358,Lookup_Tables!Product,Cost),0)</f>
        <v>130400</v>
      </c>
      <c r="Q358">
        <f t="shared" si="28"/>
        <v>-80140</v>
      </c>
      <c r="R358" s="2">
        <f t="shared" si="29"/>
        <v>-1.594508555511341</v>
      </c>
    </row>
    <row r="359" spans="1:18" x14ac:dyDescent="0.3">
      <c r="A359" t="s">
        <v>416</v>
      </c>
      <c r="B359" s="1">
        <v>45371</v>
      </c>
      <c r="C359" t="s">
        <v>4</v>
      </c>
      <c r="D359" t="s">
        <v>64</v>
      </c>
      <c r="E359" t="s">
        <v>28</v>
      </c>
      <c r="F359" t="s">
        <v>22</v>
      </c>
      <c r="G359" t="str">
        <f>INDEX(Lookup_Tables!$B$1:$B$7,MATCH(Cleaned_Data!F359,Lookup_Tables!$A$1:$A$7,0))</f>
        <v>Furniture</v>
      </c>
      <c r="H359" t="s">
        <v>51</v>
      </c>
      <c r="I359">
        <v>4</v>
      </c>
      <c r="J359">
        <v>30888</v>
      </c>
      <c r="K359">
        <v>0</v>
      </c>
      <c r="L359">
        <f t="shared" si="25"/>
        <v>0</v>
      </c>
      <c r="M359">
        <v>28987</v>
      </c>
      <c r="N359">
        <f t="shared" si="26"/>
        <v>123552</v>
      </c>
      <c r="O359">
        <f t="shared" si="27"/>
        <v>123552</v>
      </c>
      <c r="P359">
        <f>I359*IFERROR(_xlfn.XLOOKUP(F359,Lookup_Tables!Product,Cost),0)</f>
        <v>52160</v>
      </c>
      <c r="Q359">
        <f t="shared" si="28"/>
        <v>71392</v>
      </c>
      <c r="R359" s="2">
        <f t="shared" si="29"/>
        <v>0.57782957782957778</v>
      </c>
    </row>
    <row r="360" spans="1:18" x14ac:dyDescent="0.3">
      <c r="A360" t="s">
        <v>417</v>
      </c>
      <c r="B360" s="1">
        <v>45588</v>
      </c>
      <c r="C360" t="s">
        <v>3</v>
      </c>
      <c r="D360" t="s">
        <v>69</v>
      </c>
      <c r="E360" t="s">
        <v>28</v>
      </c>
      <c r="F360" t="s">
        <v>50</v>
      </c>
      <c r="G360" t="str">
        <f>INDEX(Lookup_Tables!$B$1:$B$7,MATCH(Cleaned_Data!F360,Lookup_Tables!$A$1:$A$7,0))</f>
        <v>Furniture</v>
      </c>
      <c r="H360" t="s">
        <v>51</v>
      </c>
      <c r="I360">
        <v>4</v>
      </c>
      <c r="J360">
        <v>1631</v>
      </c>
      <c r="K360">
        <v>0.05</v>
      </c>
      <c r="L360">
        <f t="shared" si="25"/>
        <v>0.05</v>
      </c>
      <c r="M360">
        <v>13429</v>
      </c>
      <c r="N360">
        <f t="shared" si="26"/>
        <v>6524</v>
      </c>
      <c r="O360">
        <f t="shared" si="27"/>
        <v>6197.8</v>
      </c>
      <c r="P360">
        <f>I360*IFERROR(_xlfn.XLOOKUP(F360,Lookup_Tables!Product,Cost),0)</f>
        <v>53084</v>
      </c>
      <c r="Q360">
        <f t="shared" si="28"/>
        <v>-46886.2</v>
      </c>
      <c r="R360" s="2">
        <f t="shared" si="29"/>
        <v>-7.5649746684307324</v>
      </c>
    </row>
    <row r="361" spans="1:18" x14ac:dyDescent="0.3">
      <c r="A361" t="s">
        <v>418</v>
      </c>
      <c r="B361" s="1">
        <v>45471</v>
      </c>
      <c r="C361" t="s">
        <v>6</v>
      </c>
      <c r="D361" t="s">
        <v>49</v>
      </c>
      <c r="E361" t="s">
        <v>28</v>
      </c>
      <c r="F361" t="s">
        <v>61</v>
      </c>
      <c r="G361" t="str">
        <f>INDEX(Lookup_Tables!$B$1:$B$7,MATCH(Cleaned_Data!F361,Lookup_Tables!$A$1:$A$7,0))</f>
        <v>Electronics</v>
      </c>
      <c r="H361" t="s">
        <v>54</v>
      </c>
      <c r="I361">
        <v>2</v>
      </c>
      <c r="J361">
        <v>1931</v>
      </c>
      <c r="K361">
        <v>0.05</v>
      </c>
      <c r="L361">
        <f t="shared" si="25"/>
        <v>0.05</v>
      </c>
      <c r="M361">
        <v>12824</v>
      </c>
      <c r="N361">
        <f t="shared" si="26"/>
        <v>3862</v>
      </c>
      <c r="O361">
        <f t="shared" si="27"/>
        <v>3668.9</v>
      </c>
      <c r="P361">
        <f>I361*IFERROR(_xlfn.XLOOKUP(F361,Lookup_Tables!Product,Cost),0)</f>
        <v>14768</v>
      </c>
      <c r="Q361">
        <f t="shared" si="28"/>
        <v>-11099.1</v>
      </c>
      <c r="R361" s="2">
        <f t="shared" si="29"/>
        <v>-3.0251846602523917</v>
      </c>
    </row>
    <row r="362" spans="1:18" x14ac:dyDescent="0.3">
      <c r="A362" t="s">
        <v>419</v>
      </c>
      <c r="B362" s="1">
        <v>45404</v>
      </c>
      <c r="C362" t="s">
        <v>4</v>
      </c>
      <c r="D362" t="s">
        <v>56</v>
      </c>
      <c r="E362" t="s">
        <v>28</v>
      </c>
      <c r="F362" t="s">
        <v>24</v>
      </c>
      <c r="G362" t="str">
        <f>INDEX(Lookup_Tables!$B$1:$B$7,MATCH(Cleaned_Data!F362,Lookup_Tables!$A$1:$A$7,0))</f>
        <v>Electronics</v>
      </c>
      <c r="H362" t="s">
        <v>54</v>
      </c>
      <c r="I362">
        <v>10</v>
      </c>
      <c r="J362">
        <v>23499</v>
      </c>
      <c r="L362">
        <f t="shared" si="25"/>
        <v>0</v>
      </c>
      <c r="N362">
        <f t="shared" si="26"/>
        <v>234990</v>
      </c>
      <c r="O362">
        <f t="shared" si="27"/>
        <v>234990</v>
      </c>
      <c r="P362">
        <f>I362*IFERROR(_xlfn.XLOOKUP(F362,Lookup_Tables!Product,Cost),0)</f>
        <v>280460</v>
      </c>
      <c r="Q362">
        <f t="shared" si="28"/>
        <v>-45470</v>
      </c>
      <c r="R362" s="2">
        <f t="shared" si="29"/>
        <v>-0.19349759564236776</v>
      </c>
    </row>
    <row r="363" spans="1:18" x14ac:dyDescent="0.3">
      <c r="A363" t="s">
        <v>420</v>
      </c>
      <c r="B363" s="1">
        <v>45566</v>
      </c>
      <c r="C363" t="s">
        <v>4</v>
      </c>
      <c r="D363" t="s">
        <v>49</v>
      </c>
      <c r="E363" t="s">
        <v>25</v>
      </c>
      <c r="F363" t="s">
        <v>58</v>
      </c>
      <c r="G363" t="str">
        <f>INDEX(Lookup_Tables!$B$1:$B$7,MATCH(Cleaned_Data!F363,Lookup_Tables!$A$1:$A$7,0))</f>
        <v>Electronics</v>
      </c>
      <c r="H363" t="s">
        <v>54</v>
      </c>
      <c r="I363">
        <v>4</v>
      </c>
      <c r="J363">
        <v>9153</v>
      </c>
      <c r="L363">
        <f t="shared" si="25"/>
        <v>0</v>
      </c>
      <c r="N363">
        <f t="shared" si="26"/>
        <v>36612</v>
      </c>
      <c r="O363">
        <f t="shared" si="27"/>
        <v>36612</v>
      </c>
      <c r="P363">
        <f>I363*IFERROR(_xlfn.XLOOKUP(F363,Lookup_Tables!Product,Cost),0)</f>
        <v>11552</v>
      </c>
      <c r="Q363">
        <f t="shared" si="28"/>
        <v>25060</v>
      </c>
      <c r="R363" s="2">
        <f t="shared" si="29"/>
        <v>0.6844750355074839</v>
      </c>
    </row>
    <row r="364" spans="1:18" x14ac:dyDescent="0.3">
      <c r="A364" t="s">
        <v>421</v>
      </c>
      <c r="B364" s="1">
        <v>45413</v>
      </c>
      <c r="C364" t="s">
        <v>6</v>
      </c>
      <c r="D364" t="s">
        <v>56</v>
      </c>
      <c r="E364" t="s">
        <v>26</v>
      </c>
      <c r="F364" t="s">
        <v>58</v>
      </c>
      <c r="G364" t="str">
        <f>INDEX(Lookup_Tables!$B$1:$B$7,MATCH(Cleaned_Data!F364,Lookup_Tables!$A$1:$A$7,0))</f>
        <v>Electronics</v>
      </c>
      <c r="H364" t="s">
        <v>54</v>
      </c>
      <c r="I364">
        <v>4</v>
      </c>
      <c r="J364">
        <v>25770</v>
      </c>
      <c r="K364">
        <v>0</v>
      </c>
      <c r="L364">
        <f t="shared" si="25"/>
        <v>0</v>
      </c>
      <c r="M364">
        <v>16277</v>
      </c>
      <c r="N364">
        <f t="shared" si="26"/>
        <v>103080</v>
      </c>
      <c r="O364">
        <f t="shared" si="27"/>
        <v>103080</v>
      </c>
      <c r="P364">
        <f>I364*IFERROR(_xlfn.XLOOKUP(F364,Lookup_Tables!Product,Cost),0)</f>
        <v>11552</v>
      </c>
      <c r="Q364">
        <f t="shared" si="28"/>
        <v>91528</v>
      </c>
      <c r="R364" s="2">
        <f t="shared" si="29"/>
        <v>0.88793170353123785</v>
      </c>
    </row>
    <row r="365" spans="1:18" x14ac:dyDescent="0.3">
      <c r="A365" t="s">
        <v>422</v>
      </c>
      <c r="B365" s="1">
        <v>45413</v>
      </c>
      <c r="C365" t="s">
        <v>6</v>
      </c>
      <c r="D365" t="s">
        <v>76</v>
      </c>
      <c r="E365" t="s">
        <v>29</v>
      </c>
      <c r="F365" t="s">
        <v>24</v>
      </c>
      <c r="G365" t="str">
        <f>INDEX(Lookup_Tables!$B$1:$B$7,MATCH(Cleaned_Data!F365,Lookup_Tables!$A$1:$A$7,0))</f>
        <v>Electronics</v>
      </c>
      <c r="H365" t="s">
        <v>54</v>
      </c>
      <c r="I365">
        <v>4</v>
      </c>
      <c r="J365">
        <v>37748</v>
      </c>
      <c r="K365">
        <v>0.1</v>
      </c>
      <c r="L365">
        <f t="shared" si="25"/>
        <v>0.1</v>
      </c>
      <c r="M365">
        <v>26061</v>
      </c>
      <c r="N365">
        <f t="shared" si="26"/>
        <v>150992</v>
      </c>
      <c r="O365">
        <f t="shared" si="27"/>
        <v>135892.79999999999</v>
      </c>
      <c r="P365">
        <f>I365*IFERROR(_xlfn.XLOOKUP(F365,Lookup_Tables!Product,Cost),0)</f>
        <v>112184</v>
      </c>
      <c r="Q365">
        <f t="shared" si="28"/>
        <v>23708.799999999988</v>
      </c>
      <c r="R365" s="2">
        <f t="shared" si="29"/>
        <v>0.17446693275876271</v>
      </c>
    </row>
    <row r="366" spans="1:18" x14ac:dyDescent="0.3">
      <c r="A366" t="s">
        <v>423</v>
      </c>
      <c r="B366" s="1">
        <v>45399</v>
      </c>
      <c r="C366" t="s">
        <v>6</v>
      </c>
      <c r="D366" t="s">
        <v>64</v>
      </c>
      <c r="E366" t="s">
        <v>29</v>
      </c>
      <c r="F366" t="s">
        <v>61</v>
      </c>
      <c r="G366" t="str">
        <f>INDEX(Lookup_Tables!$B$1:$B$7,MATCH(Cleaned_Data!F366,Lookup_Tables!$A$1:$A$7,0))</f>
        <v>Electronics</v>
      </c>
      <c r="H366" t="s">
        <v>54</v>
      </c>
      <c r="I366">
        <v>1</v>
      </c>
      <c r="J366">
        <v>7157</v>
      </c>
      <c r="L366">
        <f t="shared" si="25"/>
        <v>0</v>
      </c>
      <c r="N366">
        <f t="shared" si="26"/>
        <v>7157</v>
      </c>
      <c r="O366">
        <f t="shared" si="27"/>
        <v>7157</v>
      </c>
      <c r="P366">
        <f>I366*IFERROR(_xlfn.XLOOKUP(F366,Lookup_Tables!Product,Cost),0)</f>
        <v>7384</v>
      </c>
      <c r="Q366">
        <f t="shared" si="28"/>
        <v>-227</v>
      </c>
      <c r="R366" s="2">
        <f t="shared" si="29"/>
        <v>-3.1717199944110659E-2</v>
      </c>
    </row>
    <row r="367" spans="1:18" x14ac:dyDescent="0.3">
      <c r="A367" t="s">
        <v>424</v>
      </c>
      <c r="B367" s="1">
        <v>45635</v>
      </c>
      <c r="C367" t="s">
        <v>5</v>
      </c>
      <c r="D367" t="s">
        <v>69</v>
      </c>
      <c r="E367" t="s">
        <v>26</v>
      </c>
      <c r="F367" t="s">
        <v>22</v>
      </c>
      <c r="G367" t="str">
        <f>INDEX(Lookup_Tables!$B$1:$B$7,MATCH(Cleaned_Data!F367,Lookup_Tables!$A$1:$A$7,0))</f>
        <v>Furniture</v>
      </c>
      <c r="H367" t="s">
        <v>51</v>
      </c>
      <c r="I367">
        <v>3</v>
      </c>
      <c r="J367">
        <v>10861</v>
      </c>
      <c r="L367">
        <f t="shared" si="25"/>
        <v>0</v>
      </c>
      <c r="M367">
        <v>4730</v>
      </c>
      <c r="N367">
        <f t="shared" si="26"/>
        <v>32583</v>
      </c>
      <c r="O367">
        <f t="shared" si="27"/>
        <v>32583</v>
      </c>
      <c r="P367">
        <f>I367*IFERROR(_xlfn.XLOOKUP(F367,Lookup_Tables!Product,Cost),0)</f>
        <v>39120</v>
      </c>
      <c r="Q367">
        <f t="shared" si="28"/>
        <v>-6537</v>
      </c>
      <c r="R367" s="2">
        <f t="shared" si="29"/>
        <v>-0.20062609336156892</v>
      </c>
    </row>
    <row r="368" spans="1:18" x14ac:dyDescent="0.3">
      <c r="A368" t="s">
        <v>425</v>
      </c>
      <c r="B368" s="1">
        <v>45489</v>
      </c>
      <c r="C368" t="s">
        <v>3</v>
      </c>
      <c r="D368" t="s">
        <v>69</v>
      </c>
      <c r="E368" t="s">
        <v>29</v>
      </c>
      <c r="F368" t="s">
        <v>61</v>
      </c>
      <c r="G368" t="str">
        <f>INDEX(Lookup_Tables!$B$1:$B$7,MATCH(Cleaned_Data!F368,Lookup_Tables!$A$1:$A$7,0))</f>
        <v>Electronics</v>
      </c>
      <c r="H368" t="s">
        <v>54</v>
      </c>
      <c r="I368">
        <v>1</v>
      </c>
      <c r="J368">
        <v>23523</v>
      </c>
      <c r="K368">
        <v>0</v>
      </c>
      <c r="L368">
        <f t="shared" si="25"/>
        <v>0</v>
      </c>
      <c r="M368">
        <v>2239</v>
      </c>
      <c r="N368">
        <f t="shared" si="26"/>
        <v>23523</v>
      </c>
      <c r="O368">
        <f t="shared" si="27"/>
        <v>23523</v>
      </c>
      <c r="P368">
        <f>I368*IFERROR(_xlfn.XLOOKUP(F368,Lookup_Tables!Product,Cost),0)</f>
        <v>7384</v>
      </c>
      <c r="Q368">
        <f t="shared" si="28"/>
        <v>16139</v>
      </c>
      <c r="R368" s="2">
        <f t="shared" si="29"/>
        <v>0.6860944607405518</v>
      </c>
    </row>
    <row r="369" spans="1:18" x14ac:dyDescent="0.3">
      <c r="A369" t="s">
        <v>426</v>
      </c>
      <c r="B369" s="1">
        <v>45355</v>
      </c>
      <c r="C369" t="s">
        <v>3</v>
      </c>
      <c r="D369" t="s">
        <v>76</v>
      </c>
      <c r="E369" t="s">
        <v>28</v>
      </c>
      <c r="F369" t="s">
        <v>24</v>
      </c>
      <c r="G369" t="str">
        <f>INDEX(Lookup_Tables!$B$1:$B$7,MATCH(Cleaned_Data!F369,Lookup_Tables!$A$1:$A$7,0))</f>
        <v>Electronics</v>
      </c>
      <c r="H369" t="s">
        <v>54</v>
      </c>
      <c r="I369">
        <v>8</v>
      </c>
      <c r="J369">
        <v>40382</v>
      </c>
      <c r="K369">
        <v>0</v>
      </c>
      <c r="L369">
        <f t="shared" si="25"/>
        <v>0</v>
      </c>
      <c r="N369">
        <f t="shared" si="26"/>
        <v>323056</v>
      </c>
      <c r="O369">
        <f t="shared" si="27"/>
        <v>323056</v>
      </c>
      <c r="P369">
        <f>I369*IFERROR(_xlfn.XLOOKUP(F369,Lookup_Tables!Product,Cost),0)</f>
        <v>224368</v>
      </c>
      <c r="Q369">
        <f t="shared" si="28"/>
        <v>98688</v>
      </c>
      <c r="R369" s="2">
        <f t="shared" si="29"/>
        <v>0.30548264078054577</v>
      </c>
    </row>
    <row r="370" spans="1:18" x14ac:dyDescent="0.3">
      <c r="A370" t="s">
        <v>427</v>
      </c>
      <c r="B370" s="1">
        <v>45348</v>
      </c>
      <c r="C370" t="s">
        <v>5</v>
      </c>
      <c r="D370" t="s">
        <v>69</v>
      </c>
      <c r="E370" t="s">
        <v>25</v>
      </c>
      <c r="F370" t="s">
        <v>22</v>
      </c>
      <c r="G370" t="str">
        <f>INDEX(Lookup_Tables!$B$1:$B$7,MATCH(Cleaned_Data!F370,Lookup_Tables!$A$1:$A$7,0))</f>
        <v>Furniture</v>
      </c>
      <c r="H370" t="s">
        <v>51</v>
      </c>
      <c r="I370">
        <v>3</v>
      </c>
      <c r="J370">
        <v>40113</v>
      </c>
      <c r="K370">
        <v>0.1</v>
      </c>
      <c r="L370">
        <f t="shared" si="25"/>
        <v>0.1</v>
      </c>
      <c r="M370">
        <v>10130</v>
      </c>
      <c r="N370">
        <f t="shared" si="26"/>
        <v>120339</v>
      </c>
      <c r="O370">
        <f t="shared" si="27"/>
        <v>108305.1</v>
      </c>
      <c r="P370">
        <f>I370*IFERROR(_xlfn.XLOOKUP(F370,Lookup_Tables!Product,Cost),0)</f>
        <v>39120</v>
      </c>
      <c r="Q370">
        <f t="shared" si="28"/>
        <v>69185.100000000006</v>
      </c>
      <c r="R370" s="2">
        <f t="shared" si="29"/>
        <v>0.63879817293922447</v>
      </c>
    </row>
    <row r="371" spans="1:18" x14ac:dyDescent="0.3">
      <c r="A371" t="s">
        <v>428</v>
      </c>
      <c r="B371" s="1">
        <v>45604</v>
      </c>
      <c r="C371" t="s">
        <v>3</v>
      </c>
      <c r="D371" t="s">
        <v>76</v>
      </c>
      <c r="E371" t="s">
        <v>27</v>
      </c>
      <c r="F371" t="s">
        <v>22</v>
      </c>
      <c r="G371" t="str">
        <f>INDEX(Lookup_Tables!$B$1:$B$7,MATCH(Cleaned_Data!F371,Lookup_Tables!$A$1:$A$7,0))</f>
        <v>Furniture</v>
      </c>
      <c r="H371" t="s">
        <v>51</v>
      </c>
      <c r="I371">
        <v>5</v>
      </c>
      <c r="J371">
        <v>40000</v>
      </c>
      <c r="L371">
        <f t="shared" si="25"/>
        <v>0</v>
      </c>
      <c r="N371">
        <f t="shared" si="26"/>
        <v>200000</v>
      </c>
      <c r="O371">
        <f t="shared" si="27"/>
        <v>200000</v>
      </c>
      <c r="P371">
        <f>I371*IFERROR(_xlfn.XLOOKUP(F371,Lookup_Tables!Product,Cost),0)</f>
        <v>65200</v>
      </c>
      <c r="Q371">
        <f t="shared" si="28"/>
        <v>134800</v>
      </c>
      <c r="R371" s="2">
        <f t="shared" si="29"/>
        <v>0.67400000000000004</v>
      </c>
    </row>
    <row r="372" spans="1:18" x14ac:dyDescent="0.3">
      <c r="A372" t="s">
        <v>429</v>
      </c>
      <c r="B372" s="1">
        <v>45613</v>
      </c>
      <c r="C372" t="s">
        <v>5</v>
      </c>
      <c r="D372" t="s">
        <v>76</v>
      </c>
      <c r="E372" t="s">
        <v>25</v>
      </c>
      <c r="F372" t="s">
        <v>58</v>
      </c>
      <c r="G372" t="str">
        <f>INDEX(Lookup_Tables!$B$1:$B$7,MATCH(Cleaned_Data!F372,Lookup_Tables!$A$1:$A$7,0))</f>
        <v>Electronics</v>
      </c>
      <c r="H372" t="s">
        <v>54</v>
      </c>
      <c r="I372">
        <v>6</v>
      </c>
      <c r="J372">
        <v>35229</v>
      </c>
      <c r="K372">
        <v>0.1</v>
      </c>
      <c r="L372">
        <f t="shared" si="25"/>
        <v>0.1</v>
      </c>
      <c r="M372">
        <v>21984</v>
      </c>
      <c r="N372">
        <f t="shared" si="26"/>
        <v>211374</v>
      </c>
      <c r="O372">
        <f t="shared" si="27"/>
        <v>190236.6</v>
      </c>
      <c r="P372">
        <f>I372*IFERROR(_xlfn.XLOOKUP(F372,Lookup_Tables!Product,Cost),0)</f>
        <v>17328</v>
      </c>
      <c r="Q372">
        <f t="shared" si="28"/>
        <v>172908.6</v>
      </c>
      <c r="R372" s="2">
        <f t="shared" si="29"/>
        <v>0.90891342675384235</v>
      </c>
    </row>
    <row r="373" spans="1:18" x14ac:dyDescent="0.3">
      <c r="A373" t="s">
        <v>430</v>
      </c>
      <c r="B373" s="1">
        <v>45372</v>
      </c>
      <c r="C373" t="s">
        <v>5</v>
      </c>
      <c r="D373" t="s">
        <v>69</v>
      </c>
      <c r="E373" t="s">
        <v>27</v>
      </c>
      <c r="F373" t="s">
        <v>61</v>
      </c>
      <c r="G373" t="str">
        <f>INDEX(Lookup_Tables!$B$1:$B$7,MATCH(Cleaned_Data!F373,Lookup_Tables!$A$1:$A$7,0))</f>
        <v>Electronics</v>
      </c>
      <c r="H373" t="s">
        <v>54</v>
      </c>
      <c r="I373">
        <v>3</v>
      </c>
      <c r="J373">
        <v>42936</v>
      </c>
      <c r="K373">
        <v>0</v>
      </c>
      <c r="L373">
        <f t="shared" si="25"/>
        <v>0</v>
      </c>
      <c r="N373">
        <f t="shared" si="26"/>
        <v>128808</v>
      </c>
      <c r="O373">
        <f t="shared" si="27"/>
        <v>128808</v>
      </c>
      <c r="P373">
        <f>I373*IFERROR(_xlfn.XLOOKUP(F373,Lookup_Tables!Product,Cost),0)</f>
        <v>22152</v>
      </c>
      <c r="Q373">
        <f t="shared" si="28"/>
        <v>106656</v>
      </c>
      <c r="R373" s="2">
        <f t="shared" si="29"/>
        <v>0.82802310415502145</v>
      </c>
    </row>
    <row r="374" spans="1:18" x14ac:dyDescent="0.3">
      <c r="A374" t="s">
        <v>431</v>
      </c>
      <c r="B374" s="1">
        <v>45315</v>
      </c>
      <c r="C374" t="s">
        <v>5</v>
      </c>
      <c r="D374" t="s">
        <v>69</v>
      </c>
      <c r="E374" t="s">
        <v>27</v>
      </c>
      <c r="F374" t="s">
        <v>61</v>
      </c>
      <c r="G374" t="str">
        <f>INDEX(Lookup_Tables!$B$1:$B$7,MATCH(Cleaned_Data!F374,Lookup_Tables!$A$1:$A$7,0))</f>
        <v>Electronics</v>
      </c>
      <c r="H374" t="s">
        <v>54</v>
      </c>
      <c r="I374">
        <v>8</v>
      </c>
      <c r="J374">
        <v>18701</v>
      </c>
      <c r="K374">
        <v>0.1</v>
      </c>
      <c r="L374">
        <f t="shared" si="25"/>
        <v>0.1</v>
      </c>
      <c r="M374">
        <v>1221</v>
      </c>
      <c r="N374">
        <f t="shared" si="26"/>
        <v>149608</v>
      </c>
      <c r="O374">
        <f t="shared" si="27"/>
        <v>134647.20000000001</v>
      </c>
      <c r="P374">
        <f>I374*IFERROR(_xlfn.XLOOKUP(F374,Lookup_Tables!Product,Cost),0)</f>
        <v>59072</v>
      </c>
      <c r="Q374">
        <f t="shared" si="28"/>
        <v>75575.200000000012</v>
      </c>
      <c r="R374" s="2">
        <f t="shared" si="29"/>
        <v>0.56128311617322901</v>
      </c>
    </row>
    <row r="375" spans="1:18" x14ac:dyDescent="0.3">
      <c r="A375" t="s">
        <v>432</v>
      </c>
      <c r="B375" s="1">
        <v>45515</v>
      </c>
      <c r="C375" t="s">
        <v>4</v>
      </c>
      <c r="D375" t="s">
        <v>49</v>
      </c>
      <c r="E375" t="s">
        <v>27</v>
      </c>
      <c r="F375" t="s">
        <v>23</v>
      </c>
      <c r="G375" t="str">
        <f>INDEX(Lookup_Tables!$B$1:$B$7,MATCH(Cleaned_Data!F375,Lookup_Tables!$A$1:$A$7,0))</f>
        <v>Electronics</v>
      </c>
      <c r="H375" t="s">
        <v>54</v>
      </c>
      <c r="I375">
        <v>4</v>
      </c>
      <c r="J375">
        <v>22470</v>
      </c>
      <c r="K375">
        <v>0.05</v>
      </c>
      <c r="L375">
        <f t="shared" si="25"/>
        <v>0.05</v>
      </c>
      <c r="N375">
        <f t="shared" si="26"/>
        <v>89880</v>
      </c>
      <c r="O375">
        <f t="shared" si="27"/>
        <v>85386</v>
      </c>
      <c r="P375">
        <f>I375*IFERROR(_xlfn.XLOOKUP(F375,Lookup_Tables!Product,Cost),0)</f>
        <v>77060</v>
      </c>
      <c r="Q375">
        <f t="shared" si="28"/>
        <v>8326</v>
      </c>
      <c r="R375" s="2">
        <f t="shared" si="29"/>
        <v>9.7510130466352804E-2</v>
      </c>
    </row>
    <row r="376" spans="1:18" x14ac:dyDescent="0.3">
      <c r="A376" t="s">
        <v>433</v>
      </c>
      <c r="B376" s="1">
        <v>45412</v>
      </c>
      <c r="C376" t="s">
        <v>6</v>
      </c>
      <c r="D376" t="s">
        <v>64</v>
      </c>
      <c r="E376" t="s">
        <v>28</v>
      </c>
      <c r="F376" t="s">
        <v>58</v>
      </c>
      <c r="G376" t="str">
        <f>INDEX(Lookup_Tables!$B$1:$B$7,MATCH(Cleaned_Data!F376,Lookup_Tables!$A$1:$A$7,0))</f>
        <v>Electronics</v>
      </c>
      <c r="H376" t="s">
        <v>54</v>
      </c>
      <c r="I376">
        <v>2</v>
      </c>
      <c r="J376">
        <v>28341</v>
      </c>
      <c r="L376">
        <f t="shared" si="25"/>
        <v>0</v>
      </c>
      <c r="M376">
        <v>14166</v>
      </c>
      <c r="N376">
        <f t="shared" si="26"/>
        <v>56682</v>
      </c>
      <c r="O376">
        <f t="shared" si="27"/>
        <v>56682</v>
      </c>
      <c r="P376">
        <f>I376*IFERROR(_xlfn.XLOOKUP(F376,Lookup_Tables!Product,Cost),0)</f>
        <v>5776</v>
      </c>
      <c r="Q376">
        <f t="shared" si="28"/>
        <v>50906</v>
      </c>
      <c r="R376" s="2">
        <f t="shared" si="29"/>
        <v>0.8980981616739</v>
      </c>
    </row>
    <row r="377" spans="1:18" x14ac:dyDescent="0.3">
      <c r="A377" t="s">
        <v>434</v>
      </c>
      <c r="B377" s="1">
        <v>45330</v>
      </c>
      <c r="C377" t="s">
        <v>3</v>
      </c>
      <c r="D377" t="s">
        <v>76</v>
      </c>
      <c r="E377" t="s">
        <v>28</v>
      </c>
      <c r="F377" t="s">
        <v>61</v>
      </c>
      <c r="G377" t="str">
        <f>INDEX(Lookup_Tables!$B$1:$B$7,MATCH(Cleaned_Data!F377,Lookup_Tables!$A$1:$A$7,0))</f>
        <v>Electronics</v>
      </c>
      <c r="H377" t="s">
        <v>54</v>
      </c>
      <c r="I377">
        <v>7</v>
      </c>
      <c r="J377">
        <v>43874</v>
      </c>
      <c r="K377">
        <v>0.1</v>
      </c>
      <c r="L377">
        <f t="shared" si="25"/>
        <v>0.1</v>
      </c>
      <c r="N377">
        <f t="shared" si="26"/>
        <v>307118</v>
      </c>
      <c r="O377">
        <f t="shared" si="27"/>
        <v>276406.2</v>
      </c>
      <c r="P377">
        <f>I377*IFERROR(_xlfn.XLOOKUP(F377,Lookup_Tables!Product,Cost),0)</f>
        <v>51688</v>
      </c>
      <c r="Q377">
        <f t="shared" si="28"/>
        <v>224718.2</v>
      </c>
      <c r="R377" s="2">
        <f t="shared" si="29"/>
        <v>0.81299985311472756</v>
      </c>
    </row>
    <row r="378" spans="1:18" x14ac:dyDescent="0.3">
      <c r="A378" t="s">
        <v>435</v>
      </c>
      <c r="B378" s="1">
        <v>45626</v>
      </c>
      <c r="C378" t="s">
        <v>4</v>
      </c>
      <c r="D378" t="s">
        <v>76</v>
      </c>
      <c r="E378" t="s">
        <v>25</v>
      </c>
      <c r="F378" t="s">
        <v>22</v>
      </c>
      <c r="G378" t="str">
        <f>INDEX(Lookup_Tables!$B$1:$B$7,MATCH(Cleaned_Data!F378,Lookup_Tables!$A$1:$A$7,0))</f>
        <v>Furniture</v>
      </c>
      <c r="H378" t="s">
        <v>51</v>
      </c>
      <c r="I378">
        <v>5</v>
      </c>
      <c r="J378">
        <v>12830</v>
      </c>
      <c r="K378">
        <v>0.05</v>
      </c>
      <c r="L378">
        <f t="shared" si="25"/>
        <v>0.05</v>
      </c>
      <c r="M378">
        <v>15696</v>
      </c>
      <c r="N378">
        <f t="shared" si="26"/>
        <v>64150</v>
      </c>
      <c r="O378">
        <f t="shared" si="27"/>
        <v>60942.5</v>
      </c>
      <c r="P378">
        <f>I378*IFERROR(_xlfn.XLOOKUP(F378,Lookup_Tables!Product,Cost),0)</f>
        <v>65200</v>
      </c>
      <c r="Q378">
        <f t="shared" si="28"/>
        <v>-4257.5</v>
      </c>
      <c r="R378" s="2">
        <f t="shared" si="29"/>
        <v>-6.9860934487426668E-2</v>
      </c>
    </row>
    <row r="379" spans="1:18" x14ac:dyDescent="0.3">
      <c r="A379" t="s">
        <v>436</v>
      </c>
      <c r="B379" s="1">
        <v>45339</v>
      </c>
      <c r="C379" t="s">
        <v>5</v>
      </c>
      <c r="D379" t="s">
        <v>56</v>
      </c>
      <c r="E379" t="s">
        <v>27</v>
      </c>
      <c r="F379" t="s">
        <v>58</v>
      </c>
      <c r="G379" t="str">
        <f>INDEX(Lookup_Tables!$B$1:$B$7,MATCH(Cleaned_Data!F379,Lookup_Tables!$A$1:$A$7,0))</f>
        <v>Electronics</v>
      </c>
      <c r="H379" t="s">
        <v>54</v>
      </c>
      <c r="I379">
        <v>5</v>
      </c>
      <c r="J379">
        <v>36644</v>
      </c>
      <c r="K379">
        <v>0.1</v>
      </c>
      <c r="L379">
        <f t="shared" si="25"/>
        <v>0.1</v>
      </c>
      <c r="N379">
        <f t="shared" si="26"/>
        <v>183220</v>
      </c>
      <c r="O379">
        <f t="shared" si="27"/>
        <v>164898</v>
      </c>
      <c r="P379">
        <f>I379*IFERROR(_xlfn.XLOOKUP(F379,Lookup_Tables!Product,Cost),0)</f>
        <v>14440</v>
      </c>
      <c r="Q379">
        <f t="shared" si="28"/>
        <v>150458</v>
      </c>
      <c r="R379" s="2">
        <f t="shared" si="29"/>
        <v>0.91243071474487258</v>
      </c>
    </row>
    <row r="380" spans="1:18" x14ac:dyDescent="0.3">
      <c r="A380" t="s">
        <v>437</v>
      </c>
      <c r="B380" s="1">
        <v>45295</v>
      </c>
      <c r="C380" t="s">
        <v>5</v>
      </c>
      <c r="D380" t="s">
        <v>69</v>
      </c>
      <c r="E380" t="s">
        <v>28</v>
      </c>
      <c r="F380" t="s">
        <v>24</v>
      </c>
      <c r="G380" t="str">
        <f>INDEX(Lookup_Tables!$B$1:$B$7,MATCH(Cleaned_Data!F380,Lookup_Tables!$A$1:$A$7,0))</f>
        <v>Electronics</v>
      </c>
      <c r="H380" t="s">
        <v>54</v>
      </c>
      <c r="I380">
        <v>10</v>
      </c>
      <c r="J380">
        <v>45518</v>
      </c>
      <c r="K380">
        <v>0</v>
      </c>
      <c r="L380">
        <f t="shared" si="25"/>
        <v>0</v>
      </c>
      <c r="M380">
        <v>1171</v>
      </c>
      <c r="N380">
        <f t="shared" si="26"/>
        <v>455180</v>
      </c>
      <c r="O380">
        <f t="shared" si="27"/>
        <v>455180</v>
      </c>
      <c r="P380">
        <f>I380*IFERROR(_xlfn.XLOOKUP(F380,Lookup_Tables!Product,Cost),0)</f>
        <v>280460</v>
      </c>
      <c r="Q380">
        <f t="shared" si="28"/>
        <v>174720</v>
      </c>
      <c r="R380" s="2">
        <f t="shared" si="29"/>
        <v>0.38384814798541239</v>
      </c>
    </row>
    <row r="381" spans="1:18" x14ac:dyDescent="0.3">
      <c r="A381" t="s">
        <v>438</v>
      </c>
      <c r="B381" s="1">
        <v>45332</v>
      </c>
      <c r="C381" t="s">
        <v>4</v>
      </c>
      <c r="D381" t="s">
        <v>49</v>
      </c>
      <c r="E381" t="s">
        <v>25</v>
      </c>
      <c r="F381" t="s">
        <v>58</v>
      </c>
      <c r="G381" t="str">
        <f>INDEX(Lookup_Tables!$B$1:$B$7,MATCH(Cleaned_Data!F381,Lookup_Tables!$A$1:$A$7,0))</f>
        <v>Electronics</v>
      </c>
      <c r="H381" t="s">
        <v>54</v>
      </c>
      <c r="I381">
        <v>4</v>
      </c>
      <c r="J381">
        <v>48084</v>
      </c>
      <c r="K381">
        <v>0</v>
      </c>
      <c r="L381">
        <f t="shared" si="25"/>
        <v>0</v>
      </c>
      <c r="N381">
        <f t="shared" si="26"/>
        <v>192336</v>
      </c>
      <c r="O381">
        <f t="shared" si="27"/>
        <v>192336</v>
      </c>
      <c r="P381">
        <f>I381*IFERROR(_xlfn.XLOOKUP(F381,Lookup_Tables!Product,Cost),0)</f>
        <v>11552</v>
      </c>
      <c r="Q381">
        <f t="shared" si="28"/>
        <v>180784</v>
      </c>
      <c r="R381" s="2">
        <f t="shared" si="29"/>
        <v>0.93993844106147573</v>
      </c>
    </row>
    <row r="382" spans="1:18" x14ac:dyDescent="0.3">
      <c r="A382" t="s">
        <v>439</v>
      </c>
      <c r="B382" s="1">
        <v>45649</v>
      </c>
      <c r="C382" t="s">
        <v>4</v>
      </c>
      <c r="D382" t="s">
        <v>64</v>
      </c>
      <c r="E382" t="s">
        <v>26</v>
      </c>
      <c r="F382" t="s">
        <v>24</v>
      </c>
      <c r="G382" t="str">
        <f>INDEX(Lookup_Tables!$B$1:$B$7,MATCH(Cleaned_Data!F382,Lookup_Tables!$A$1:$A$7,0))</f>
        <v>Electronics</v>
      </c>
      <c r="H382" t="s">
        <v>54</v>
      </c>
      <c r="I382">
        <v>1</v>
      </c>
      <c r="J382">
        <v>24408</v>
      </c>
      <c r="K382">
        <v>0.1</v>
      </c>
      <c r="L382">
        <f t="shared" si="25"/>
        <v>0.1</v>
      </c>
      <c r="M382">
        <v>18969</v>
      </c>
      <c r="N382">
        <f t="shared" si="26"/>
        <v>24408</v>
      </c>
      <c r="O382">
        <f t="shared" si="27"/>
        <v>21967.200000000001</v>
      </c>
      <c r="P382">
        <f>I382*IFERROR(_xlfn.XLOOKUP(F382,Lookup_Tables!Product,Cost),0)</f>
        <v>28046</v>
      </c>
      <c r="Q382">
        <f t="shared" si="28"/>
        <v>-6078.7999999999993</v>
      </c>
      <c r="R382" s="2">
        <f t="shared" si="29"/>
        <v>-0.27672165774427326</v>
      </c>
    </row>
    <row r="383" spans="1:18" x14ac:dyDescent="0.3">
      <c r="A383" t="s">
        <v>440</v>
      </c>
      <c r="B383" s="1">
        <v>45362</v>
      </c>
      <c r="C383" t="s">
        <v>4</v>
      </c>
      <c r="D383" t="s">
        <v>69</v>
      </c>
      <c r="E383" t="s">
        <v>29</v>
      </c>
      <c r="F383" t="s">
        <v>24</v>
      </c>
      <c r="G383" t="str">
        <f>INDEX(Lookup_Tables!$B$1:$B$7,MATCH(Cleaned_Data!F383,Lookup_Tables!$A$1:$A$7,0))</f>
        <v>Electronics</v>
      </c>
      <c r="H383" t="s">
        <v>54</v>
      </c>
      <c r="I383">
        <v>5</v>
      </c>
      <c r="J383">
        <v>43828</v>
      </c>
      <c r="K383">
        <v>0.1</v>
      </c>
      <c r="L383">
        <f t="shared" si="25"/>
        <v>0.1</v>
      </c>
      <c r="M383">
        <v>19950</v>
      </c>
      <c r="N383">
        <f t="shared" si="26"/>
        <v>219140</v>
      </c>
      <c r="O383">
        <f t="shared" si="27"/>
        <v>197226</v>
      </c>
      <c r="P383">
        <f>I383*IFERROR(_xlfn.XLOOKUP(F383,Lookup_Tables!Product,Cost),0)</f>
        <v>140230</v>
      </c>
      <c r="Q383">
        <f t="shared" si="28"/>
        <v>56996</v>
      </c>
      <c r="R383" s="2">
        <f t="shared" si="29"/>
        <v>0.28898826726699317</v>
      </c>
    </row>
    <row r="384" spans="1:18" x14ac:dyDescent="0.3">
      <c r="A384" t="s">
        <v>441</v>
      </c>
      <c r="B384" s="1">
        <v>45616</v>
      </c>
      <c r="C384" t="s">
        <v>6</v>
      </c>
      <c r="D384" t="s">
        <v>69</v>
      </c>
      <c r="E384" t="s">
        <v>25</v>
      </c>
      <c r="F384" t="s">
        <v>22</v>
      </c>
      <c r="G384" t="str">
        <f>INDEX(Lookup_Tables!$B$1:$B$7,MATCH(Cleaned_Data!F384,Lookup_Tables!$A$1:$A$7,0))</f>
        <v>Furniture</v>
      </c>
      <c r="H384" t="s">
        <v>51</v>
      </c>
      <c r="I384">
        <v>2</v>
      </c>
      <c r="J384">
        <v>20688</v>
      </c>
      <c r="K384">
        <v>0.05</v>
      </c>
      <c r="L384">
        <f t="shared" si="25"/>
        <v>0.05</v>
      </c>
      <c r="M384">
        <v>16146</v>
      </c>
      <c r="N384">
        <f t="shared" si="26"/>
        <v>41376</v>
      </c>
      <c r="O384">
        <f t="shared" si="27"/>
        <v>39307.199999999997</v>
      </c>
      <c r="P384">
        <f>I384*IFERROR(_xlfn.XLOOKUP(F384,Lookup_Tables!Product,Cost),0)</f>
        <v>26080</v>
      </c>
      <c r="Q384">
        <f t="shared" si="28"/>
        <v>13227.199999999997</v>
      </c>
      <c r="R384" s="2">
        <f t="shared" si="29"/>
        <v>0.33650832417470583</v>
      </c>
    </row>
    <row r="385" spans="1:18" x14ac:dyDescent="0.3">
      <c r="A385" t="s">
        <v>442</v>
      </c>
      <c r="B385" s="1">
        <v>45656</v>
      </c>
      <c r="C385" t="s">
        <v>3</v>
      </c>
      <c r="D385" t="s">
        <v>53</v>
      </c>
      <c r="E385" t="s">
        <v>28</v>
      </c>
      <c r="F385" t="s">
        <v>58</v>
      </c>
      <c r="G385" t="str">
        <f>INDEX(Lookup_Tables!$B$1:$B$7,MATCH(Cleaned_Data!F385,Lookup_Tables!$A$1:$A$7,0))</f>
        <v>Electronics</v>
      </c>
      <c r="H385" t="s">
        <v>54</v>
      </c>
      <c r="I385">
        <v>3</v>
      </c>
      <c r="J385">
        <v>566</v>
      </c>
      <c r="K385">
        <v>0.05</v>
      </c>
      <c r="L385">
        <f t="shared" si="25"/>
        <v>0.05</v>
      </c>
      <c r="N385">
        <f t="shared" si="26"/>
        <v>1698</v>
      </c>
      <c r="O385">
        <f t="shared" si="27"/>
        <v>1613.1</v>
      </c>
      <c r="P385">
        <f>I385*IFERROR(_xlfn.XLOOKUP(F385,Lookup_Tables!Product,Cost),0)</f>
        <v>8664</v>
      </c>
      <c r="Q385">
        <f t="shared" si="28"/>
        <v>-7050.9</v>
      </c>
      <c r="R385" s="2">
        <f t="shared" si="29"/>
        <v>-4.3710247349823321</v>
      </c>
    </row>
    <row r="386" spans="1:18" x14ac:dyDescent="0.3">
      <c r="A386" t="s">
        <v>443</v>
      </c>
      <c r="B386" s="1">
        <v>45570</v>
      </c>
      <c r="C386" t="s">
        <v>5</v>
      </c>
      <c r="D386" t="s">
        <v>49</v>
      </c>
      <c r="E386" t="s">
        <v>28</v>
      </c>
      <c r="F386" t="s">
        <v>61</v>
      </c>
      <c r="G386" t="str">
        <f>INDEX(Lookup_Tables!$B$1:$B$7,MATCH(Cleaned_Data!F386,Lookup_Tables!$A$1:$A$7,0))</f>
        <v>Electronics</v>
      </c>
      <c r="H386" t="s">
        <v>54</v>
      </c>
      <c r="I386">
        <v>5</v>
      </c>
      <c r="J386">
        <v>2228</v>
      </c>
      <c r="K386">
        <v>0</v>
      </c>
      <c r="L386">
        <f t="shared" si="25"/>
        <v>0</v>
      </c>
      <c r="M386">
        <v>14010</v>
      </c>
      <c r="N386">
        <f t="shared" si="26"/>
        <v>11140</v>
      </c>
      <c r="O386">
        <f t="shared" si="27"/>
        <v>11140</v>
      </c>
      <c r="P386">
        <f>I386*IFERROR(_xlfn.XLOOKUP(F386,Lookup_Tables!Product,Cost),0)</f>
        <v>36920</v>
      </c>
      <c r="Q386">
        <f t="shared" si="28"/>
        <v>-25780</v>
      </c>
      <c r="R386" s="2">
        <f t="shared" si="29"/>
        <v>-2.3141831238779176</v>
      </c>
    </row>
    <row r="387" spans="1:18" x14ac:dyDescent="0.3">
      <c r="A387" t="s">
        <v>444</v>
      </c>
      <c r="B387" s="1">
        <v>45650</v>
      </c>
      <c r="C387" t="s">
        <v>4</v>
      </c>
      <c r="D387" t="s">
        <v>56</v>
      </c>
      <c r="E387" t="s">
        <v>26</v>
      </c>
      <c r="F387" t="s">
        <v>24</v>
      </c>
      <c r="G387" t="str">
        <f>INDEX(Lookup_Tables!$B$1:$B$7,MATCH(Cleaned_Data!F387,Lookup_Tables!$A$1:$A$7,0))</f>
        <v>Electronics</v>
      </c>
      <c r="H387" t="s">
        <v>54</v>
      </c>
      <c r="I387">
        <v>2</v>
      </c>
      <c r="J387">
        <v>32635</v>
      </c>
      <c r="K387">
        <v>0</v>
      </c>
      <c r="L387">
        <f t="shared" ref="L387:L450" si="30">IF(ISBLANK(K387),0,K387)</f>
        <v>0</v>
      </c>
      <c r="M387">
        <v>2651</v>
      </c>
      <c r="N387">
        <f t="shared" ref="N387:N450" si="31">I387*J387</f>
        <v>65270</v>
      </c>
      <c r="O387">
        <f t="shared" ref="O387:O450" si="32">N387-(N387*L387)</f>
        <v>65270</v>
      </c>
      <c r="P387">
        <f>I387*IFERROR(_xlfn.XLOOKUP(F387,Lookup_Tables!Product,Cost),0)</f>
        <v>56092</v>
      </c>
      <c r="Q387">
        <f t="shared" ref="Q387:Q450" si="33">O387-P387</f>
        <v>9178</v>
      </c>
      <c r="R387" s="2">
        <f t="shared" ref="R387:R450" si="34">Q387/O387</f>
        <v>0.14061590317144171</v>
      </c>
    </row>
    <row r="388" spans="1:18" x14ac:dyDescent="0.3">
      <c r="A388" t="s">
        <v>445</v>
      </c>
      <c r="B388" s="1">
        <v>45525</v>
      </c>
      <c r="C388" t="s">
        <v>5</v>
      </c>
      <c r="D388" t="s">
        <v>76</v>
      </c>
      <c r="E388" t="s">
        <v>29</v>
      </c>
      <c r="F388" t="s">
        <v>24</v>
      </c>
      <c r="G388" t="str">
        <f>INDEX(Lookup_Tables!$B$1:$B$7,MATCH(Cleaned_Data!F388,Lookup_Tables!$A$1:$A$7,0))</f>
        <v>Electronics</v>
      </c>
      <c r="H388" t="s">
        <v>54</v>
      </c>
      <c r="I388">
        <v>7</v>
      </c>
      <c r="J388">
        <v>12051</v>
      </c>
      <c r="K388">
        <v>0</v>
      </c>
      <c r="L388">
        <f t="shared" si="30"/>
        <v>0</v>
      </c>
      <c r="N388">
        <f t="shared" si="31"/>
        <v>84357</v>
      </c>
      <c r="O388">
        <f t="shared" si="32"/>
        <v>84357</v>
      </c>
      <c r="P388">
        <f>I388*IFERROR(_xlfn.XLOOKUP(F388,Lookup_Tables!Product,Cost),0)</f>
        <v>196322</v>
      </c>
      <c r="Q388">
        <f t="shared" si="33"/>
        <v>-111965</v>
      </c>
      <c r="R388" s="2">
        <f t="shared" si="34"/>
        <v>-1.3272757447514729</v>
      </c>
    </row>
    <row r="389" spans="1:18" x14ac:dyDescent="0.3">
      <c r="A389" t="s">
        <v>446</v>
      </c>
      <c r="B389" s="1">
        <v>45619</v>
      </c>
      <c r="C389" t="s">
        <v>4</v>
      </c>
      <c r="D389" t="s">
        <v>56</v>
      </c>
      <c r="E389" t="s">
        <v>26</v>
      </c>
      <c r="F389" t="s">
        <v>61</v>
      </c>
      <c r="G389" t="str">
        <f>INDEX(Lookup_Tables!$B$1:$B$7,MATCH(Cleaned_Data!F389,Lookup_Tables!$A$1:$A$7,0))</f>
        <v>Electronics</v>
      </c>
      <c r="H389" t="s">
        <v>54</v>
      </c>
      <c r="I389">
        <v>4</v>
      </c>
      <c r="J389">
        <v>32972</v>
      </c>
      <c r="K389">
        <v>0.05</v>
      </c>
      <c r="L389">
        <f t="shared" si="30"/>
        <v>0.05</v>
      </c>
      <c r="N389">
        <f t="shared" si="31"/>
        <v>131888</v>
      </c>
      <c r="O389">
        <f t="shared" si="32"/>
        <v>125293.6</v>
      </c>
      <c r="P389">
        <f>I389*IFERROR(_xlfn.XLOOKUP(F389,Lookup_Tables!Product,Cost),0)</f>
        <v>29536</v>
      </c>
      <c r="Q389">
        <f t="shared" si="33"/>
        <v>95757.6</v>
      </c>
      <c r="R389" s="2">
        <f t="shared" si="34"/>
        <v>0.76426569274089018</v>
      </c>
    </row>
    <row r="390" spans="1:18" x14ac:dyDescent="0.3">
      <c r="A390" t="s">
        <v>447</v>
      </c>
      <c r="B390" s="1">
        <v>45386</v>
      </c>
      <c r="C390" t="s">
        <v>3</v>
      </c>
      <c r="D390" t="s">
        <v>53</v>
      </c>
      <c r="E390" t="s">
        <v>28</v>
      </c>
      <c r="F390" t="s">
        <v>22</v>
      </c>
      <c r="G390" t="str">
        <f>INDEX(Lookup_Tables!$B$1:$B$7,MATCH(Cleaned_Data!F390,Lookup_Tables!$A$1:$A$7,0))</f>
        <v>Furniture</v>
      </c>
      <c r="H390" t="s">
        <v>51</v>
      </c>
      <c r="I390">
        <v>7</v>
      </c>
      <c r="J390">
        <v>14877</v>
      </c>
      <c r="L390">
        <f t="shared" si="30"/>
        <v>0</v>
      </c>
      <c r="M390">
        <v>8780</v>
      </c>
      <c r="N390">
        <f t="shared" si="31"/>
        <v>104139</v>
      </c>
      <c r="O390">
        <f t="shared" si="32"/>
        <v>104139</v>
      </c>
      <c r="P390">
        <f>I390*IFERROR(_xlfn.XLOOKUP(F390,Lookup_Tables!Product,Cost),0)</f>
        <v>91280</v>
      </c>
      <c r="Q390">
        <f t="shared" si="33"/>
        <v>12859</v>
      </c>
      <c r="R390" s="2">
        <f t="shared" si="34"/>
        <v>0.12347919607447738</v>
      </c>
    </row>
    <row r="391" spans="1:18" x14ac:dyDescent="0.3">
      <c r="A391" t="s">
        <v>448</v>
      </c>
      <c r="B391" s="1">
        <v>45344</v>
      </c>
      <c r="C391" t="s">
        <v>6</v>
      </c>
      <c r="D391" t="s">
        <v>69</v>
      </c>
      <c r="E391" t="s">
        <v>28</v>
      </c>
      <c r="F391" t="s">
        <v>23</v>
      </c>
      <c r="G391" t="str">
        <f>INDEX(Lookup_Tables!$B$1:$B$7,MATCH(Cleaned_Data!F391,Lookup_Tables!$A$1:$A$7,0))</f>
        <v>Electronics</v>
      </c>
      <c r="H391" t="s">
        <v>54</v>
      </c>
      <c r="I391">
        <v>2</v>
      </c>
      <c r="J391">
        <v>27863</v>
      </c>
      <c r="K391">
        <v>0.1</v>
      </c>
      <c r="L391">
        <f t="shared" si="30"/>
        <v>0.1</v>
      </c>
      <c r="M391">
        <v>13854</v>
      </c>
      <c r="N391">
        <f t="shared" si="31"/>
        <v>55726</v>
      </c>
      <c r="O391">
        <f t="shared" si="32"/>
        <v>50153.4</v>
      </c>
      <c r="P391">
        <f>I391*IFERROR(_xlfn.XLOOKUP(F391,Lookup_Tables!Product,Cost),0)</f>
        <v>38530</v>
      </c>
      <c r="Q391">
        <f t="shared" si="33"/>
        <v>11623.400000000001</v>
      </c>
      <c r="R391" s="2">
        <f t="shared" si="34"/>
        <v>0.2317569696172144</v>
      </c>
    </row>
    <row r="392" spans="1:18" x14ac:dyDescent="0.3">
      <c r="A392" t="s">
        <v>449</v>
      </c>
      <c r="B392" s="1">
        <v>45373</v>
      </c>
      <c r="C392" t="s">
        <v>3</v>
      </c>
      <c r="D392" t="s">
        <v>56</v>
      </c>
      <c r="E392" t="s">
        <v>25</v>
      </c>
      <c r="F392" t="s">
        <v>22</v>
      </c>
      <c r="G392" t="str">
        <f>INDEX(Lookup_Tables!$B$1:$B$7,MATCH(Cleaned_Data!F392,Lookup_Tables!$A$1:$A$7,0))</f>
        <v>Furniture</v>
      </c>
      <c r="H392" t="s">
        <v>51</v>
      </c>
      <c r="I392">
        <v>8</v>
      </c>
      <c r="J392">
        <v>19576</v>
      </c>
      <c r="K392">
        <v>0.1</v>
      </c>
      <c r="L392">
        <f t="shared" si="30"/>
        <v>0.1</v>
      </c>
      <c r="N392">
        <f t="shared" si="31"/>
        <v>156608</v>
      </c>
      <c r="O392">
        <f t="shared" si="32"/>
        <v>140947.20000000001</v>
      </c>
      <c r="P392">
        <f>I392*IFERROR(_xlfn.XLOOKUP(F392,Lookup_Tables!Product,Cost),0)</f>
        <v>104320</v>
      </c>
      <c r="Q392">
        <f t="shared" si="33"/>
        <v>36627.200000000012</v>
      </c>
      <c r="R392" s="2">
        <f t="shared" si="34"/>
        <v>0.2598646869182219</v>
      </c>
    </row>
    <row r="393" spans="1:18" x14ac:dyDescent="0.3">
      <c r="A393" t="s">
        <v>450</v>
      </c>
      <c r="B393" s="1">
        <v>45598</v>
      </c>
      <c r="C393" t="s">
        <v>6</v>
      </c>
      <c r="D393" t="s">
        <v>56</v>
      </c>
      <c r="E393" t="s">
        <v>26</v>
      </c>
      <c r="F393" t="s">
        <v>23</v>
      </c>
      <c r="G393" t="str">
        <f>INDEX(Lookup_Tables!$B$1:$B$7,MATCH(Cleaned_Data!F393,Lookup_Tables!$A$1:$A$7,0))</f>
        <v>Electronics</v>
      </c>
      <c r="H393" t="s">
        <v>54</v>
      </c>
      <c r="I393">
        <v>6</v>
      </c>
      <c r="J393">
        <v>24651</v>
      </c>
      <c r="K393">
        <v>0.1</v>
      </c>
      <c r="L393">
        <f t="shared" si="30"/>
        <v>0.1</v>
      </c>
      <c r="M393">
        <v>3913</v>
      </c>
      <c r="N393">
        <f t="shared" si="31"/>
        <v>147906</v>
      </c>
      <c r="O393">
        <f t="shared" si="32"/>
        <v>133115.4</v>
      </c>
      <c r="P393">
        <f>I393*IFERROR(_xlfn.XLOOKUP(F393,Lookup_Tables!Product,Cost),0)</f>
        <v>115590</v>
      </c>
      <c r="Q393">
        <f t="shared" si="33"/>
        <v>17525.399999999994</v>
      </c>
      <c r="R393" s="2">
        <f t="shared" si="34"/>
        <v>0.13165569122731099</v>
      </c>
    </row>
    <row r="394" spans="1:18" x14ac:dyDescent="0.3">
      <c r="A394" t="s">
        <v>451</v>
      </c>
      <c r="B394" s="1">
        <v>45611</v>
      </c>
      <c r="C394" t="s">
        <v>5</v>
      </c>
      <c r="D394" t="s">
        <v>56</v>
      </c>
      <c r="E394" t="s">
        <v>26</v>
      </c>
      <c r="F394" t="s">
        <v>22</v>
      </c>
      <c r="G394" t="str">
        <f>INDEX(Lookup_Tables!$B$1:$B$7,MATCH(Cleaned_Data!F394,Lookup_Tables!$A$1:$A$7,0))</f>
        <v>Furniture</v>
      </c>
      <c r="H394" t="s">
        <v>51</v>
      </c>
      <c r="I394">
        <v>7</v>
      </c>
      <c r="J394">
        <v>25518</v>
      </c>
      <c r="K394">
        <v>0.05</v>
      </c>
      <c r="L394">
        <f t="shared" si="30"/>
        <v>0.05</v>
      </c>
      <c r="M394">
        <v>13658</v>
      </c>
      <c r="N394">
        <f t="shared" si="31"/>
        <v>178626</v>
      </c>
      <c r="O394">
        <f t="shared" si="32"/>
        <v>169694.7</v>
      </c>
      <c r="P394">
        <f>I394*IFERROR(_xlfn.XLOOKUP(F394,Lookup_Tables!Product,Cost),0)</f>
        <v>91280</v>
      </c>
      <c r="Q394">
        <f t="shared" si="33"/>
        <v>78414.700000000012</v>
      </c>
      <c r="R394" s="2">
        <f t="shared" si="34"/>
        <v>0.46209280549127346</v>
      </c>
    </row>
    <row r="395" spans="1:18" x14ac:dyDescent="0.3">
      <c r="A395" t="s">
        <v>452</v>
      </c>
      <c r="B395" s="1">
        <v>45543</v>
      </c>
      <c r="C395" t="s">
        <v>3</v>
      </c>
      <c r="D395" t="s">
        <v>69</v>
      </c>
      <c r="E395" t="s">
        <v>27</v>
      </c>
      <c r="F395" t="s">
        <v>23</v>
      </c>
      <c r="G395" t="str">
        <f>INDEX(Lookup_Tables!$B$1:$B$7,MATCH(Cleaned_Data!F395,Lookup_Tables!$A$1:$A$7,0))</f>
        <v>Electronics</v>
      </c>
      <c r="H395" t="s">
        <v>54</v>
      </c>
      <c r="I395">
        <v>6</v>
      </c>
      <c r="J395">
        <v>48648</v>
      </c>
      <c r="K395">
        <v>0.1</v>
      </c>
      <c r="L395">
        <f t="shared" si="30"/>
        <v>0.1</v>
      </c>
      <c r="N395">
        <f t="shared" si="31"/>
        <v>291888</v>
      </c>
      <c r="O395">
        <f t="shared" si="32"/>
        <v>262699.2</v>
      </c>
      <c r="P395">
        <f>I395*IFERROR(_xlfn.XLOOKUP(F395,Lookup_Tables!Product,Cost),0)</f>
        <v>115590</v>
      </c>
      <c r="Q395">
        <f t="shared" si="33"/>
        <v>147109.20000000001</v>
      </c>
      <c r="R395" s="2">
        <f t="shared" si="34"/>
        <v>0.55999104679420419</v>
      </c>
    </row>
    <row r="396" spans="1:18" x14ac:dyDescent="0.3">
      <c r="A396" t="s">
        <v>453</v>
      </c>
      <c r="B396" s="1">
        <v>45491</v>
      </c>
      <c r="C396" t="s">
        <v>5</v>
      </c>
      <c r="D396" t="s">
        <v>56</v>
      </c>
      <c r="E396" t="s">
        <v>29</v>
      </c>
      <c r="F396" t="s">
        <v>24</v>
      </c>
      <c r="G396" t="str">
        <f>INDEX(Lookup_Tables!$B$1:$B$7,MATCH(Cleaned_Data!F396,Lookup_Tables!$A$1:$A$7,0))</f>
        <v>Electronics</v>
      </c>
      <c r="H396" t="s">
        <v>54</v>
      </c>
      <c r="I396">
        <v>10</v>
      </c>
      <c r="J396">
        <v>31654</v>
      </c>
      <c r="L396">
        <f t="shared" si="30"/>
        <v>0</v>
      </c>
      <c r="M396">
        <v>9153</v>
      </c>
      <c r="N396">
        <f t="shared" si="31"/>
        <v>316540</v>
      </c>
      <c r="O396">
        <f t="shared" si="32"/>
        <v>316540</v>
      </c>
      <c r="P396">
        <f>I396*IFERROR(_xlfn.XLOOKUP(F396,Lookup_Tables!Product,Cost),0)</f>
        <v>280460</v>
      </c>
      <c r="Q396">
        <f t="shared" si="33"/>
        <v>36080</v>
      </c>
      <c r="R396" s="2">
        <f t="shared" si="34"/>
        <v>0.11398243507929487</v>
      </c>
    </row>
    <row r="397" spans="1:18" x14ac:dyDescent="0.3">
      <c r="A397" t="s">
        <v>454</v>
      </c>
      <c r="B397" s="1">
        <v>45574</v>
      </c>
      <c r="C397" t="s">
        <v>3</v>
      </c>
      <c r="D397" t="s">
        <v>53</v>
      </c>
      <c r="E397" t="s">
        <v>27</v>
      </c>
      <c r="F397" t="s">
        <v>61</v>
      </c>
      <c r="G397" t="str">
        <f>INDEX(Lookup_Tables!$B$1:$B$7,MATCH(Cleaned_Data!F397,Lookup_Tables!$A$1:$A$7,0))</f>
        <v>Electronics</v>
      </c>
      <c r="H397" t="s">
        <v>54</v>
      </c>
      <c r="I397">
        <v>7</v>
      </c>
      <c r="J397">
        <v>16953</v>
      </c>
      <c r="K397">
        <v>0</v>
      </c>
      <c r="L397">
        <f t="shared" si="30"/>
        <v>0</v>
      </c>
      <c r="N397">
        <f t="shared" si="31"/>
        <v>118671</v>
      </c>
      <c r="O397">
        <f t="shared" si="32"/>
        <v>118671</v>
      </c>
      <c r="P397">
        <f>I397*IFERROR(_xlfn.XLOOKUP(F397,Lookup_Tables!Product,Cost),0)</f>
        <v>51688</v>
      </c>
      <c r="Q397">
        <f t="shared" si="33"/>
        <v>66983</v>
      </c>
      <c r="R397" s="2">
        <f t="shared" si="34"/>
        <v>0.56444287146817673</v>
      </c>
    </row>
    <row r="398" spans="1:18" x14ac:dyDescent="0.3">
      <c r="A398" t="s">
        <v>455</v>
      </c>
      <c r="B398" s="1">
        <v>45390</v>
      </c>
      <c r="C398" t="s">
        <v>6</v>
      </c>
      <c r="D398" t="s">
        <v>69</v>
      </c>
      <c r="E398" t="s">
        <v>27</v>
      </c>
      <c r="F398" t="s">
        <v>61</v>
      </c>
      <c r="G398" t="str">
        <f>INDEX(Lookup_Tables!$B$1:$B$7,MATCH(Cleaned_Data!F398,Lookup_Tables!$A$1:$A$7,0))</f>
        <v>Electronics</v>
      </c>
      <c r="H398" t="s">
        <v>54</v>
      </c>
      <c r="I398">
        <v>5</v>
      </c>
      <c r="J398">
        <v>13574</v>
      </c>
      <c r="K398">
        <v>0.1</v>
      </c>
      <c r="L398">
        <f t="shared" si="30"/>
        <v>0.1</v>
      </c>
      <c r="M398">
        <v>15669</v>
      </c>
      <c r="N398">
        <f t="shared" si="31"/>
        <v>67870</v>
      </c>
      <c r="O398">
        <f t="shared" si="32"/>
        <v>61083</v>
      </c>
      <c r="P398">
        <f>I398*IFERROR(_xlfn.XLOOKUP(F398,Lookup_Tables!Product,Cost),0)</f>
        <v>36920</v>
      </c>
      <c r="Q398">
        <f t="shared" si="33"/>
        <v>24163</v>
      </c>
      <c r="R398" s="2">
        <f t="shared" si="34"/>
        <v>0.39557651064944421</v>
      </c>
    </row>
    <row r="399" spans="1:18" x14ac:dyDescent="0.3">
      <c r="A399" t="s">
        <v>456</v>
      </c>
      <c r="B399" s="1">
        <v>45536</v>
      </c>
      <c r="C399" t="s">
        <v>3</v>
      </c>
      <c r="D399" t="s">
        <v>69</v>
      </c>
      <c r="E399" t="s">
        <v>25</v>
      </c>
      <c r="F399" t="s">
        <v>61</v>
      </c>
      <c r="G399" t="str">
        <f>INDEX(Lookup_Tables!$B$1:$B$7,MATCH(Cleaned_Data!F399,Lookup_Tables!$A$1:$A$7,0))</f>
        <v>Electronics</v>
      </c>
      <c r="H399" t="s">
        <v>54</v>
      </c>
      <c r="I399">
        <v>9</v>
      </c>
      <c r="J399">
        <v>32049</v>
      </c>
      <c r="L399">
        <f t="shared" si="30"/>
        <v>0</v>
      </c>
      <c r="M399">
        <v>16472</v>
      </c>
      <c r="N399">
        <f t="shared" si="31"/>
        <v>288441</v>
      </c>
      <c r="O399">
        <f t="shared" si="32"/>
        <v>288441</v>
      </c>
      <c r="P399">
        <f>I399*IFERROR(_xlfn.XLOOKUP(F399,Lookup_Tables!Product,Cost),0)</f>
        <v>66456</v>
      </c>
      <c r="Q399">
        <f t="shared" si="33"/>
        <v>221985</v>
      </c>
      <c r="R399" s="2">
        <f t="shared" si="34"/>
        <v>0.76960279571905521</v>
      </c>
    </row>
    <row r="400" spans="1:18" x14ac:dyDescent="0.3">
      <c r="A400" t="s">
        <v>457</v>
      </c>
      <c r="B400" s="1">
        <v>45657</v>
      </c>
      <c r="C400" t="s">
        <v>6</v>
      </c>
      <c r="D400" t="s">
        <v>53</v>
      </c>
      <c r="E400" t="s">
        <v>28</v>
      </c>
      <c r="F400" t="s">
        <v>50</v>
      </c>
      <c r="G400" t="str">
        <f>INDEX(Lookup_Tables!$B$1:$B$7,MATCH(Cleaned_Data!F400,Lookup_Tables!$A$1:$A$7,0))</f>
        <v>Furniture</v>
      </c>
      <c r="H400" t="s">
        <v>51</v>
      </c>
      <c r="I400">
        <v>1</v>
      </c>
      <c r="J400">
        <v>10178</v>
      </c>
      <c r="L400">
        <f t="shared" si="30"/>
        <v>0</v>
      </c>
      <c r="N400">
        <f t="shared" si="31"/>
        <v>10178</v>
      </c>
      <c r="O400">
        <f t="shared" si="32"/>
        <v>10178</v>
      </c>
      <c r="P400">
        <f>I400*IFERROR(_xlfn.XLOOKUP(F400,Lookup_Tables!Product,Cost),0)</f>
        <v>13271</v>
      </c>
      <c r="Q400">
        <f t="shared" si="33"/>
        <v>-3093</v>
      </c>
      <c r="R400" s="2">
        <f t="shared" si="34"/>
        <v>-0.30389074474356453</v>
      </c>
    </row>
    <row r="401" spans="1:18" x14ac:dyDescent="0.3">
      <c r="A401" t="s">
        <v>458</v>
      </c>
      <c r="B401" s="1">
        <v>45378</v>
      </c>
      <c r="C401" t="s">
        <v>5</v>
      </c>
      <c r="D401" t="s">
        <v>69</v>
      </c>
      <c r="E401" t="s">
        <v>27</v>
      </c>
      <c r="F401" t="s">
        <v>24</v>
      </c>
      <c r="G401" t="str">
        <f>INDEX(Lookup_Tables!$B$1:$B$7,MATCH(Cleaned_Data!F401,Lookup_Tables!$A$1:$A$7,0))</f>
        <v>Electronics</v>
      </c>
      <c r="H401" t="s">
        <v>54</v>
      </c>
      <c r="I401">
        <v>7</v>
      </c>
      <c r="J401">
        <v>12346</v>
      </c>
      <c r="L401">
        <f t="shared" si="30"/>
        <v>0</v>
      </c>
      <c r="N401">
        <f t="shared" si="31"/>
        <v>86422</v>
      </c>
      <c r="O401">
        <f t="shared" si="32"/>
        <v>86422</v>
      </c>
      <c r="P401">
        <f>I401*IFERROR(_xlfn.XLOOKUP(F401,Lookup_Tables!Product,Cost),0)</f>
        <v>196322</v>
      </c>
      <c r="Q401">
        <f t="shared" si="33"/>
        <v>-109900</v>
      </c>
      <c r="R401" s="2">
        <f t="shared" si="34"/>
        <v>-1.2716669366596469</v>
      </c>
    </row>
    <row r="402" spans="1:18" x14ac:dyDescent="0.3">
      <c r="A402" t="s">
        <v>459</v>
      </c>
      <c r="B402" s="1">
        <v>45479</v>
      </c>
      <c r="C402" t="s">
        <v>6</v>
      </c>
      <c r="D402" t="s">
        <v>64</v>
      </c>
      <c r="E402" t="s">
        <v>25</v>
      </c>
      <c r="F402" t="s">
        <v>23</v>
      </c>
      <c r="G402" t="str">
        <f>INDEX(Lookup_Tables!$B$1:$B$7,MATCH(Cleaned_Data!F402,Lookup_Tables!$A$1:$A$7,0))</f>
        <v>Electronics</v>
      </c>
      <c r="H402" t="s">
        <v>54</v>
      </c>
      <c r="I402">
        <v>9</v>
      </c>
      <c r="J402">
        <v>7842</v>
      </c>
      <c r="K402">
        <v>0.1</v>
      </c>
      <c r="L402">
        <f t="shared" si="30"/>
        <v>0.1</v>
      </c>
      <c r="N402">
        <f t="shared" si="31"/>
        <v>70578</v>
      </c>
      <c r="O402">
        <f t="shared" si="32"/>
        <v>63520.2</v>
      </c>
      <c r="P402">
        <f>I402*IFERROR(_xlfn.XLOOKUP(F402,Lookup_Tables!Product,Cost),0)</f>
        <v>173385</v>
      </c>
      <c r="Q402">
        <f t="shared" si="33"/>
        <v>-109864.8</v>
      </c>
      <c r="R402" s="2">
        <f t="shared" si="34"/>
        <v>-1.7296041259315935</v>
      </c>
    </row>
    <row r="403" spans="1:18" x14ac:dyDescent="0.3">
      <c r="A403" t="s">
        <v>460</v>
      </c>
      <c r="B403" s="1">
        <v>45308</v>
      </c>
      <c r="C403" t="s">
        <v>3</v>
      </c>
      <c r="D403" t="s">
        <v>69</v>
      </c>
      <c r="E403" t="s">
        <v>25</v>
      </c>
      <c r="F403" t="s">
        <v>22</v>
      </c>
      <c r="G403" t="str">
        <f>INDEX(Lookup_Tables!$B$1:$B$7,MATCH(Cleaned_Data!F403,Lookup_Tables!$A$1:$A$7,0))</f>
        <v>Furniture</v>
      </c>
      <c r="H403" t="s">
        <v>51</v>
      </c>
      <c r="I403">
        <v>5</v>
      </c>
      <c r="J403">
        <v>49128</v>
      </c>
      <c r="L403">
        <f t="shared" si="30"/>
        <v>0</v>
      </c>
      <c r="N403">
        <f t="shared" si="31"/>
        <v>245640</v>
      </c>
      <c r="O403">
        <f t="shared" si="32"/>
        <v>245640</v>
      </c>
      <c r="P403">
        <f>I403*IFERROR(_xlfn.XLOOKUP(F403,Lookup_Tables!Product,Cost),0)</f>
        <v>65200</v>
      </c>
      <c r="Q403">
        <f t="shared" si="33"/>
        <v>180440</v>
      </c>
      <c r="R403" s="2">
        <f t="shared" si="34"/>
        <v>0.7345709167887966</v>
      </c>
    </row>
    <row r="404" spans="1:18" x14ac:dyDescent="0.3">
      <c r="A404" t="s">
        <v>461</v>
      </c>
      <c r="B404" s="1">
        <v>45551</v>
      </c>
      <c r="C404" t="s">
        <v>5</v>
      </c>
      <c r="D404" t="s">
        <v>76</v>
      </c>
      <c r="E404" t="s">
        <v>29</v>
      </c>
      <c r="F404" t="s">
        <v>23</v>
      </c>
      <c r="G404" t="str">
        <f>INDEX(Lookup_Tables!$B$1:$B$7,MATCH(Cleaned_Data!F404,Lookup_Tables!$A$1:$A$7,0))</f>
        <v>Electronics</v>
      </c>
      <c r="H404" t="s">
        <v>54</v>
      </c>
      <c r="I404">
        <v>10</v>
      </c>
      <c r="J404">
        <v>40502</v>
      </c>
      <c r="K404">
        <v>0.05</v>
      </c>
      <c r="L404">
        <f t="shared" si="30"/>
        <v>0.05</v>
      </c>
      <c r="M404">
        <v>13345</v>
      </c>
      <c r="N404">
        <f t="shared" si="31"/>
        <v>405020</v>
      </c>
      <c r="O404">
        <f t="shared" si="32"/>
        <v>384769</v>
      </c>
      <c r="P404">
        <f>I404*IFERROR(_xlfn.XLOOKUP(F404,Lookup_Tables!Product,Cost),0)</f>
        <v>192650</v>
      </c>
      <c r="Q404">
        <f t="shared" si="33"/>
        <v>192119</v>
      </c>
      <c r="R404" s="2">
        <f t="shared" si="34"/>
        <v>0.49930997559574708</v>
      </c>
    </row>
    <row r="405" spans="1:18" x14ac:dyDescent="0.3">
      <c r="A405" t="s">
        <v>462</v>
      </c>
      <c r="B405" s="1">
        <v>45548</v>
      </c>
      <c r="C405" t="s">
        <v>4</v>
      </c>
      <c r="D405" t="s">
        <v>56</v>
      </c>
      <c r="E405" t="s">
        <v>26</v>
      </c>
      <c r="F405" t="s">
        <v>22</v>
      </c>
      <c r="G405" t="str">
        <f>INDEX(Lookup_Tables!$B$1:$B$7,MATCH(Cleaned_Data!F405,Lookup_Tables!$A$1:$A$7,0))</f>
        <v>Furniture</v>
      </c>
      <c r="H405" t="s">
        <v>51</v>
      </c>
      <c r="I405">
        <v>1</v>
      </c>
      <c r="J405">
        <v>35461</v>
      </c>
      <c r="K405">
        <v>0</v>
      </c>
      <c r="L405">
        <f t="shared" si="30"/>
        <v>0</v>
      </c>
      <c r="M405">
        <v>23632</v>
      </c>
      <c r="N405">
        <f t="shared" si="31"/>
        <v>35461</v>
      </c>
      <c r="O405">
        <f t="shared" si="32"/>
        <v>35461</v>
      </c>
      <c r="P405">
        <f>I405*IFERROR(_xlfn.XLOOKUP(F405,Lookup_Tables!Product,Cost),0)</f>
        <v>13040</v>
      </c>
      <c r="Q405">
        <f t="shared" si="33"/>
        <v>22421</v>
      </c>
      <c r="R405" s="2">
        <f t="shared" si="34"/>
        <v>0.63227207354558534</v>
      </c>
    </row>
    <row r="406" spans="1:18" x14ac:dyDescent="0.3">
      <c r="A406" t="s">
        <v>463</v>
      </c>
      <c r="B406" s="1">
        <v>45464</v>
      </c>
      <c r="C406" t="s">
        <v>6</v>
      </c>
      <c r="D406" t="s">
        <v>76</v>
      </c>
      <c r="E406" t="s">
        <v>25</v>
      </c>
      <c r="F406" t="s">
        <v>58</v>
      </c>
      <c r="G406" t="str">
        <f>INDEX(Lookup_Tables!$B$1:$B$7,MATCH(Cleaned_Data!F406,Lookup_Tables!$A$1:$A$7,0))</f>
        <v>Electronics</v>
      </c>
      <c r="H406" t="s">
        <v>54</v>
      </c>
      <c r="I406">
        <v>10</v>
      </c>
      <c r="J406">
        <v>6890</v>
      </c>
      <c r="K406">
        <v>0.1</v>
      </c>
      <c r="L406">
        <f t="shared" si="30"/>
        <v>0.1</v>
      </c>
      <c r="N406">
        <f t="shared" si="31"/>
        <v>68900</v>
      </c>
      <c r="O406">
        <f t="shared" si="32"/>
        <v>62010</v>
      </c>
      <c r="P406">
        <f>I406*IFERROR(_xlfn.XLOOKUP(F406,Lookup_Tables!Product,Cost),0)</f>
        <v>28880</v>
      </c>
      <c r="Q406">
        <f t="shared" si="33"/>
        <v>33130</v>
      </c>
      <c r="R406" s="2">
        <f t="shared" si="34"/>
        <v>0.53426866634413805</v>
      </c>
    </row>
    <row r="407" spans="1:18" x14ac:dyDescent="0.3">
      <c r="A407" t="s">
        <v>464</v>
      </c>
      <c r="B407" s="1">
        <v>45417</v>
      </c>
      <c r="C407" t="s">
        <v>6</v>
      </c>
      <c r="D407" t="s">
        <v>64</v>
      </c>
      <c r="E407" t="s">
        <v>27</v>
      </c>
      <c r="F407" t="s">
        <v>24</v>
      </c>
      <c r="G407" t="str">
        <f>INDEX(Lookup_Tables!$B$1:$B$7,MATCH(Cleaned_Data!F407,Lookup_Tables!$A$1:$A$7,0))</f>
        <v>Electronics</v>
      </c>
      <c r="H407" t="s">
        <v>54</v>
      </c>
      <c r="I407">
        <v>5</v>
      </c>
      <c r="J407">
        <v>47450</v>
      </c>
      <c r="K407">
        <v>0.1</v>
      </c>
      <c r="L407">
        <f t="shared" si="30"/>
        <v>0.1</v>
      </c>
      <c r="N407">
        <f t="shared" si="31"/>
        <v>237250</v>
      </c>
      <c r="O407">
        <f t="shared" si="32"/>
        <v>213525</v>
      </c>
      <c r="P407">
        <f>I407*IFERROR(_xlfn.XLOOKUP(F407,Lookup_Tables!Product,Cost),0)</f>
        <v>140230</v>
      </c>
      <c r="Q407">
        <f t="shared" si="33"/>
        <v>73295</v>
      </c>
      <c r="R407" s="2">
        <f t="shared" si="34"/>
        <v>0.34326191312492682</v>
      </c>
    </row>
    <row r="408" spans="1:18" x14ac:dyDescent="0.3">
      <c r="A408" t="s">
        <v>465</v>
      </c>
      <c r="B408" s="1">
        <v>45299</v>
      </c>
      <c r="C408" t="s">
        <v>3</v>
      </c>
      <c r="D408" t="s">
        <v>64</v>
      </c>
      <c r="E408" t="s">
        <v>26</v>
      </c>
      <c r="F408" t="s">
        <v>61</v>
      </c>
      <c r="G408" t="str">
        <f>INDEX(Lookup_Tables!$B$1:$B$7,MATCH(Cleaned_Data!F408,Lookup_Tables!$A$1:$A$7,0))</f>
        <v>Electronics</v>
      </c>
      <c r="H408" t="s">
        <v>54</v>
      </c>
      <c r="I408">
        <v>8</v>
      </c>
      <c r="J408">
        <v>48987</v>
      </c>
      <c r="K408">
        <v>0.1</v>
      </c>
      <c r="L408">
        <f t="shared" si="30"/>
        <v>0.1</v>
      </c>
      <c r="N408">
        <f t="shared" si="31"/>
        <v>391896</v>
      </c>
      <c r="O408">
        <f t="shared" si="32"/>
        <v>352706.4</v>
      </c>
      <c r="P408">
        <f>I408*IFERROR(_xlfn.XLOOKUP(F408,Lookup_Tables!Product,Cost),0)</f>
        <v>59072</v>
      </c>
      <c r="Q408">
        <f t="shared" si="33"/>
        <v>293634.40000000002</v>
      </c>
      <c r="R408" s="2">
        <f t="shared" si="34"/>
        <v>0.8325179242565488</v>
      </c>
    </row>
    <row r="409" spans="1:18" x14ac:dyDescent="0.3">
      <c r="A409" t="s">
        <v>466</v>
      </c>
      <c r="B409" s="1">
        <v>45578</v>
      </c>
      <c r="C409" t="s">
        <v>4</v>
      </c>
      <c r="D409" t="s">
        <v>49</v>
      </c>
      <c r="E409" t="s">
        <v>26</v>
      </c>
      <c r="F409" t="s">
        <v>23</v>
      </c>
      <c r="G409" t="str">
        <f>INDEX(Lookup_Tables!$B$1:$B$7,MATCH(Cleaned_Data!F409,Lookup_Tables!$A$1:$A$7,0))</f>
        <v>Electronics</v>
      </c>
      <c r="H409" t="s">
        <v>54</v>
      </c>
      <c r="I409">
        <v>10</v>
      </c>
      <c r="J409">
        <v>11357</v>
      </c>
      <c r="K409">
        <v>0.1</v>
      </c>
      <c r="L409">
        <f t="shared" si="30"/>
        <v>0.1</v>
      </c>
      <c r="N409">
        <f t="shared" si="31"/>
        <v>113570</v>
      </c>
      <c r="O409">
        <f t="shared" si="32"/>
        <v>102213</v>
      </c>
      <c r="P409">
        <f>I409*IFERROR(_xlfn.XLOOKUP(F409,Lookup_Tables!Product,Cost),0)</f>
        <v>192650</v>
      </c>
      <c r="Q409">
        <f t="shared" si="33"/>
        <v>-90437</v>
      </c>
      <c r="R409" s="2">
        <f t="shared" si="34"/>
        <v>-0.88478960601880385</v>
      </c>
    </row>
    <row r="410" spans="1:18" x14ac:dyDescent="0.3">
      <c r="A410" t="s">
        <v>467</v>
      </c>
      <c r="B410" s="1">
        <v>45599</v>
      </c>
      <c r="C410" t="s">
        <v>4</v>
      </c>
      <c r="D410" t="s">
        <v>49</v>
      </c>
      <c r="E410" t="s">
        <v>28</v>
      </c>
      <c r="F410" t="s">
        <v>24</v>
      </c>
      <c r="G410" t="str">
        <f>INDEX(Lookup_Tables!$B$1:$B$7,MATCH(Cleaned_Data!F410,Lookup_Tables!$A$1:$A$7,0))</f>
        <v>Electronics</v>
      </c>
      <c r="H410" t="s">
        <v>54</v>
      </c>
      <c r="I410">
        <v>4</v>
      </c>
      <c r="J410">
        <v>47448</v>
      </c>
      <c r="L410">
        <f t="shared" si="30"/>
        <v>0</v>
      </c>
      <c r="N410">
        <f t="shared" si="31"/>
        <v>189792</v>
      </c>
      <c r="O410">
        <f t="shared" si="32"/>
        <v>189792</v>
      </c>
      <c r="P410">
        <f>I410*IFERROR(_xlfn.XLOOKUP(F410,Lookup_Tables!Product,Cost),0)</f>
        <v>112184</v>
      </c>
      <c r="Q410">
        <f t="shared" si="33"/>
        <v>77608</v>
      </c>
      <c r="R410" s="2">
        <f t="shared" si="34"/>
        <v>0.40891080762097454</v>
      </c>
    </row>
    <row r="411" spans="1:18" x14ac:dyDescent="0.3">
      <c r="A411" t="s">
        <v>468</v>
      </c>
      <c r="B411" s="1">
        <v>45513</v>
      </c>
      <c r="C411" t="s">
        <v>6</v>
      </c>
      <c r="D411" t="s">
        <v>49</v>
      </c>
      <c r="E411" t="s">
        <v>29</v>
      </c>
      <c r="F411" t="s">
        <v>61</v>
      </c>
      <c r="G411" t="str">
        <f>INDEX(Lookup_Tables!$B$1:$B$7,MATCH(Cleaned_Data!F411,Lookup_Tables!$A$1:$A$7,0))</f>
        <v>Electronics</v>
      </c>
      <c r="H411" t="s">
        <v>54</v>
      </c>
      <c r="I411">
        <v>6</v>
      </c>
      <c r="J411">
        <v>3259</v>
      </c>
      <c r="K411">
        <v>0.05</v>
      </c>
      <c r="L411">
        <f t="shared" si="30"/>
        <v>0.05</v>
      </c>
      <c r="N411">
        <f t="shared" si="31"/>
        <v>19554</v>
      </c>
      <c r="O411">
        <f t="shared" si="32"/>
        <v>18576.3</v>
      </c>
      <c r="P411">
        <f>I411*IFERROR(_xlfn.XLOOKUP(F411,Lookup_Tables!Product,Cost),0)</f>
        <v>44304</v>
      </c>
      <c r="Q411">
        <f t="shared" si="33"/>
        <v>-25727.7</v>
      </c>
      <c r="R411" s="2">
        <f t="shared" si="34"/>
        <v>-1.3849744028681708</v>
      </c>
    </row>
    <row r="412" spans="1:18" x14ac:dyDescent="0.3">
      <c r="A412" t="s">
        <v>469</v>
      </c>
      <c r="B412" s="1">
        <v>45603</v>
      </c>
      <c r="C412" t="s">
        <v>6</v>
      </c>
      <c r="D412" t="s">
        <v>76</v>
      </c>
      <c r="E412" t="s">
        <v>29</v>
      </c>
      <c r="F412" t="s">
        <v>24</v>
      </c>
      <c r="G412" t="str">
        <f>INDEX(Lookup_Tables!$B$1:$B$7,MATCH(Cleaned_Data!F412,Lookup_Tables!$A$1:$A$7,0))</f>
        <v>Electronics</v>
      </c>
      <c r="H412" t="s">
        <v>54</v>
      </c>
      <c r="I412">
        <v>2</v>
      </c>
      <c r="J412">
        <v>29289</v>
      </c>
      <c r="K412">
        <v>0.05</v>
      </c>
      <c r="L412">
        <f t="shared" si="30"/>
        <v>0.05</v>
      </c>
      <c r="M412">
        <v>27170</v>
      </c>
      <c r="N412">
        <f t="shared" si="31"/>
        <v>58578</v>
      </c>
      <c r="O412">
        <f t="shared" si="32"/>
        <v>55649.1</v>
      </c>
      <c r="P412">
        <f>I412*IFERROR(_xlfn.XLOOKUP(F412,Lookup_Tables!Product,Cost),0)</f>
        <v>56092</v>
      </c>
      <c r="Q412">
        <f t="shared" si="33"/>
        <v>-442.90000000000146</v>
      </c>
      <c r="R412" s="2">
        <f t="shared" si="34"/>
        <v>-7.958798974287121E-3</v>
      </c>
    </row>
    <row r="413" spans="1:18" x14ac:dyDescent="0.3">
      <c r="A413" t="s">
        <v>470</v>
      </c>
      <c r="B413" s="1">
        <v>45372</v>
      </c>
      <c r="C413" t="s">
        <v>4</v>
      </c>
      <c r="D413" t="s">
        <v>76</v>
      </c>
      <c r="E413" t="s">
        <v>26</v>
      </c>
      <c r="F413" t="s">
        <v>24</v>
      </c>
      <c r="G413" t="str">
        <f>INDEX(Lookup_Tables!$B$1:$B$7,MATCH(Cleaned_Data!F413,Lookup_Tables!$A$1:$A$7,0))</f>
        <v>Electronics</v>
      </c>
      <c r="H413" t="s">
        <v>54</v>
      </c>
      <c r="I413">
        <v>2</v>
      </c>
      <c r="J413">
        <v>31911</v>
      </c>
      <c r="L413">
        <f t="shared" si="30"/>
        <v>0</v>
      </c>
      <c r="N413">
        <f t="shared" si="31"/>
        <v>63822</v>
      </c>
      <c r="O413">
        <f t="shared" si="32"/>
        <v>63822</v>
      </c>
      <c r="P413">
        <f>I413*IFERROR(_xlfn.XLOOKUP(F413,Lookup_Tables!Product,Cost),0)</f>
        <v>56092</v>
      </c>
      <c r="Q413">
        <f t="shared" si="33"/>
        <v>7730</v>
      </c>
      <c r="R413" s="2">
        <f t="shared" si="34"/>
        <v>0.12111810974272194</v>
      </c>
    </row>
    <row r="414" spans="1:18" x14ac:dyDescent="0.3">
      <c r="A414" t="s">
        <v>471</v>
      </c>
      <c r="B414" s="1">
        <v>45526</v>
      </c>
      <c r="C414" t="s">
        <v>6</v>
      </c>
      <c r="D414" t="s">
        <v>53</v>
      </c>
      <c r="E414" t="s">
        <v>29</v>
      </c>
      <c r="F414" t="s">
        <v>58</v>
      </c>
      <c r="G414" t="str">
        <f>INDEX(Lookup_Tables!$B$1:$B$7,MATCH(Cleaned_Data!F414,Lookup_Tables!$A$1:$A$7,0))</f>
        <v>Electronics</v>
      </c>
      <c r="H414" t="s">
        <v>54</v>
      </c>
      <c r="I414">
        <v>2</v>
      </c>
      <c r="J414">
        <v>18540</v>
      </c>
      <c r="K414">
        <v>0</v>
      </c>
      <c r="L414">
        <f t="shared" si="30"/>
        <v>0</v>
      </c>
      <c r="N414">
        <f t="shared" si="31"/>
        <v>37080</v>
      </c>
      <c r="O414">
        <f t="shared" si="32"/>
        <v>37080</v>
      </c>
      <c r="P414">
        <f>I414*IFERROR(_xlfn.XLOOKUP(F414,Lookup_Tables!Product,Cost),0)</f>
        <v>5776</v>
      </c>
      <c r="Q414">
        <f t="shared" si="33"/>
        <v>31304</v>
      </c>
      <c r="R414" s="2">
        <f t="shared" si="34"/>
        <v>0.84422869471413164</v>
      </c>
    </row>
    <row r="415" spans="1:18" x14ac:dyDescent="0.3">
      <c r="A415" t="s">
        <v>472</v>
      </c>
      <c r="B415" s="1">
        <v>45475</v>
      </c>
      <c r="C415" t="s">
        <v>5</v>
      </c>
      <c r="D415" t="s">
        <v>76</v>
      </c>
      <c r="E415" t="s">
        <v>29</v>
      </c>
      <c r="F415" t="s">
        <v>61</v>
      </c>
      <c r="G415" t="str">
        <f>INDEX(Lookup_Tables!$B$1:$B$7,MATCH(Cleaned_Data!F415,Lookup_Tables!$A$1:$A$7,0))</f>
        <v>Electronics</v>
      </c>
      <c r="H415" t="s">
        <v>54</v>
      </c>
      <c r="I415">
        <v>2</v>
      </c>
      <c r="J415">
        <v>787</v>
      </c>
      <c r="K415">
        <v>0</v>
      </c>
      <c r="L415">
        <f t="shared" si="30"/>
        <v>0</v>
      </c>
      <c r="M415">
        <v>6405</v>
      </c>
      <c r="N415">
        <f t="shared" si="31"/>
        <v>1574</v>
      </c>
      <c r="O415">
        <f t="shared" si="32"/>
        <v>1574</v>
      </c>
      <c r="P415">
        <f>I415*IFERROR(_xlfn.XLOOKUP(F415,Lookup_Tables!Product,Cost),0)</f>
        <v>14768</v>
      </c>
      <c r="Q415">
        <f t="shared" si="33"/>
        <v>-13194</v>
      </c>
      <c r="R415" s="2">
        <f t="shared" si="34"/>
        <v>-8.3824650571791608</v>
      </c>
    </row>
    <row r="416" spans="1:18" x14ac:dyDescent="0.3">
      <c r="A416" t="s">
        <v>473</v>
      </c>
      <c r="B416" s="1">
        <v>45649</v>
      </c>
      <c r="C416" t="s">
        <v>3</v>
      </c>
      <c r="D416" t="s">
        <v>64</v>
      </c>
      <c r="E416" t="s">
        <v>29</v>
      </c>
      <c r="F416" t="s">
        <v>50</v>
      </c>
      <c r="G416" t="str">
        <f>INDEX(Lookup_Tables!$B$1:$B$7,MATCH(Cleaned_Data!F416,Lookup_Tables!$A$1:$A$7,0))</f>
        <v>Furniture</v>
      </c>
      <c r="H416" t="s">
        <v>51</v>
      </c>
      <c r="I416">
        <v>2</v>
      </c>
      <c r="J416">
        <v>2106</v>
      </c>
      <c r="L416">
        <f t="shared" si="30"/>
        <v>0</v>
      </c>
      <c r="M416">
        <v>6951</v>
      </c>
      <c r="N416">
        <f t="shared" si="31"/>
        <v>4212</v>
      </c>
      <c r="O416">
        <f t="shared" si="32"/>
        <v>4212</v>
      </c>
      <c r="P416">
        <f>I416*IFERROR(_xlfn.XLOOKUP(F416,Lookup_Tables!Product,Cost),0)</f>
        <v>26542</v>
      </c>
      <c r="Q416">
        <f t="shared" si="33"/>
        <v>-22330</v>
      </c>
      <c r="R416" s="2">
        <f t="shared" si="34"/>
        <v>-5.3015194681861351</v>
      </c>
    </row>
    <row r="417" spans="1:18" x14ac:dyDescent="0.3">
      <c r="A417" t="s">
        <v>474</v>
      </c>
      <c r="B417" s="1">
        <v>45525</v>
      </c>
      <c r="C417" t="s">
        <v>3</v>
      </c>
      <c r="D417" t="s">
        <v>49</v>
      </c>
      <c r="E417" t="s">
        <v>29</v>
      </c>
      <c r="F417" t="s">
        <v>61</v>
      </c>
      <c r="G417" t="str">
        <f>INDEX(Lookup_Tables!$B$1:$B$7,MATCH(Cleaned_Data!F417,Lookup_Tables!$A$1:$A$7,0))</f>
        <v>Electronics</v>
      </c>
      <c r="H417" t="s">
        <v>54</v>
      </c>
      <c r="I417">
        <v>2</v>
      </c>
      <c r="J417">
        <v>26153</v>
      </c>
      <c r="K417">
        <v>0.05</v>
      </c>
      <c r="L417">
        <f t="shared" si="30"/>
        <v>0.05</v>
      </c>
      <c r="N417">
        <f t="shared" si="31"/>
        <v>52306</v>
      </c>
      <c r="O417">
        <f t="shared" si="32"/>
        <v>49690.7</v>
      </c>
      <c r="P417">
        <f>I417*IFERROR(_xlfn.XLOOKUP(F417,Lookup_Tables!Product,Cost),0)</f>
        <v>14768</v>
      </c>
      <c r="Q417">
        <f t="shared" si="33"/>
        <v>34922.699999999997</v>
      </c>
      <c r="R417" s="2">
        <f t="shared" si="34"/>
        <v>0.70280153026622683</v>
      </c>
    </row>
    <row r="418" spans="1:18" x14ac:dyDescent="0.3">
      <c r="A418" t="s">
        <v>475</v>
      </c>
      <c r="B418" s="1">
        <v>45637</v>
      </c>
      <c r="C418" t="s">
        <v>4</v>
      </c>
      <c r="D418" t="s">
        <v>69</v>
      </c>
      <c r="E418" t="s">
        <v>25</v>
      </c>
      <c r="F418" t="s">
        <v>58</v>
      </c>
      <c r="G418" t="str">
        <f>INDEX(Lookup_Tables!$B$1:$B$7,MATCH(Cleaned_Data!F418,Lookup_Tables!$A$1:$A$7,0))</f>
        <v>Electronics</v>
      </c>
      <c r="H418" t="s">
        <v>54</v>
      </c>
      <c r="I418">
        <v>5</v>
      </c>
      <c r="J418">
        <v>35854</v>
      </c>
      <c r="K418">
        <v>0</v>
      </c>
      <c r="L418">
        <f t="shared" si="30"/>
        <v>0</v>
      </c>
      <c r="N418">
        <f t="shared" si="31"/>
        <v>179270</v>
      </c>
      <c r="O418">
        <f t="shared" si="32"/>
        <v>179270</v>
      </c>
      <c r="P418">
        <f>I418*IFERROR(_xlfn.XLOOKUP(F418,Lookup_Tables!Product,Cost),0)</f>
        <v>14440</v>
      </c>
      <c r="Q418">
        <f t="shared" si="33"/>
        <v>164830</v>
      </c>
      <c r="R418" s="2">
        <f t="shared" si="34"/>
        <v>0.9194511072683661</v>
      </c>
    </row>
    <row r="419" spans="1:18" x14ac:dyDescent="0.3">
      <c r="A419" t="s">
        <v>476</v>
      </c>
      <c r="B419" s="1">
        <v>45564</v>
      </c>
      <c r="C419" t="s">
        <v>5</v>
      </c>
      <c r="D419" t="s">
        <v>49</v>
      </c>
      <c r="E419" t="s">
        <v>27</v>
      </c>
      <c r="F419" t="s">
        <v>22</v>
      </c>
      <c r="G419" t="str">
        <f>INDEX(Lookup_Tables!$B$1:$B$7,MATCH(Cleaned_Data!F419,Lookup_Tables!$A$1:$A$7,0))</f>
        <v>Furniture</v>
      </c>
      <c r="H419" t="s">
        <v>51</v>
      </c>
      <c r="I419">
        <v>9</v>
      </c>
      <c r="J419">
        <v>23456</v>
      </c>
      <c r="K419">
        <v>0.05</v>
      </c>
      <c r="L419">
        <f t="shared" si="30"/>
        <v>0.05</v>
      </c>
      <c r="M419">
        <v>25604</v>
      </c>
      <c r="N419">
        <f t="shared" si="31"/>
        <v>211104</v>
      </c>
      <c r="O419">
        <f t="shared" si="32"/>
        <v>200548.8</v>
      </c>
      <c r="P419">
        <f>I419*IFERROR(_xlfn.XLOOKUP(F419,Lookup_Tables!Product,Cost),0)</f>
        <v>117360</v>
      </c>
      <c r="Q419">
        <f t="shared" si="33"/>
        <v>83188.799999999988</v>
      </c>
      <c r="R419" s="2">
        <f t="shared" si="34"/>
        <v>0.41480577295900045</v>
      </c>
    </row>
    <row r="420" spans="1:18" x14ac:dyDescent="0.3">
      <c r="A420" t="s">
        <v>477</v>
      </c>
      <c r="B420" s="1">
        <v>45588</v>
      </c>
      <c r="C420" t="s">
        <v>5</v>
      </c>
      <c r="D420" t="s">
        <v>69</v>
      </c>
      <c r="E420" t="s">
        <v>26</v>
      </c>
      <c r="F420" t="s">
        <v>58</v>
      </c>
      <c r="G420" t="str">
        <f>INDEX(Lookup_Tables!$B$1:$B$7,MATCH(Cleaned_Data!F420,Lookup_Tables!$A$1:$A$7,0))</f>
        <v>Electronics</v>
      </c>
      <c r="H420" t="s">
        <v>54</v>
      </c>
      <c r="I420">
        <v>5</v>
      </c>
      <c r="J420">
        <v>18042</v>
      </c>
      <c r="K420">
        <v>0.05</v>
      </c>
      <c r="L420">
        <f t="shared" si="30"/>
        <v>0.05</v>
      </c>
      <c r="N420">
        <f t="shared" si="31"/>
        <v>90210</v>
      </c>
      <c r="O420">
        <f t="shared" si="32"/>
        <v>85699.5</v>
      </c>
      <c r="P420">
        <f>I420*IFERROR(_xlfn.XLOOKUP(F420,Lookup_Tables!Product,Cost),0)</f>
        <v>14440</v>
      </c>
      <c r="Q420">
        <f t="shared" si="33"/>
        <v>71259.5</v>
      </c>
      <c r="R420" s="2">
        <f t="shared" si="34"/>
        <v>0.83150426781953224</v>
      </c>
    </row>
    <row r="421" spans="1:18" x14ac:dyDescent="0.3">
      <c r="A421" t="s">
        <v>478</v>
      </c>
      <c r="B421" s="1">
        <v>45335</v>
      </c>
      <c r="C421" t="s">
        <v>3</v>
      </c>
      <c r="D421" t="s">
        <v>49</v>
      </c>
      <c r="E421" t="s">
        <v>25</v>
      </c>
      <c r="F421" t="s">
        <v>58</v>
      </c>
      <c r="G421" t="str">
        <f>INDEX(Lookup_Tables!$B$1:$B$7,MATCH(Cleaned_Data!F421,Lookup_Tables!$A$1:$A$7,0))</f>
        <v>Electronics</v>
      </c>
      <c r="H421" t="s">
        <v>54</v>
      </c>
      <c r="I421">
        <v>4</v>
      </c>
      <c r="J421">
        <v>37181</v>
      </c>
      <c r="K421">
        <v>0.05</v>
      </c>
      <c r="L421">
        <f t="shared" si="30"/>
        <v>0.05</v>
      </c>
      <c r="M421">
        <v>2967</v>
      </c>
      <c r="N421">
        <f t="shared" si="31"/>
        <v>148724</v>
      </c>
      <c r="O421">
        <f t="shared" si="32"/>
        <v>141287.79999999999</v>
      </c>
      <c r="P421">
        <f>I421*IFERROR(_xlfn.XLOOKUP(F421,Lookup_Tables!Product,Cost),0)</f>
        <v>11552</v>
      </c>
      <c r="Q421">
        <f t="shared" si="33"/>
        <v>129735.79999999999</v>
      </c>
      <c r="R421" s="2">
        <f t="shared" si="34"/>
        <v>0.91823780963395285</v>
      </c>
    </row>
    <row r="422" spans="1:18" x14ac:dyDescent="0.3">
      <c r="A422" t="s">
        <v>479</v>
      </c>
      <c r="B422" s="1">
        <v>45566</v>
      </c>
      <c r="C422" t="s">
        <v>5</v>
      </c>
      <c r="D422" t="s">
        <v>76</v>
      </c>
      <c r="E422" t="s">
        <v>29</v>
      </c>
      <c r="F422" t="s">
        <v>23</v>
      </c>
      <c r="G422" t="str">
        <f>INDEX(Lookup_Tables!$B$1:$B$7,MATCH(Cleaned_Data!F422,Lookup_Tables!$A$1:$A$7,0))</f>
        <v>Electronics</v>
      </c>
      <c r="H422" t="s">
        <v>54</v>
      </c>
      <c r="I422">
        <v>4</v>
      </c>
      <c r="J422">
        <v>23332</v>
      </c>
      <c r="K422">
        <v>0.1</v>
      </c>
      <c r="L422">
        <f t="shared" si="30"/>
        <v>0.1</v>
      </c>
      <c r="M422">
        <v>27556</v>
      </c>
      <c r="N422">
        <f t="shared" si="31"/>
        <v>93328</v>
      </c>
      <c r="O422">
        <f t="shared" si="32"/>
        <v>83995.199999999997</v>
      </c>
      <c r="P422">
        <f>I422*IFERROR(_xlfn.XLOOKUP(F422,Lookup_Tables!Product,Cost),0)</f>
        <v>77060</v>
      </c>
      <c r="Q422">
        <f t="shared" si="33"/>
        <v>6935.1999999999971</v>
      </c>
      <c r="R422" s="2">
        <f t="shared" si="34"/>
        <v>8.2566622854639282E-2</v>
      </c>
    </row>
    <row r="423" spans="1:18" x14ac:dyDescent="0.3">
      <c r="A423" t="s">
        <v>480</v>
      </c>
      <c r="B423" s="1">
        <v>45401</v>
      </c>
      <c r="C423" t="s">
        <v>5</v>
      </c>
      <c r="D423" t="s">
        <v>64</v>
      </c>
      <c r="E423" t="s">
        <v>26</v>
      </c>
      <c r="F423" t="s">
        <v>23</v>
      </c>
      <c r="G423" t="str">
        <f>INDEX(Lookup_Tables!$B$1:$B$7,MATCH(Cleaned_Data!F423,Lookup_Tables!$A$1:$A$7,0))</f>
        <v>Electronics</v>
      </c>
      <c r="H423" t="s">
        <v>54</v>
      </c>
      <c r="I423">
        <v>7</v>
      </c>
      <c r="J423">
        <v>41961</v>
      </c>
      <c r="K423">
        <v>0.1</v>
      </c>
      <c r="L423">
        <f t="shared" si="30"/>
        <v>0.1</v>
      </c>
      <c r="N423">
        <f t="shared" si="31"/>
        <v>293727</v>
      </c>
      <c r="O423">
        <f t="shared" si="32"/>
        <v>264354.3</v>
      </c>
      <c r="P423">
        <f>I423*IFERROR(_xlfn.XLOOKUP(F423,Lookup_Tables!Product,Cost),0)</f>
        <v>134855</v>
      </c>
      <c r="Q423">
        <f t="shared" si="33"/>
        <v>129499.29999999999</v>
      </c>
      <c r="R423" s="2">
        <f t="shared" si="34"/>
        <v>0.48987022340850894</v>
      </c>
    </row>
    <row r="424" spans="1:18" x14ac:dyDescent="0.3">
      <c r="A424" t="s">
        <v>481</v>
      </c>
      <c r="B424" s="1">
        <v>45543</v>
      </c>
      <c r="C424" t="s">
        <v>3</v>
      </c>
      <c r="D424" t="s">
        <v>76</v>
      </c>
      <c r="E424" t="s">
        <v>27</v>
      </c>
      <c r="F424" t="s">
        <v>23</v>
      </c>
      <c r="G424" t="str">
        <f>INDEX(Lookup_Tables!$B$1:$B$7,MATCH(Cleaned_Data!F424,Lookup_Tables!$A$1:$A$7,0))</f>
        <v>Electronics</v>
      </c>
      <c r="H424" t="s">
        <v>54</v>
      </c>
      <c r="I424">
        <v>6</v>
      </c>
      <c r="J424">
        <v>43295</v>
      </c>
      <c r="K424">
        <v>0</v>
      </c>
      <c r="L424">
        <f t="shared" si="30"/>
        <v>0</v>
      </c>
      <c r="M424">
        <v>26119</v>
      </c>
      <c r="N424">
        <f t="shared" si="31"/>
        <v>259770</v>
      </c>
      <c r="O424">
        <f t="shared" si="32"/>
        <v>259770</v>
      </c>
      <c r="P424">
        <f>I424*IFERROR(_xlfn.XLOOKUP(F424,Lookup_Tables!Product,Cost),0)</f>
        <v>115590</v>
      </c>
      <c r="Q424">
        <f t="shared" si="33"/>
        <v>144180</v>
      </c>
      <c r="R424" s="2">
        <f t="shared" si="34"/>
        <v>0.55502944912807484</v>
      </c>
    </row>
    <row r="425" spans="1:18" x14ac:dyDescent="0.3">
      <c r="A425" t="s">
        <v>482</v>
      </c>
      <c r="B425" s="1">
        <v>45459</v>
      </c>
      <c r="C425" t="s">
        <v>5</v>
      </c>
      <c r="D425" t="s">
        <v>69</v>
      </c>
      <c r="E425" t="s">
        <v>25</v>
      </c>
      <c r="F425" t="s">
        <v>23</v>
      </c>
      <c r="G425" t="str">
        <f>INDEX(Lookup_Tables!$B$1:$B$7,MATCH(Cleaned_Data!F425,Lookup_Tables!$A$1:$A$7,0))</f>
        <v>Electronics</v>
      </c>
      <c r="H425" t="s">
        <v>54</v>
      </c>
      <c r="I425">
        <v>10</v>
      </c>
      <c r="J425">
        <v>33957</v>
      </c>
      <c r="K425">
        <v>0.1</v>
      </c>
      <c r="L425">
        <f t="shared" si="30"/>
        <v>0.1</v>
      </c>
      <c r="N425">
        <f t="shared" si="31"/>
        <v>339570</v>
      </c>
      <c r="O425">
        <f t="shared" si="32"/>
        <v>305613</v>
      </c>
      <c r="P425">
        <f>I425*IFERROR(_xlfn.XLOOKUP(F425,Lookup_Tables!Product,Cost),0)</f>
        <v>192650</v>
      </c>
      <c r="Q425">
        <f t="shared" si="33"/>
        <v>112963</v>
      </c>
      <c r="R425" s="2">
        <f t="shared" si="34"/>
        <v>0.36962760092011793</v>
      </c>
    </row>
    <row r="426" spans="1:18" x14ac:dyDescent="0.3">
      <c r="A426" t="s">
        <v>483</v>
      </c>
      <c r="B426" s="1">
        <v>45344</v>
      </c>
      <c r="C426" t="s">
        <v>5</v>
      </c>
      <c r="D426" t="s">
        <v>53</v>
      </c>
      <c r="E426" t="s">
        <v>29</v>
      </c>
      <c r="F426" t="s">
        <v>61</v>
      </c>
      <c r="G426" t="str">
        <f>INDEX(Lookup_Tables!$B$1:$B$7,MATCH(Cleaned_Data!F426,Lookup_Tables!$A$1:$A$7,0))</f>
        <v>Electronics</v>
      </c>
      <c r="H426" t="s">
        <v>54</v>
      </c>
      <c r="I426">
        <v>2</v>
      </c>
      <c r="J426">
        <v>34251</v>
      </c>
      <c r="K426">
        <v>0</v>
      </c>
      <c r="L426">
        <f t="shared" si="30"/>
        <v>0</v>
      </c>
      <c r="N426">
        <f t="shared" si="31"/>
        <v>68502</v>
      </c>
      <c r="O426">
        <f t="shared" si="32"/>
        <v>68502</v>
      </c>
      <c r="P426">
        <f>I426*IFERROR(_xlfn.XLOOKUP(F426,Lookup_Tables!Product,Cost),0)</f>
        <v>14768</v>
      </c>
      <c r="Q426">
        <f t="shared" si="33"/>
        <v>53734</v>
      </c>
      <c r="R426" s="2">
        <f t="shared" si="34"/>
        <v>0.78441505357507813</v>
      </c>
    </row>
    <row r="427" spans="1:18" x14ac:dyDescent="0.3">
      <c r="A427" t="s">
        <v>484</v>
      </c>
      <c r="B427" s="1">
        <v>45595</v>
      </c>
      <c r="C427" t="s">
        <v>6</v>
      </c>
      <c r="D427" t="s">
        <v>69</v>
      </c>
      <c r="E427" t="s">
        <v>27</v>
      </c>
      <c r="F427" t="s">
        <v>61</v>
      </c>
      <c r="G427" t="str">
        <f>INDEX(Lookup_Tables!$B$1:$B$7,MATCH(Cleaned_Data!F427,Lookup_Tables!$A$1:$A$7,0))</f>
        <v>Electronics</v>
      </c>
      <c r="H427" t="s">
        <v>54</v>
      </c>
      <c r="I427">
        <v>10</v>
      </c>
      <c r="J427">
        <v>19874</v>
      </c>
      <c r="K427">
        <v>0.05</v>
      </c>
      <c r="L427">
        <f t="shared" si="30"/>
        <v>0.05</v>
      </c>
      <c r="M427">
        <v>21117</v>
      </c>
      <c r="N427">
        <f t="shared" si="31"/>
        <v>198740</v>
      </c>
      <c r="O427">
        <f t="shared" si="32"/>
        <v>188803</v>
      </c>
      <c r="P427">
        <f>I427*IFERROR(_xlfn.XLOOKUP(F427,Lookup_Tables!Product,Cost),0)</f>
        <v>73840</v>
      </c>
      <c r="Q427">
        <f t="shared" si="33"/>
        <v>114963</v>
      </c>
      <c r="R427" s="2">
        <f t="shared" si="34"/>
        <v>0.60890451952564317</v>
      </c>
    </row>
    <row r="428" spans="1:18" x14ac:dyDescent="0.3">
      <c r="A428" t="s">
        <v>485</v>
      </c>
      <c r="B428" s="1">
        <v>45335</v>
      </c>
      <c r="C428" t="s">
        <v>4</v>
      </c>
      <c r="D428" t="s">
        <v>49</v>
      </c>
      <c r="E428" t="s">
        <v>28</v>
      </c>
      <c r="F428" t="s">
        <v>50</v>
      </c>
      <c r="G428" t="str">
        <f>INDEX(Lookup_Tables!$B$1:$B$7,MATCH(Cleaned_Data!F428,Lookup_Tables!$A$1:$A$7,0))</f>
        <v>Furniture</v>
      </c>
      <c r="H428" t="s">
        <v>51</v>
      </c>
      <c r="I428">
        <v>1</v>
      </c>
      <c r="J428">
        <v>10984</v>
      </c>
      <c r="K428">
        <v>0.05</v>
      </c>
      <c r="L428">
        <f t="shared" si="30"/>
        <v>0.05</v>
      </c>
      <c r="M428">
        <v>29609</v>
      </c>
      <c r="N428">
        <f t="shared" si="31"/>
        <v>10984</v>
      </c>
      <c r="O428">
        <f t="shared" si="32"/>
        <v>10434.799999999999</v>
      </c>
      <c r="P428">
        <f>I428*IFERROR(_xlfn.XLOOKUP(F428,Lookup_Tables!Product,Cost),0)</f>
        <v>13271</v>
      </c>
      <c r="Q428">
        <f t="shared" si="33"/>
        <v>-2836.2000000000007</v>
      </c>
      <c r="R428" s="2">
        <f t="shared" si="34"/>
        <v>-0.27180204699658844</v>
      </c>
    </row>
    <row r="429" spans="1:18" x14ac:dyDescent="0.3">
      <c r="A429" t="s">
        <v>486</v>
      </c>
      <c r="B429" s="1">
        <v>45496</v>
      </c>
      <c r="C429" t="s">
        <v>5</v>
      </c>
      <c r="D429" t="s">
        <v>76</v>
      </c>
      <c r="E429" t="s">
        <v>28</v>
      </c>
      <c r="F429" t="s">
        <v>58</v>
      </c>
      <c r="G429" t="str">
        <f>INDEX(Lookup_Tables!$B$1:$B$7,MATCH(Cleaned_Data!F429,Lookup_Tables!$A$1:$A$7,0))</f>
        <v>Electronics</v>
      </c>
      <c r="H429" t="s">
        <v>54</v>
      </c>
      <c r="I429">
        <v>5</v>
      </c>
      <c r="J429">
        <v>34499</v>
      </c>
      <c r="K429">
        <v>0</v>
      </c>
      <c r="L429">
        <f t="shared" si="30"/>
        <v>0</v>
      </c>
      <c r="N429">
        <f t="shared" si="31"/>
        <v>172495</v>
      </c>
      <c r="O429">
        <f t="shared" si="32"/>
        <v>172495</v>
      </c>
      <c r="P429">
        <f>I429*IFERROR(_xlfn.XLOOKUP(F429,Lookup_Tables!Product,Cost),0)</f>
        <v>14440</v>
      </c>
      <c r="Q429">
        <f t="shared" si="33"/>
        <v>158055</v>
      </c>
      <c r="R429" s="2">
        <f t="shared" si="34"/>
        <v>0.91628742862111945</v>
      </c>
    </row>
    <row r="430" spans="1:18" x14ac:dyDescent="0.3">
      <c r="A430" t="s">
        <v>487</v>
      </c>
      <c r="B430" s="1">
        <v>45525</v>
      </c>
      <c r="C430" t="s">
        <v>6</v>
      </c>
      <c r="D430" t="s">
        <v>76</v>
      </c>
      <c r="E430" t="s">
        <v>28</v>
      </c>
      <c r="F430" t="s">
        <v>61</v>
      </c>
      <c r="G430" t="str">
        <f>INDEX(Lookup_Tables!$B$1:$B$7,MATCH(Cleaned_Data!F430,Lookup_Tables!$A$1:$A$7,0))</f>
        <v>Electronics</v>
      </c>
      <c r="H430" t="s">
        <v>54</v>
      </c>
      <c r="I430">
        <v>10</v>
      </c>
      <c r="J430">
        <v>46603</v>
      </c>
      <c r="K430">
        <v>0.1</v>
      </c>
      <c r="L430">
        <f t="shared" si="30"/>
        <v>0.1</v>
      </c>
      <c r="N430">
        <f t="shared" si="31"/>
        <v>466030</v>
      </c>
      <c r="O430">
        <f t="shared" si="32"/>
        <v>419427</v>
      </c>
      <c r="P430">
        <f>I430*IFERROR(_xlfn.XLOOKUP(F430,Lookup_Tables!Product,Cost),0)</f>
        <v>73840</v>
      </c>
      <c r="Q430">
        <f t="shared" si="33"/>
        <v>345587</v>
      </c>
      <c r="R430" s="2">
        <f t="shared" si="34"/>
        <v>0.82395029409170129</v>
      </c>
    </row>
    <row r="431" spans="1:18" x14ac:dyDescent="0.3">
      <c r="A431" t="s">
        <v>488</v>
      </c>
      <c r="B431" s="1">
        <v>45636</v>
      </c>
      <c r="C431" t="s">
        <v>3</v>
      </c>
      <c r="D431" t="s">
        <v>76</v>
      </c>
      <c r="E431" t="s">
        <v>29</v>
      </c>
      <c r="F431" t="s">
        <v>50</v>
      </c>
      <c r="G431" t="str">
        <f>INDEX(Lookup_Tables!$B$1:$B$7,MATCH(Cleaned_Data!F431,Lookup_Tables!$A$1:$A$7,0))</f>
        <v>Furniture</v>
      </c>
      <c r="H431" t="s">
        <v>51</v>
      </c>
      <c r="I431">
        <v>8</v>
      </c>
      <c r="J431">
        <v>26216</v>
      </c>
      <c r="L431">
        <f t="shared" si="30"/>
        <v>0</v>
      </c>
      <c r="N431">
        <f t="shared" si="31"/>
        <v>209728</v>
      </c>
      <c r="O431">
        <f t="shared" si="32"/>
        <v>209728</v>
      </c>
      <c r="P431">
        <f>I431*IFERROR(_xlfn.XLOOKUP(F431,Lookup_Tables!Product,Cost),0)</f>
        <v>106168</v>
      </c>
      <c r="Q431">
        <f t="shared" si="33"/>
        <v>103560</v>
      </c>
      <c r="R431" s="2">
        <f t="shared" si="34"/>
        <v>0.4937824229478181</v>
      </c>
    </row>
    <row r="432" spans="1:18" x14ac:dyDescent="0.3">
      <c r="A432" t="s">
        <v>489</v>
      </c>
      <c r="B432" s="1">
        <v>45594</v>
      </c>
      <c r="C432" t="s">
        <v>4</v>
      </c>
      <c r="D432" t="s">
        <v>49</v>
      </c>
      <c r="E432" t="s">
        <v>26</v>
      </c>
      <c r="F432" t="s">
        <v>22</v>
      </c>
      <c r="G432" t="str">
        <f>INDEX(Lookup_Tables!$B$1:$B$7,MATCH(Cleaned_Data!F432,Lookup_Tables!$A$1:$A$7,0))</f>
        <v>Furniture</v>
      </c>
      <c r="H432" t="s">
        <v>51</v>
      </c>
      <c r="I432">
        <v>7</v>
      </c>
      <c r="J432">
        <v>46356</v>
      </c>
      <c r="K432">
        <v>0.1</v>
      </c>
      <c r="L432">
        <f t="shared" si="30"/>
        <v>0.1</v>
      </c>
      <c r="N432">
        <f t="shared" si="31"/>
        <v>324492</v>
      </c>
      <c r="O432">
        <f t="shared" si="32"/>
        <v>292042.8</v>
      </c>
      <c r="P432">
        <f>I432*IFERROR(_xlfn.XLOOKUP(F432,Lookup_Tables!Product,Cost),0)</f>
        <v>91280</v>
      </c>
      <c r="Q432">
        <f t="shared" si="33"/>
        <v>200762.8</v>
      </c>
      <c r="R432" s="2">
        <f t="shared" si="34"/>
        <v>0.68744307341252719</v>
      </c>
    </row>
    <row r="433" spans="1:18" x14ac:dyDescent="0.3">
      <c r="A433" t="s">
        <v>490</v>
      </c>
      <c r="B433" s="1">
        <v>45374</v>
      </c>
      <c r="C433" t="s">
        <v>4</v>
      </c>
      <c r="D433" t="s">
        <v>64</v>
      </c>
      <c r="E433" t="s">
        <v>26</v>
      </c>
      <c r="F433" t="s">
        <v>58</v>
      </c>
      <c r="G433" t="str">
        <f>INDEX(Lookup_Tables!$B$1:$B$7,MATCH(Cleaned_Data!F433,Lookup_Tables!$A$1:$A$7,0))</f>
        <v>Electronics</v>
      </c>
      <c r="H433" t="s">
        <v>54</v>
      </c>
      <c r="I433">
        <v>8</v>
      </c>
      <c r="J433">
        <v>23080</v>
      </c>
      <c r="K433">
        <v>0.1</v>
      </c>
      <c r="L433">
        <f t="shared" si="30"/>
        <v>0.1</v>
      </c>
      <c r="M433">
        <v>6004</v>
      </c>
      <c r="N433">
        <f t="shared" si="31"/>
        <v>184640</v>
      </c>
      <c r="O433">
        <f t="shared" si="32"/>
        <v>166176</v>
      </c>
      <c r="P433">
        <f>I433*IFERROR(_xlfn.XLOOKUP(F433,Lookup_Tables!Product,Cost),0)</f>
        <v>23104</v>
      </c>
      <c r="Q433">
        <f t="shared" si="33"/>
        <v>143072</v>
      </c>
      <c r="R433" s="2">
        <f t="shared" si="34"/>
        <v>0.86096668592335834</v>
      </c>
    </row>
    <row r="434" spans="1:18" x14ac:dyDescent="0.3">
      <c r="A434" t="s">
        <v>491</v>
      </c>
      <c r="B434" s="1">
        <v>45551</v>
      </c>
      <c r="C434" t="s">
        <v>6</v>
      </c>
      <c r="D434" t="s">
        <v>69</v>
      </c>
      <c r="E434" t="s">
        <v>26</v>
      </c>
      <c r="F434" t="s">
        <v>58</v>
      </c>
      <c r="G434" t="str">
        <f>INDEX(Lookup_Tables!$B$1:$B$7,MATCH(Cleaned_Data!F434,Lookup_Tables!$A$1:$A$7,0))</f>
        <v>Electronics</v>
      </c>
      <c r="H434" t="s">
        <v>54</v>
      </c>
      <c r="I434">
        <v>4</v>
      </c>
      <c r="J434">
        <v>35728</v>
      </c>
      <c r="K434">
        <v>0</v>
      </c>
      <c r="L434">
        <f t="shared" si="30"/>
        <v>0</v>
      </c>
      <c r="N434">
        <f t="shared" si="31"/>
        <v>142912</v>
      </c>
      <c r="O434">
        <f t="shared" si="32"/>
        <v>142912</v>
      </c>
      <c r="P434">
        <f>I434*IFERROR(_xlfn.XLOOKUP(F434,Lookup_Tables!Product,Cost),0)</f>
        <v>11552</v>
      </c>
      <c r="Q434">
        <f t="shared" si="33"/>
        <v>131360</v>
      </c>
      <c r="R434" s="2">
        <f t="shared" si="34"/>
        <v>0.91916703985669501</v>
      </c>
    </row>
    <row r="435" spans="1:18" x14ac:dyDescent="0.3">
      <c r="A435" t="s">
        <v>492</v>
      </c>
      <c r="B435" s="1">
        <v>45602</v>
      </c>
      <c r="C435" t="s">
        <v>6</v>
      </c>
      <c r="D435" t="s">
        <v>69</v>
      </c>
      <c r="E435" t="s">
        <v>27</v>
      </c>
      <c r="F435" t="s">
        <v>58</v>
      </c>
      <c r="G435" t="str">
        <f>INDEX(Lookup_Tables!$B$1:$B$7,MATCH(Cleaned_Data!F435,Lookup_Tables!$A$1:$A$7,0))</f>
        <v>Electronics</v>
      </c>
      <c r="H435" t="s">
        <v>54</v>
      </c>
      <c r="I435">
        <v>3</v>
      </c>
      <c r="J435">
        <v>48132</v>
      </c>
      <c r="L435">
        <f t="shared" si="30"/>
        <v>0</v>
      </c>
      <c r="M435">
        <v>7587</v>
      </c>
      <c r="N435">
        <f t="shared" si="31"/>
        <v>144396</v>
      </c>
      <c r="O435">
        <f t="shared" si="32"/>
        <v>144396</v>
      </c>
      <c r="P435">
        <f>I435*IFERROR(_xlfn.XLOOKUP(F435,Lookup_Tables!Product,Cost),0)</f>
        <v>8664</v>
      </c>
      <c r="Q435">
        <f t="shared" si="33"/>
        <v>135732</v>
      </c>
      <c r="R435" s="2">
        <f t="shared" si="34"/>
        <v>0.93999833790409704</v>
      </c>
    </row>
    <row r="436" spans="1:18" x14ac:dyDescent="0.3">
      <c r="A436" t="s">
        <v>493</v>
      </c>
      <c r="B436" s="1">
        <v>45369</v>
      </c>
      <c r="C436" t="s">
        <v>5</v>
      </c>
      <c r="D436" t="s">
        <v>76</v>
      </c>
      <c r="E436" t="s">
        <v>29</v>
      </c>
      <c r="F436" t="s">
        <v>22</v>
      </c>
      <c r="G436" t="str">
        <f>INDEX(Lookup_Tables!$B$1:$B$7,MATCH(Cleaned_Data!F436,Lookup_Tables!$A$1:$A$7,0))</f>
        <v>Furniture</v>
      </c>
      <c r="H436" t="s">
        <v>51</v>
      </c>
      <c r="I436">
        <v>5</v>
      </c>
      <c r="J436">
        <v>1021</v>
      </c>
      <c r="K436">
        <v>0</v>
      </c>
      <c r="L436">
        <f t="shared" si="30"/>
        <v>0</v>
      </c>
      <c r="M436">
        <v>18069</v>
      </c>
      <c r="N436">
        <f t="shared" si="31"/>
        <v>5105</v>
      </c>
      <c r="O436">
        <f t="shared" si="32"/>
        <v>5105</v>
      </c>
      <c r="P436">
        <f>I436*IFERROR(_xlfn.XLOOKUP(F436,Lookup_Tables!Product,Cost),0)</f>
        <v>65200</v>
      </c>
      <c r="Q436">
        <f t="shared" si="33"/>
        <v>-60095</v>
      </c>
      <c r="R436" s="2">
        <f t="shared" si="34"/>
        <v>-11.77179236043095</v>
      </c>
    </row>
    <row r="437" spans="1:18" x14ac:dyDescent="0.3">
      <c r="A437" t="s">
        <v>494</v>
      </c>
      <c r="B437" s="1">
        <v>45525</v>
      </c>
      <c r="C437" t="s">
        <v>6</v>
      </c>
      <c r="D437" t="s">
        <v>64</v>
      </c>
      <c r="E437" t="s">
        <v>26</v>
      </c>
      <c r="F437" t="s">
        <v>50</v>
      </c>
      <c r="G437" t="str">
        <f>INDEX(Lookup_Tables!$B$1:$B$7,MATCH(Cleaned_Data!F437,Lookup_Tables!$A$1:$A$7,0))</f>
        <v>Furniture</v>
      </c>
      <c r="H437" t="s">
        <v>51</v>
      </c>
      <c r="I437">
        <v>1</v>
      </c>
      <c r="J437">
        <v>21988</v>
      </c>
      <c r="L437">
        <f t="shared" si="30"/>
        <v>0</v>
      </c>
      <c r="M437">
        <v>9322</v>
      </c>
      <c r="N437">
        <f t="shared" si="31"/>
        <v>21988</v>
      </c>
      <c r="O437">
        <f t="shared" si="32"/>
        <v>21988</v>
      </c>
      <c r="P437">
        <f>I437*IFERROR(_xlfn.XLOOKUP(F437,Lookup_Tables!Product,Cost),0)</f>
        <v>13271</v>
      </c>
      <c r="Q437">
        <f t="shared" si="33"/>
        <v>8717</v>
      </c>
      <c r="R437" s="2">
        <f t="shared" si="34"/>
        <v>0.39644351464435146</v>
      </c>
    </row>
    <row r="438" spans="1:18" x14ac:dyDescent="0.3">
      <c r="A438" t="s">
        <v>495</v>
      </c>
      <c r="B438" s="1">
        <v>45600</v>
      </c>
      <c r="C438" t="s">
        <v>4</v>
      </c>
      <c r="D438" t="s">
        <v>56</v>
      </c>
      <c r="E438" t="s">
        <v>27</v>
      </c>
      <c r="F438" t="s">
        <v>24</v>
      </c>
      <c r="G438" t="str">
        <f>INDEX(Lookup_Tables!$B$1:$B$7,MATCH(Cleaned_Data!F438,Lookup_Tables!$A$1:$A$7,0))</f>
        <v>Electronics</v>
      </c>
      <c r="H438" t="s">
        <v>54</v>
      </c>
      <c r="I438">
        <v>8</v>
      </c>
      <c r="J438">
        <v>36668</v>
      </c>
      <c r="K438">
        <v>0.05</v>
      </c>
      <c r="L438">
        <f t="shared" si="30"/>
        <v>0.05</v>
      </c>
      <c r="N438">
        <f t="shared" si="31"/>
        <v>293344</v>
      </c>
      <c r="O438">
        <f t="shared" si="32"/>
        <v>278676.8</v>
      </c>
      <c r="P438">
        <f>I438*IFERROR(_xlfn.XLOOKUP(F438,Lookup_Tables!Product,Cost),0)</f>
        <v>224368</v>
      </c>
      <c r="Q438">
        <f t="shared" si="33"/>
        <v>54308.799999999988</v>
      </c>
      <c r="R438" s="2">
        <f t="shared" si="34"/>
        <v>0.19488095169745021</v>
      </c>
    </row>
    <row r="439" spans="1:18" x14ac:dyDescent="0.3">
      <c r="A439" t="s">
        <v>496</v>
      </c>
      <c r="B439" s="1">
        <v>45310</v>
      </c>
      <c r="C439" t="s">
        <v>4</v>
      </c>
      <c r="D439" t="s">
        <v>69</v>
      </c>
      <c r="E439" t="s">
        <v>29</v>
      </c>
      <c r="F439" t="s">
        <v>23</v>
      </c>
      <c r="G439" t="str">
        <f>INDEX(Lookup_Tables!$B$1:$B$7,MATCH(Cleaned_Data!F439,Lookup_Tables!$A$1:$A$7,0))</f>
        <v>Electronics</v>
      </c>
      <c r="H439" t="s">
        <v>54</v>
      </c>
      <c r="I439">
        <v>9</v>
      </c>
      <c r="J439">
        <v>14464</v>
      </c>
      <c r="L439">
        <f t="shared" si="30"/>
        <v>0</v>
      </c>
      <c r="N439">
        <f t="shared" si="31"/>
        <v>130176</v>
      </c>
      <c r="O439">
        <f t="shared" si="32"/>
        <v>130176</v>
      </c>
      <c r="P439">
        <f>I439*IFERROR(_xlfn.XLOOKUP(F439,Lookup_Tables!Product,Cost),0)</f>
        <v>173385</v>
      </c>
      <c r="Q439">
        <f t="shared" si="33"/>
        <v>-43209</v>
      </c>
      <c r="R439" s="2">
        <f t="shared" si="34"/>
        <v>-0.33192754424778759</v>
      </c>
    </row>
    <row r="440" spans="1:18" x14ac:dyDescent="0.3">
      <c r="A440" t="s">
        <v>497</v>
      </c>
      <c r="B440" s="1">
        <v>45629</v>
      </c>
      <c r="C440" t="s">
        <v>5</v>
      </c>
      <c r="D440" t="s">
        <v>64</v>
      </c>
      <c r="E440" t="s">
        <v>26</v>
      </c>
      <c r="F440" t="s">
        <v>24</v>
      </c>
      <c r="G440" t="str">
        <f>INDEX(Lookup_Tables!$B$1:$B$7,MATCH(Cleaned_Data!F440,Lookup_Tables!$A$1:$A$7,0))</f>
        <v>Electronics</v>
      </c>
      <c r="H440" t="s">
        <v>54</v>
      </c>
      <c r="I440">
        <v>9</v>
      </c>
      <c r="J440">
        <v>47320</v>
      </c>
      <c r="K440">
        <v>0.05</v>
      </c>
      <c r="L440">
        <f t="shared" si="30"/>
        <v>0.05</v>
      </c>
      <c r="M440">
        <v>17954</v>
      </c>
      <c r="N440">
        <f t="shared" si="31"/>
        <v>425880</v>
      </c>
      <c r="O440">
        <f t="shared" si="32"/>
        <v>404586</v>
      </c>
      <c r="P440">
        <f>I440*IFERROR(_xlfn.XLOOKUP(F440,Lookup_Tables!Product,Cost),0)</f>
        <v>252414</v>
      </c>
      <c r="Q440">
        <f t="shared" si="33"/>
        <v>152172</v>
      </c>
      <c r="R440" s="2">
        <f t="shared" si="34"/>
        <v>0.37611780931618988</v>
      </c>
    </row>
    <row r="441" spans="1:18" x14ac:dyDescent="0.3">
      <c r="A441" t="s">
        <v>498</v>
      </c>
      <c r="B441" s="1">
        <v>45599</v>
      </c>
      <c r="C441" t="s">
        <v>5</v>
      </c>
      <c r="D441" t="s">
        <v>76</v>
      </c>
      <c r="E441" t="s">
        <v>25</v>
      </c>
      <c r="F441" t="s">
        <v>61</v>
      </c>
      <c r="G441" t="str">
        <f>INDEX(Lookup_Tables!$B$1:$B$7,MATCH(Cleaned_Data!F441,Lookup_Tables!$A$1:$A$7,0))</f>
        <v>Electronics</v>
      </c>
      <c r="H441" t="s">
        <v>54</v>
      </c>
      <c r="I441">
        <v>8</v>
      </c>
      <c r="J441">
        <v>39858</v>
      </c>
      <c r="K441">
        <v>0.1</v>
      </c>
      <c r="L441">
        <f t="shared" si="30"/>
        <v>0.1</v>
      </c>
      <c r="M441">
        <v>4863</v>
      </c>
      <c r="N441">
        <f t="shared" si="31"/>
        <v>318864</v>
      </c>
      <c r="O441">
        <f t="shared" si="32"/>
        <v>286977.59999999998</v>
      </c>
      <c r="P441">
        <f>I441*IFERROR(_xlfn.XLOOKUP(F441,Lookup_Tables!Product,Cost),0)</f>
        <v>59072</v>
      </c>
      <c r="Q441">
        <f t="shared" si="33"/>
        <v>227905.59999999998</v>
      </c>
      <c r="R441" s="2">
        <f t="shared" si="34"/>
        <v>0.7941581503225339</v>
      </c>
    </row>
    <row r="442" spans="1:18" x14ac:dyDescent="0.3">
      <c r="A442" t="s">
        <v>499</v>
      </c>
      <c r="B442" s="1">
        <v>45390</v>
      </c>
      <c r="C442" t="s">
        <v>5</v>
      </c>
      <c r="D442" t="s">
        <v>76</v>
      </c>
      <c r="E442" t="s">
        <v>29</v>
      </c>
      <c r="F442" t="s">
        <v>61</v>
      </c>
      <c r="G442" t="str">
        <f>INDEX(Lookup_Tables!$B$1:$B$7,MATCH(Cleaned_Data!F442,Lookup_Tables!$A$1:$A$7,0))</f>
        <v>Electronics</v>
      </c>
      <c r="H442" t="s">
        <v>54</v>
      </c>
      <c r="I442">
        <v>7</v>
      </c>
      <c r="J442">
        <v>18091</v>
      </c>
      <c r="K442">
        <v>0.1</v>
      </c>
      <c r="L442">
        <f t="shared" si="30"/>
        <v>0.1</v>
      </c>
      <c r="N442">
        <f t="shared" si="31"/>
        <v>126637</v>
      </c>
      <c r="O442">
        <f t="shared" si="32"/>
        <v>113973.3</v>
      </c>
      <c r="P442">
        <f>I442*IFERROR(_xlfn.XLOOKUP(F442,Lookup_Tables!Product,Cost),0)</f>
        <v>51688</v>
      </c>
      <c r="Q442">
        <f t="shared" si="33"/>
        <v>62285.3</v>
      </c>
      <c r="R442" s="2">
        <f t="shared" si="34"/>
        <v>0.54649027447656606</v>
      </c>
    </row>
    <row r="443" spans="1:18" x14ac:dyDescent="0.3">
      <c r="A443" t="s">
        <v>500</v>
      </c>
      <c r="B443" s="1">
        <v>45567</v>
      </c>
      <c r="C443" t="s">
        <v>3</v>
      </c>
      <c r="D443" t="s">
        <v>56</v>
      </c>
      <c r="E443" t="s">
        <v>29</v>
      </c>
      <c r="F443" t="s">
        <v>23</v>
      </c>
      <c r="G443" t="str">
        <f>INDEX(Lookup_Tables!$B$1:$B$7,MATCH(Cleaned_Data!F443,Lookup_Tables!$A$1:$A$7,0))</f>
        <v>Electronics</v>
      </c>
      <c r="H443" t="s">
        <v>54</v>
      </c>
      <c r="I443">
        <v>6</v>
      </c>
      <c r="J443">
        <v>4005</v>
      </c>
      <c r="L443">
        <f t="shared" si="30"/>
        <v>0</v>
      </c>
      <c r="M443">
        <v>22765</v>
      </c>
      <c r="N443">
        <f t="shared" si="31"/>
        <v>24030</v>
      </c>
      <c r="O443">
        <f t="shared" si="32"/>
        <v>24030</v>
      </c>
      <c r="P443">
        <f>I443*IFERROR(_xlfn.XLOOKUP(F443,Lookup_Tables!Product,Cost),0)</f>
        <v>115590</v>
      </c>
      <c r="Q443">
        <f t="shared" si="33"/>
        <v>-91560</v>
      </c>
      <c r="R443" s="2">
        <f t="shared" si="34"/>
        <v>-3.8102372034956304</v>
      </c>
    </row>
    <row r="444" spans="1:18" x14ac:dyDescent="0.3">
      <c r="A444" t="s">
        <v>501</v>
      </c>
      <c r="B444" s="1">
        <v>45437</v>
      </c>
      <c r="C444" t="s">
        <v>4</v>
      </c>
      <c r="D444" t="s">
        <v>53</v>
      </c>
      <c r="E444" t="s">
        <v>25</v>
      </c>
      <c r="F444" t="s">
        <v>50</v>
      </c>
      <c r="G444" t="str">
        <f>INDEX(Lookup_Tables!$B$1:$B$7,MATCH(Cleaned_Data!F444,Lookup_Tables!$A$1:$A$7,0))</f>
        <v>Furniture</v>
      </c>
      <c r="H444" t="s">
        <v>51</v>
      </c>
      <c r="I444">
        <v>6</v>
      </c>
      <c r="J444">
        <v>7704</v>
      </c>
      <c r="L444">
        <f t="shared" si="30"/>
        <v>0</v>
      </c>
      <c r="M444">
        <v>3748</v>
      </c>
      <c r="N444">
        <f t="shared" si="31"/>
        <v>46224</v>
      </c>
      <c r="O444">
        <f t="shared" si="32"/>
        <v>46224</v>
      </c>
      <c r="P444">
        <f>I444*IFERROR(_xlfn.XLOOKUP(F444,Lookup_Tables!Product,Cost),0)</f>
        <v>79626</v>
      </c>
      <c r="Q444">
        <f t="shared" si="33"/>
        <v>-33402</v>
      </c>
      <c r="R444" s="2">
        <f t="shared" si="34"/>
        <v>-0.72261163032191067</v>
      </c>
    </row>
    <row r="445" spans="1:18" x14ac:dyDescent="0.3">
      <c r="A445" t="s">
        <v>502</v>
      </c>
      <c r="B445" s="1">
        <v>45316</v>
      </c>
      <c r="C445" t="s">
        <v>6</v>
      </c>
      <c r="D445" t="s">
        <v>49</v>
      </c>
      <c r="E445" t="s">
        <v>27</v>
      </c>
      <c r="F445" t="s">
        <v>22</v>
      </c>
      <c r="G445" t="str">
        <f>INDEX(Lookup_Tables!$B$1:$B$7,MATCH(Cleaned_Data!F445,Lookup_Tables!$A$1:$A$7,0))</f>
        <v>Furniture</v>
      </c>
      <c r="H445" t="s">
        <v>51</v>
      </c>
      <c r="I445">
        <v>8</v>
      </c>
      <c r="J445">
        <v>25619</v>
      </c>
      <c r="K445">
        <v>0.05</v>
      </c>
      <c r="L445">
        <f t="shared" si="30"/>
        <v>0.05</v>
      </c>
      <c r="M445">
        <v>785</v>
      </c>
      <c r="N445">
        <f t="shared" si="31"/>
        <v>204952</v>
      </c>
      <c r="O445">
        <f t="shared" si="32"/>
        <v>194704.4</v>
      </c>
      <c r="P445">
        <f>I445*IFERROR(_xlfn.XLOOKUP(F445,Lookup_Tables!Product,Cost),0)</f>
        <v>104320</v>
      </c>
      <c r="Q445">
        <f t="shared" si="33"/>
        <v>90384.4</v>
      </c>
      <c r="R445" s="2">
        <f t="shared" si="34"/>
        <v>0.4642134435585431</v>
      </c>
    </row>
    <row r="446" spans="1:18" x14ac:dyDescent="0.3">
      <c r="A446" t="s">
        <v>503</v>
      </c>
      <c r="B446" s="1">
        <v>45626</v>
      </c>
      <c r="C446" t="s">
        <v>6</v>
      </c>
      <c r="D446" t="s">
        <v>76</v>
      </c>
      <c r="E446" t="s">
        <v>29</v>
      </c>
      <c r="F446" t="s">
        <v>58</v>
      </c>
      <c r="G446" t="str">
        <f>INDEX(Lookup_Tables!$B$1:$B$7,MATCH(Cleaned_Data!F446,Lookup_Tables!$A$1:$A$7,0))</f>
        <v>Electronics</v>
      </c>
      <c r="H446" t="s">
        <v>54</v>
      </c>
      <c r="I446">
        <v>4</v>
      </c>
      <c r="J446">
        <v>918</v>
      </c>
      <c r="K446">
        <v>0</v>
      </c>
      <c r="L446">
        <f t="shared" si="30"/>
        <v>0</v>
      </c>
      <c r="N446">
        <f t="shared" si="31"/>
        <v>3672</v>
      </c>
      <c r="O446">
        <f t="shared" si="32"/>
        <v>3672</v>
      </c>
      <c r="P446">
        <f>I446*IFERROR(_xlfn.XLOOKUP(F446,Lookup_Tables!Product,Cost),0)</f>
        <v>11552</v>
      </c>
      <c r="Q446">
        <f t="shared" si="33"/>
        <v>-7880</v>
      </c>
      <c r="R446" s="2">
        <f t="shared" si="34"/>
        <v>-2.1459694989106755</v>
      </c>
    </row>
    <row r="447" spans="1:18" x14ac:dyDescent="0.3">
      <c r="A447" t="s">
        <v>504</v>
      </c>
      <c r="B447" s="1">
        <v>45318</v>
      </c>
      <c r="C447" t="s">
        <v>4</v>
      </c>
      <c r="D447" t="s">
        <v>49</v>
      </c>
      <c r="E447" t="s">
        <v>26</v>
      </c>
      <c r="F447" t="s">
        <v>24</v>
      </c>
      <c r="G447" t="str">
        <f>INDEX(Lookup_Tables!$B$1:$B$7,MATCH(Cleaned_Data!F447,Lookup_Tables!$A$1:$A$7,0))</f>
        <v>Electronics</v>
      </c>
      <c r="H447" t="s">
        <v>54</v>
      </c>
      <c r="I447">
        <v>2</v>
      </c>
      <c r="J447">
        <v>41050</v>
      </c>
      <c r="L447">
        <f t="shared" si="30"/>
        <v>0</v>
      </c>
      <c r="N447">
        <f t="shared" si="31"/>
        <v>82100</v>
      </c>
      <c r="O447">
        <f t="shared" si="32"/>
        <v>82100</v>
      </c>
      <c r="P447">
        <f>I447*IFERROR(_xlfn.XLOOKUP(F447,Lookup_Tables!Product,Cost),0)</f>
        <v>56092</v>
      </c>
      <c r="Q447">
        <f t="shared" si="33"/>
        <v>26008</v>
      </c>
      <c r="R447" s="2">
        <f t="shared" si="34"/>
        <v>0.31678440925700363</v>
      </c>
    </row>
    <row r="448" spans="1:18" x14ac:dyDescent="0.3">
      <c r="A448" t="s">
        <v>505</v>
      </c>
      <c r="B448" s="1">
        <v>45424</v>
      </c>
      <c r="C448" t="s">
        <v>3</v>
      </c>
      <c r="D448" t="s">
        <v>76</v>
      </c>
      <c r="E448" t="s">
        <v>27</v>
      </c>
      <c r="F448" t="s">
        <v>50</v>
      </c>
      <c r="G448" t="str">
        <f>INDEX(Lookup_Tables!$B$1:$B$7,MATCH(Cleaned_Data!F448,Lookup_Tables!$A$1:$A$7,0))</f>
        <v>Furniture</v>
      </c>
      <c r="H448" t="s">
        <v>51</v>
      </c>
      <c r="I448">
        <v>2</v>
      </c>
      <c r="J448">
        <v>9119</v>
      </c>
      <c r="K448">
        <v>0.05</v>
      </c>
      <c r="L448">
        <f t="shared" si="30"/>
        <v>0.05</v>
      </c>
      <c r="N448">
        <f t="shared" si="31"/>
        <v>18238</v>
      </c>
      <c r="O448">
        <f t="shared" si="32"/>
        <v>17326.099999999999</v>
      </c>
      <c r="P448">
        <f>I448*IFERROR(_xlfn.XLOOKUP(F448,Lookup_Tables!Product,Cost),0)</f>
        <v>26542</v>
      </c>
      <c r="Q448">
        <f t="shared" si="33"/>
        <v>-9215.9000000000015</v>
      </c>
      <c r="R448" s="2">
        <f t="shared" si="34"/>
        <v>-0.53190850797351985</v>
      </c>
    </row>
    <row r="449" spans="1:18" x14ac:dyDescent="0.3">
      <c r="A449" t="s">
        <v>506</v>
      </c>
      <c r="B449" s="1">
        <v>45573</v>
      </c>
      <c r="C449" t="s">
        <v>5</v>
      </c>
      <c r="D449" t="s">
        <v>49</v>
      </c>
      <c r="E449" t="s">
        <v>26</v>
      </c>
      <c r="F449" t="s">
        <v>58</v>
      </c>
      <c r="G449" t="str">
        <f>INDEX(Lookup_Tables!$B$1:$B$7,MATCH(Cleaned_Data!F449,Lookup_Tables!$A$1:$A$7,0))</f>
        <v>Electronics</v>
      </c>
      <c r="H449" t="s">
        <v>54</v>
      </c>
      <c r="I449">
        <v>3</v>
      </c>
      <c r="J449">
        <v>15945</v>
      </c>
      <c r="K449">
        <v>0.1</v>
      </c>
      <c r="L449">
        <f t="shared" si="30"/>
        <v>0.1</v>
      </c>
      <c r="N449">
        <f t="shared" si="31"/>
        <v>47835</v>
      </c>
      <c r="O449">
        <f t="shared" si="32"/>
        <v>43051.5</v>
      </c>
      <c r="P449">
        <f>I449*IFERROR(_xlfn.XLOOKUP(F449,Lookup_Tables!Product,Cost),0)</f>
        <v>8664</v>
      </c>
      <c r="Q449">
        <f t="shared" si="33"/>
        <v>34387.5</v>
      </c>
      <c r="R449" s="2">
        <f t="shared" si="34"/>
        <v>0.79875265670185713</v>
      </c>
    </row>
    <row r="450" spans="1:18" x14ac:dyDescent="0.3">
      <c r="A450" t="s">
        <v>507</v>
      </c>
      <c r="B450" s="1">
        <v>45328</v>
      </c>
      <c r="C450" t="s">
        <v>3</v>
      </c>
      <c r="D450" t="s">
        <v>69</v>
      </c>
      <c r="E450" t="s">
        <v>28</v>
      </c>
      <c r="F450" t="s">
        <v>58</v>
      </c>
      <c r="G450" t="str">
        <f>INDEX(Lookup_Tables!$B$1:$B$7,MATCH(Cleaned_Data!F450,Lookup_Tables!$A$1:$A$7,0))</f>
        <v>Electronics</v>
      </c>
      <c r="H450" t="s">
        <v>54</v>
      </c>
      <c r="I450">
        <v>9</v>
      </c>
      <c r="J450">
        <v>38254</v>
      </c>
      <c r="L450">
        <f t="shared" si="30"/>
        <v>0</v>
      </c>
      <c r="N450">
        <f t="shared" si="31"/>
        <v>344286</v>
      </c>
      <c r="O450">
        <f t="shared" si="32"/>
        <v>344286</v>
      </c>
      <c r="P450">
        <f>I450*IFERROR(_xlfn.XLOOKUP(F450,Lookup_Tables!Product,Cost),0)</f>
        <v>25992</v>
      </c>
      <c r="Q450">
        <f t="shared" si="33"/>
        <v>318294</v>
      </c>
      <c r="R450" s="2">
        <f t="shared" si="34"/>
        <v>0.92450462696711455</v>
      </c>
    </row>
    <row r="451" spans="1:18" x14ac:dyDescent="0.3">
      <c r="A451" t="s">
        <v>508</v>
      </c>
      <c r="B451" s="1">
        <v>45399</v>
      </c>
      <c r="C451" t="s">
        <v>3</v>
      </c>
      <c r="D451" t="s">
        <v>64</v>
      </c>
      <c r="E451" t="s">
        <v>29</v>
      </c>
      <c r="F451" t="s">
        <v>58</v>
      </c>
      <c r="G451" t="str">
        <f>INDEX(Lookup_Tables!$B$1:$B$7,MATCH(Cleaned_Data!F451,Lookup_Tables!$A$1:$A$7,0))</f>
        <v>Electronics</v>
      </c>
      <c r="H451" t="s">
        <v>54</v>
      </c>
      <c r="I451">
        <v>7</v>
      </c>
      <c r="J451">
        <v>26357</v>
      </c>
      <c r="L451">
        <f t="shared" ref="L451:L514" si="35">IF(ISBLANK(K451),0,K451)</f>
        <v>0</v>
      </c>
      <c r="N451">
        <f t="shared" ref="N451:N514" si="36">I451*J451</f>
        <v>184499</v>
      </c>
      <c r="O451">
        <f t="shared" ref="O451:O514" si="37">N451-(N451*L451)</f>
        <v>184499</v>
      </c>
      <c r="P451">
        <f>I451*IFERROR(_xlfn.XLOOKUP(F451,Lookup_Tables!Product,Cost),0)</f>
        <v>20216</v>
      </c>
      <c r="Q451">
        <f t="shared" ref="Q451:Q514" si="38">O451-P451</f>
        <v>164283</v>
      </c>
      <c r="R451" s="2">
        <f t="shared" ref="R451:R514" si="39">Q451/O451</f>
        <v>0.89042759039344388</v>
      </c>
    </row>
    <row r="452" spans="1:18" x14ac:dyDescent="0.3">
      <c r="A452" t="s">
        <v>509</v>
      </c>
      <c r="B452" s="1">
        <v>45497</v>
      </c>
      <c r="C452" t="s">
        <v>5</v>
      </c>
      <c r="D452" t="s">
        <v>56</v>
      </c>
      <c r="E452" t="s">
        <v>26</v>
      </c>
      <c r="F452" t="s">
        <v>58</v>
      </c>
      <c r="G452" t="str">
        <f>INDEX(Lookup_Tables!$B$1:$B$7,MATCH(Cleaned_Data!F452,Lookup_Tables!$A$1:$A$7,0))</f>
        <v>Electronics</v>
      </c>
      <c r="H452" t="s">
        <v>54</v>
      </c>
      <c r="I452">
        <v>10</v>
      </c>
      <c r="J452">
        <v>44196</v>
      </c>
      <c r="K452">
        <v>0.05</v>
      </c>
      <c r="L452">
        <f t="shared" si="35"/>
        <v>0.05</v>
      </c>
      <c r="N452">
        <f t="shared" si="36"/>
        <v>441960</v>
      </c>
      <c r="O452">
        <f t="shared" si="37"/>
        <v>419862</v>
      </c>
      <c r="P452">
        <f>I452*IFERROR(_xlfn.XLOOKUP(F452,Lookup_Tables!Product,Cost),0)</f>
        <v>28880</v>
      </c>
      <c r="Q452">
        <f t="shared" si="38"/>
        <v>390982</v>
      </c>
      <c r="R452" s="2">
        <f t="shared" si="39"/>
        <v>0.93121549461489728</v>
      </c>
    </row>
    <row r="453" spans="1:18" x14ac:dyDescent="0.3">
      <c r="A453" t="s">
        <v>510</v>
      </c>
      <c r="B453" s="1">
        <v>45521</v>
      </c>
      <c r="C453" t="s">
        <v>3</v>
      </c>
      <c r="D453" t="s">
        <v>56</v>
      </c>
      <c r="E453" t="s">
        <v>28</v>
      </c>
      <c r="F453" t="s">
        <v>23</v>
      </c>
      <c r="G453" t="str">
        <f>INDEX(Lookup_Tables!$B$1:$B$7,MATCH(Cleaned_Data!F453,Lookup_Tables!$A$1:$A$7,0))</f>
        <v>Electronics</v>
      </c>
      <c r="H453" t="s">
        <v>54</v>
      </c>
      <c r="I453">
        <v>10</v>
      </c>
      <c r="J453">
        <v>11629</v>
      </c>
      <c r="K453">
        <v>0.05</v>
      </c>
      <c r="L453">
        <f t="shared" si="35"/>
        <v>0.05</v>
      </c>
      <c r="N453">
        <f t="shared" si="36"/>
        <v>116290</v>
      </c>
      <c r="O453">
        <f t="shared" si="37"/>
        <v>110475.5</v>
      </c>
      <c r="P453">
        <f>I453*IFERROR(_xlfn.XLOOKUP(F453,Lookup_Tables!Product,Cost),0)</f>
        <v>192650</v>
      </c>
      <c r="Q453">
        <f t="shared" si="38"/>
        <v>-82174.5</v>
      </c>
      <c r="R453" s="2">
        <f t="shared" si="39"/>
        <v>-0.74382555408212681</v>
      </c>
    </row>
    <row r="454" spans="1:18" x14ac:dyDescent="0.3">
      <c r="A454" t="s">
        <v>511</v>
      </c>
      <c r="B454" s="1">
        <v>45463</v>
      </c>
      <c r="C454" t="s">
        <v>4</v>
      </c>
      <c r="D454" t="s">
        <v>76</v>
      </c>
      <c r="E454" t="s">
        <v>26</v>
      </c>
      <c r="F454" t="s">
        <v>61</v>
      </c>
      <c r="G454" t="str">
        <f>INDEX(Lookup_Tables!$B$1:$B$7,MATCH(Cleaned_Data!F454,Lookup_Tables!$A$1:$A$7,0))</f>
        <v>Electronics</v>
      </c>
      <c r="H454" t="s">
        <v>54</v>
      </c>
      <c r="I454">
        <v>7</v>
      </c>
      <c r="J454">
        <v>48016</v>
      </c>
      <c r="K454">
        <v>0</v>
      </c>
      <c r="L454">
        <f t="shared" si="35"/>
        <v>0</v>
      </c>
      <c r="M454">
        <v>8644</v>
      </c>
      <c r="N454">
        <f t="shared" si="36"/>
        <v>336112</v>
      </c>
      <c r="O454">
        <f t="shared" si="37"/>
        <v>336112</v>
      </c>
      <c r="P454">
        <f>I454*IFERROR(_xlfn.XLOOKUP(F454,Lookup_Tables!Product,Cost),0)</f>
        <v>51688</v>
      </c>
      <c r="Q454">
        <f t="shared" si="38"/>
        <v>284424</v>
      </c>
      <c r="R454" s="2">
        <f t="shared" si="39"/>
        <v>0.84621792735754753</v>
      </c>
    </row>
    <row r="455" spans="1:18" x14ac:dyDescent="0.3">
      <c r="A455" t="s">
        <v>512</v>
      </c>
      <c r="B455" s="1">
        <v>45569</v>
      </c>
      <c r="C455" t="s">
        <v>6</v>
      </c>
      <c r="D455" t="s">
        <v>64</v>
      </c>
      <c r="E455" t="s">
        <v>26</v>
      </c>
      <c r="F455" t="s">
        <v>23</v>
      </c>
      <c r="G455" t="str">
        <f>INDEX(Lookup_Tables!$B$1:$B$7,MATCH(Cleaned_Data!F455,Lookup_Tables!$A$1:$A$7,0))</f>
        <v>Electronics</v>
      </c>
      <c r="H455" t="s">
        <v>54</v>
      </c>
      <c r="I455">
        <v>8</v>
      </c>
      <c r="J455">
        <v>28804</v>
      </c>
      <c r="L455">
        <f t="shared" si="35"/>
        <v>0</v>
      </c>
      <c r="N455">
        <f t="shared" si="36"/>
        <v>230432</v>
      </c>
      <c r="O455">
        <f t="shared" si="37"/>
        <v>230432</v>
      </c>
      <c r="P455">
        <f>I455*IFERROR(_xlfn.XLOOKUP(F455,Lookup_Tables!Product,Cost),0)</f>
        <v>154120</v>
      </c>
      <c r="Q455">
        <f t="shared" si="38"/>
        <v>76312</v>
      </c>
      <c r="R455" s="2">
        <f t="shared" si="39"/>
        <v>0.33116928204416052</v>
      </c>
    </row>
    <row r="456" spans="1:18" x14ac:dyDescent="0.3">
      <c r="A456" t="s">
        <v>513</v>
      </c>
      <c r="B456" s="1">
        <v>45623</v>
      </c>
      <c r="C456" t="s">
        <v>5</v>
      </c>
      <c r="D456" t="s">
        <v>49</v>
      </c>
      <c r="E456" t="s">
        <v>26</v>
      </c>
      <c r="F456" t="s">
        <v>23</v>
      </c>
      <c r="G456" t="str">
        <f>INDEX(Lookup_Tables!$B$1:$B$7,MATCH(Cleaned_Data!F456,Lookup_Tables!$A$1:$A$7,0))</f>
        <v>Electronics</v>
      </c>
      <c r="H456" t="s">
        <v>54</v>
      </c>
      <c r="I456">
        <v>7</v>
      </c>
      <c r="J456">
        <v>48561</v>
      </c>
      <c r="K456">
        <v>0</v>
      </c>
      <c r="L456">
        <f t="shared" si="35"/>
        <v>0</v>
      </c>
      <c r="M456">
        <v>24680</v>
      </c>
      <c r="N456">
        <f t="shared" si="36"/>
        <v>339927</v>
      </c>
      <c r="O456">
        <f t="shared" si="37"/>
        <v>339927</v>
      </c>
      <c r="P456">
        <f>I456*IFERROR(_xlfn.XLOOKUP(F456,Lookup_Tables!Product,Cost),0)</f>
        <v>134855</v>
      </c>
      <c r="Q456">
        <f t="shared" si="38"/>
        <v>205072</v>
      </c>
      <c r="R456" s="2">
        <f t="shared" si="39"/>
        <v>0.60328246947138653</v>
      </c>
    </row>
    <row r="457" spans="1:18" x14ac:dyDescent="0.3">
      <c r="A457" t="s">
        <v>514</v>
      </c>
      <c r="B457" s="1">
        <v>45516</v>
      </c>
      <c r="C457" t="s">
        <v>3</v>
      </c>
      <c r="D457" t="s">
        <v>64</v>
      </c>
      <c r="E457" t="s">
        <v>26</v>
      </c>
      <c r="F457" t="s">
        <v>23</v>
      </c>
      <c r="G457" t="str">
        <f>INDEX(Lookup_Tables!$B$1:$B$7,MATCH(Cleaned_Data!F457,Lookup_Tables!$A$1:$A$7,0))</f>
        <v>Electronics</v>
      </c>
      <c r="H457" t="s">
        <v>54</v>
      </c>
      <c r="I457">
        <v>2</v>
      </c>
      <c r="J457">
        <v>31530</v>
      </c>
      <c r="K457">
        <v>0.05</v>
      </c>
      <c r="L457">
        <f t="shared" si="35"/>
        <v>0.05</v>
      </c>
      <c r="N457">
        <f t="shared" si="36"/>
        <v>63060</v>
      </c>
      <c r="O457">
        <f t="shared" si="37"/>
        <v>59907</v>
      </c>
      <c r="P457">
        <f>I457*IFERROR(_xlfn.XLOOKUP(F457,Lookup_Tables!Product,Cost),0)</f>
        <v>38530</v>
      </c>
      <c r="Q457">
        <f t="shared" si="38"/>
        <v>21377</v>
      </c>
      <c r="R457" s="2">
        <f t="shared" si="39"/>
        <v>0.35683642979952257</v>
      </c>
    </row>
    <row r="458" spans="1:18" x14ac:dyDescent="0.3">
      <c r="A458" t="s">
        <v>515</v>
      </c>
      <c r="B458" s="1">
        <v>45459</v>
      </c>
      <c r="C458" t="s">
        <v>5</v>
      </c>
      <c r="D458" t="s">
        <v>76</v>
      </c>
      <c r="E458" t="s">
        <v>25</v>
      </c>
      <c r="F458" t="s">
        <v>23</v>
      </c>
      <c r="G458" t="str">
        <f>INDEX(Lookup_Tables!$B$1:$B$7,MATCH(Cleaned_Data!F458,Lookup_Tables!$A$1:$A$7,0))</f>
        <v>Electronics</v>
      </c>
      <c r="H458" t="s">
        <v>54</v>
      </c>
      <c r="I458">
        <v>6</v>
      </c>
      <c r="J458">
        <v>38837</v>
      </c>
      <c r="L458">
        <f t="shared" si="35"/>
        <v>0</v>
      </c>
      <c r="N458">
        <f t="shared" si="36"/>
        <v>233022</v>
      </c>
      <c r="O458">
        <f t="shared" si="37"/>
        <v>233022</v>
      </c>
      <c r="P458">
        <f>I458*IFERROR(_xlfn.XLOOKUP(F458,Lookup_Tables!Product,Cost),0)</f>
        <v>115590</v>
      </c>
      <c r="Q458">
        <f t="shared" si="38"/>
        <v>117432</v>
      </c>
      <c r="R458" s="2">
        <f t="shared" si="39"/>
        <v>0.50395241651002909</v>
      </c>
    </row>
    <row r="459" spans="1:18" x14ac:dyDescent="0.3">
      <c r="A459" t="s">
        <v>516</v>
      </c>
      <c r="B459" s="1">
        <v>45377</v>
      </c>
      <c r="C459" t="s">
        <v>5</v>
      </c>
      <c r="D459" t="s">
        <v>49</v>
      </c>
      <c r="E459" t="s">
        <v>25</v>
      </c>
      <c r="F459" t="s">
        <v>50</v>
      </c>
      <c r="G459" t="str">
        <f>INDEX(Lookup_Tables!$B$1:$B$7,MATCH(Cleaned_Data!F459,Lookup_Tables!$A$1:$A$7,0))</f>
        <v>Furniture</v>
      </c>
      <c r="H459" t="s">
        <v>51</v>
      </c>
      <c r="I459">
        <v>5</v>
      </c>
      <c r="J459">
        <v>7712</v>
      </c>
      <c r="K459">
        <v>0.1</v>
      </c>
      <c r="L459">
        <f t="shared" si="35"/>
        <v>0.1</v>
      </c>
      <c r="N459">
        <f t="shared" si="36"/>
        <v>38560</v>
      </c>
      <c r="O459">
        <f t="shared" si="37"/>
        <v>34704</v>
      </c>
      <c r="P459">
        <f>I459*IFERROR(_xlfn.XLOOKUP(F459,Lookup_Tables!Product,Cost),0)</f>
        <v>66355</v>
      </c>
      <c r="Q459">
        <f t="shared" si="38"/>
        <v>-31651</v>
      </c>
      <c r="R459" s="2">
        <f t="shared" si="39"/>
        <v>-0.91202743199631164</v>
      </c>
    </row>
    <row r="460" spans="1:18" x14ac:dyDescent="0.3">
      <c r="A460" t="s">
        <v>517</v>
      </c>
      <c r="B460" s="1">
        <v>45532</v>
      </c>
      <c r="C460" t="s">
        <v>3</v>
      </c>
      <c r="D460" t="s">
        <v>53</v>
      </c>
      <c r="E460" t="s">
        <v>29</v>
      </c>
      <c r="F460" t="s">
        <v>22</v>
      </c>
      <c r="G460" t="str">
        <f>INDEX(Lookup_Tables!$B$1:$B$7,MATCH(Cleaned_Data!F460,Lookup_Tables!$A$1:$A$7,0))</f>
        <v>Furniture</v>
      </c>
      <c r="H460" t="s">
        <v>51</v>
      </c>
      <c r="I460">
        <v>9</v>
      </c>
      <c r="J460">
        <v>41752</v>
      </c>
      <c r="K460">
        <v>0</v>
      </c>
      <c r="L460">
        <f t="shared" si="35"/>
        <v>0</v>
      </c>
      <c r="N460">
        <f t="shared" si="36"/>
        <v>375768</v>
      </c>
      <c r="O460">
        <f t="shared" si="37"/>
        <v>375768</v>
      </c>
      <c r="P460">
        <f>I460*IFERROR(_xlfn.XLOOKUP(F460,Lookup_Tables!Product,Cost),0)</f>
        <v>117360</v>
      </c>
      <c r="Q460">
        <f t="shared" si="38"/>
        <v>258408</v>
      </c>
      <c r="R460" s="2">
        <f t="shared" si="39"/>
        <v>0.68767963211343164</v>
      </c>
    </row>
    <row r="461" spans="1:18" x14ac:dyDescent="0.3">
      <c r="A461" t="s">
        <v>518</v>
      </c>
      <c r="B461" s="1">
        <v>45592</v>
      </c>
      <c r="C461" t="s">
        <v>5</v>
      </c>
      <c r="D461" t="s">
        <v>49</v>
      </c>
      <c r="E461" t="s">
        <v>27</v>
      </c>
      <c r="F461" t="s">
        <v>22</v>
      </c>
      <c r="G461" t="str">
        <f>INDEX(Lookup_Tables!$B$1:$B$7,MATCH(Cleaned_Data!F461,Lookup_Tables!$A$1:$A$7,0))</f>
        <v>Furniture</v>
      </c>
      <c r="H461" t="s">
        <v>51</v>
      </c>
      <c r="I461">
        <v>8</v>
      </c>
      <c r="J461">
        <v>45206</v>
      </c>
      <c r="K461">
        <v>0.05</v>
      </c>
      <c r="L461">
        <f t="shared" si="35"/>
        <v>0.05</v>
      </c>
      <c r="M461">
        <v>26119</v>
      </c>
      <c r="N461">
        <f t="shared" si="36"/>
        <v>361648</v>
      </c>
      <c r="O461">
        <f t="shared" si="37"/>
        <v>343565.6</v>
      </c>
      <c r="P461">
        <f>I461*IFERROR(_xlfn.XLOOKUP(F461,Lookup_Tables!Product,Cost),0)</f>
        <v>104320</v>
      </c>
      <c r="Q461">
        <f t="shared" si="38"/>
        <v>239245.59999999998</v>
      </c>
      <c r="R461" s="2">
        <f t="shared" si="39"/>
        <v>0.69636075323024194</v>
      </c>
    </row>
    <row r="462" spans="1:18" x14ac:dyDescent="0.3">
      <c r="A462" t="s">
        <v>519</v>
      </c>
      <c r="B462" s="1">
        <v>45294</v>
      </c>
      <c r="C462" t="s">
        <v>3</v>
      </c>
      <c r="D462" t="s">
        <v>49</v>
      </c>
      <c r="E462" t="s">
        <v>28</v>
      </c>
      <c r="F462" t="s">
        <v>22</v>
      </c>
      <c r="G462" t="str">
        <f>INDEX(Lookup_Tables!$B$1:$B$7,MATCH(Cleaned_Data!F462,Lookup_Tables!$A$1:$A$7,0))</f>
        <v>Furniture</v>
      </c>
      <c r="H462" t="s">
        <v>51</v>
      </c>
      <c r="I462">
        <v>9</v>
      </c>
      <c r="J462">
        <v>6523</v>
      </c>
      <c r="K462">
        <v>0.1</v>
      </c>
      <c r="L462">
        <f t="shared" si="35"/>
        <v>0.1</v>
      </c>
      <c r="N462">
        <f t="shared" si="36"/>
        <v>58707</v>
      </c>
      <c r="O462">
        <f t="shared" si="37"/>
        <v>52836.3</v>
      </c>
      <c r="P462">
        <f>I462*IFERROR(_xlfn.XLOOKUP(F462,Lookup_Tables!Product,Cost),0)</f>
        <v>117360</v>
      </c>
      <c r="Q462">
        <f t="shared" si="38"/>
        <v>-64523.7</v>
      </c>
      <c r="R462" s="2">
        <f t="shared" si="39"/>
        <v>-1.2212001975914284</v>
      </c>
    </row>
    <row r="463" spans="1:18" x14ac:dyDescent="0.3">
      <c r="A463" t="s">
        <v>520</v>
      </c>
      <c r="B463" s="1">
        <v>45520</v>
      </c>
      <c r="C463" t="s">
        <v>6</v>
      </c>
      <c r="D463" t="s">
        <v>56</v>
      </c>
      <c r="E463" t="s">
        <v>27</v>
      </c>
      <c r="F463" t="s">
        <v>22</v>
      </c>
      <c r="G463" t="str">
        <f>INDEX(Lookup_Tables!$B$1:$B$7,MATCH(Cleaned_Data!F463,Lookup_Tables!$A$1:$A$7,0))</f>
        <v>Furniture</v>
      </c>
      <c r="H463" t="s">
        <v>51</v>
      </c>
      <c r="I463">
        <v>8</v>
      </c>
      <c r="J463">
        <v>30450</v>
      </c>
      <c r="K463">
        <v>0.05</v>
      </c>
      <c r="L463">
        <f t="shared" si="35"/>
        <v>0.05</v>
      </c>
      <c r="M463">
        <v>24771</v>
      </c>
      <c r="N463">
        <f t="shared" si="36"/>
        <v>243600</v>
      </c>
      <c r="O463">
        <f t="shared" si="37"/>
        <v>231420</v>
      </c>
      <c r="P463">
        <f>I463*IFERROR(_xlfn.XLOOKUP(F463,Lookup_Tables!Product,Cost),0)</f>
        <v>104320</v>
      </c>
      <c r="Q463">
        <f t="shared" si="38"/>
        <v>127100</v>
      </c>
      <c r="R463" s="2">
        <f t="shared" si="39"/>
        <v>0.54921787226687413</v>
      </c>
    </row>
    <row r="464" spans="1:18" x14ac:dyDescent="0.3">
      <c r="A464" t="s">
        <v>521</v>
      </c>
      <c r="B464" s="1">
        <v>45430</v>
      </c>
      <c r="C464" t="s">
        <v>5</v>
      </c>
      <c r="D464" t="s">
        <v>69</v>
      </c>
      <c r="E464" t="s">
        <v>27</v>
      </c>
      <c r="F464" t="s">
        <v>50</v>
      </c>
      <c r="G464" t="str">
        <f>INDEX(Lookup_Tables!$B$1:$B$7,MATCH(Cleaned_Data!F464,Lookup_Tables!$A$1:$A$7,0))</f>
        <v>Furniture</v>
      </c>
      <c r="H464" t="s">
        <v>51</v>
      </c>
      <c r="I464">
        <v>2</v>
      </c>
      <c r="J464">
        <v>46475</v>
      </c>
      <c r="K464">
        <v>0.1</v>
      </c>
      <c r="L464">
        <f t="shared" si="35"/>
        <v>0.1</v>
      </c>
      <c r="N464">
        <f t="shared" si="36"/>
        <v>92950</v>
      </c>
      <c r="O464">
        <f t="shared" si="37"/>
        <v>83655</v>
      </c>
      <c r="P464">
        <f>I464*IFERROR(_xlfn.XLOOKUP(F464,Lookup_Tables!Product,Cost),0)</f>
        <v>26542</v>
      </c>
      <c r="Q464">
        <f t="shared" si="38"/>
        <v>57113</v>
      </c>
      <c r="R464" s="2">
        <f t="shared" si="39"/>
        <v>0.68272069810531344</v>
      </c>
    </row>
    <row r="465" spans="1:18" x14ac:dyDescent="0.3">
      <c r="A465" t="s">
        <v>522</v>
      </c>
      <c r="B465" s="1">
        <v>45513</v>
      </c>
      <c r="C465" t="s">
        <v>5</v>
      </c>
      <c r="D465" t="s">
        <v>69</v>
      </c>
      <c r="E465" t="s">
        <v>27</v>
      </c>
      <c r="F465" t="s">
        <v>58</v>
      </c>
      <c r="G465" t="str">
        <f>INDEX(Lookup_Tables!$B$1:$B$7,MATCH(Cleaned_Data!F465,Lookup_Tables!$A$1:$A$7,0))</f>
        <v>Electronics</v>
      </c>
      <c r="H465" t="s">
        <v>54</v>
      </c>
      <c r="I465">
        <v>3</v>
      </c>
      <c r="J465">
        <v>7799</v>
      </c>
      <c r="K465">
        <v>0.1</v>
      </c>
      <c r="L465">
        <f t="shared" si="35"/>
        <v>0.1</v>
      </c>
      <c r="M465">
        <v>17480</v>
      </c>
      <c r="N465">
        <f t="shared" si="36"/>
        <v>23397</v>
      </c>
      <c r="O465">
        <f t="shared" si="37"/>
        <v>21057.3</v>
      </c>
      <c r="P465">
        <f>I465*IFERROR(_xlfn.XLOOKUP(F465,Lookup_Tables!Product,Cost),0)</f>
        <v>8664</v>
      </c>
      <c r="Q465">
        <f t="shared" si="38"/>
        <v>12393.3</v>
      </c>
      <c r="R465" s="2">
        <f t="shared" si="39"/>
        <v>0.58855123876280435</v>
      </c>
    </row>
    <row r="466" spans="1:18" x14ac:dyDescent="0.3">
      <c r="A466" t="s">
        <v>523</v>
      </c>
      <c r="B466" s="1">
        <v>45591</v>
      </c>
      <c r="C466" t="s">
        <v>6</v>
      </c>
      <c r="D466" t="s">
        <v>64</v>
      </c>
      <c r="E466" t="s">
        <v>26</v>
      </c>
      <c r="F466" t="s">
        <v>24</v>
      </c>
      <c r="G466" t="str">
        <f>INDEX(Lookup_Tables!$B$1:$B$7,MATCH(Cleaned_Data!F466,Lookup_Tables!$A$1:$A$7,0))</f>
        <v>Electronics</v>
      </c>
      <c r="H466" t="s">
        <v>54</v>
      </c>
      <c r="I466">
        <v>5</v>
      </c>
      <c r="J466">
        <v>1122</v>
      </c>
      <c r="K466">
        <v>0</v>
      </c>
      <c r="L466">
        <f t="shared" si="35"/>
        <v>0</v>
      </c>
      <c r="N466">
        <f t="shared" si="36"/>
        <v>5610</v>
      </c>
      <c r="O466">
        <f t="shared" si="37"/>
        <v>5610</v>
      </c>
      <c r="P466">
        <f>I466*IFERROR(_xlfn.XLOOKUP(F466,Lookup_Tables!Product,Cost),0)</f>
        <v>140230</v>
      </c>
      <c r="Q466">
        <f t="shared" si="38"/>
        <v>-134620</v>
      </c>
      <c r="R466" s="2">
        <f t="shared" si="39"/>
        <v>-23.996434937611408</v>
      </c>
    </row>
    <row r="467" spans="1:18" x14ac:dyDescent="0.3">
      <c r="A467" t="s">
        <v>524</v>
      </c>
      <c r="B467" s="1">
        <v>45294</v>
      </c>
      <c r="C467" t="s">
        <v>5</v>
      </c>
      <c r="D467" t="s">
        <v>69</v>
      </c>
      <c r="E467" t="s">
        <v>28</v>
      </c>
      <c r="F467" t="s">
        <v>61</v>
      </c>
      <c r="G467" t="str">
        <f>INDEX(Lookup_Tables!$B$1:$B$7,MATCH(Cleaned_Data!F467,Lookup_Tables!$A$1:$A$7,0))</f>
        <v>Electronics</v>
      </c>
      <c r="H467" t="s">
        <v>54</v>
      </c>
      <c r="I467">
        <v>5</v>
      </c>
      <c r="J467">
        <v>48459</v>
      </c>
      <c r="K467">
        <v>0.05</v>
      </c>
      <c r="L467">
        <f t="shared" si="35"/>
        <v>0.05</v>
      </c>
      <c r="N467">
        <f t="shared" si="36"/>
        <v>242295</v>
      </c>
      <c r="O467">
        <f t="shared" si="37"/>
        <v>230180.25</v>
      </c>
      <c r="P467">
        <f>I467*IFERROR(_xlfn.XLOOKUP(F467,Lookup_Tables!Product,Cost),0)</f>
        <v>36920</v>
      </c>
      <c r="Q467">
        <f t="shared" si="38"/>
        <v>193260.25</v>
      </c>
      <c r="R467" s="2">
        <f t="shared" si="39"/>
        <v>0.8396039625467433</v>
      </c>
    </row>
    <row r="468" spans="1:18" x14ac:dyDescent="0.3">
      <c r="A468" t="s">
        <v>525</v>
      </c>
      <c r="B468" s="1">
        <v>45351</v>
      </c>
      <c r="C468" t="s">
        <v>3</v>
      </c>
      <c r="D468" t="s">
        <v>69</v>
      </c>
      <c r="E468" t="s">
        <v>26</v>
      </c>
      <c r="F468" t="s">
        <v>58</v>
      </c>
      <c r="G468" t="str">
        <f>INDEX(Lookup_Tables!$B$1:$B$7,MATCH(Cleaned_Data!F468,Lookup_Tables!$A$1:$A$7,0))</f>
        <v>Electronics</v>
      </c>
      <c r="H468" t="s">
        <v>54</v>
      </c>
      <c r="I468">
        <v>4</v>
      </c>
      <c r="J468">
        <v>47867</v>
      </c>
      <c r="K468">
        <v>0.05</v>
      </c>
      <c r="L468">
        <f t="shared" si="35"/>
        <v>0.05</v>
      </c>
      <c r="N468">
        <f t="shared" si="36"/>
        <v>191468</v>
      </c>
      <c r="O468">
        <f t="shared" si="37"/>
        <v>181894.6</v>
      </c>
      <c r="P468">
        <f>I468*IFERROR(_xlfn.XLOOKUP(F468,Lookup_Tables!Product,Cost),0)</f>
        <v>11552</v>
      </c>
      <c r="Q468">
        <f t="shared" si="38"/>
        <v>170342.6</v>
      </c>
      <c r="R468" s="2">
        <f t="shared" si="39"/>
        <v>0.93649069296174814</v>
      </c>
    </row>
    <row r="469" spans="1:18" x14ac:dyDescent="0.3">
      <c r="A469" t="s">
        <v>526</v>
      </c>
      <c r="B469" s="1">
        <v>45566</v>
      </c>
      <c r="C469" t="s">
        <v>6</v>
      </c>
      <c r="D469" t="s">
        <v>49</v>
      </c>
      <c r="E469" t="s">
        <v>26</v>
      </c>
      <c r="F469" t="s">
        <v>23</v>
      </c>
      <c r="G469" t="str">
        <f>INDEX(Lookup_Tables!$B$1:$B$7,MATCH(Cleaned_Data!F469,Lookup_Tables!$A$1:$A$7,0))</f>
        <v>Electronics</v>
      </c>
      <c r="H469" t="s">
        <v>54</v>
      </c>
      <c r="I469">
        <v>10</v>
      </c>
      <c r="J469">
        <v>45363</v>
      </c>
      <c r="K469">
        <v>0.05</v>
      </c>
      <c r="L469">
        <f t="shared" si="35"/>
        <v>0.05</v>
      </c>
      <c r="N469">
        <f t="shared" si="36"/>
        <v>453630</v>
      </c>
      <c r="O469">
        <f t="shared" si="37"/>
        <v>430948.5</v>
      </c>
      <c r="P469">
        <f>I469*IFERROR(_xlfn.XLOOKUP(F469,Lookup_Tables!Product,Cost),0)</f>
        <v>192650</v>
      </c>
      <c r="Q469">
        <f t="shared" si="38"/>
        <v>238298.5</v>
      </c>
      <c r="R469" s="2">
        <f t="shared" si="39"/>
        <v>0.5529628250243358</v>
      </c>
    </row>
    <row r="470" spans="1:18" x14ac:dyDescent="0.3">
      <c r="A470" t="s">
        <v>527</v>
      </c>
      <c r="B470" s="1">
        <v>45498</v>
      </c>
      <c r="C470" t="s">
        <v>6</v>
      </c>
      <c r="D470" t="s">
        <v>76</v>
      </c>
      <c r="E470" t="s">
        <v>25</v>
      </c>
      <c r="F470" t="s">
        <v>58</v>
      </c>
      <c r="G470" t="str">
        <f>INDEX(Lookup_Tables!$B$1:$B$7,MATCH(Cleaned_Data!F470,Lookup_Tables!$A$1:$A$7,0))</f>
        <v>Electronics</v>
      </c>
      <c r="H470" t="s">
        <v>54</v>
      </c>
      <c r="I470">
        <v>8</v>
      </c>
      <c r="J470">
        <v>6474</v>
      </c>
      <c r="L470">
        <f t="shared" si="35"/>
        <v>0</v>
      </c>
      <c r="M470">
        <v>6595</v>
      </c>
      <c r="N470">
        <f t="shared" si="36"/>
        <v>51792</v>
      </c>
      <c r="O470">
        <f t="shared" si="37"/>
        <v>51792</v>
      </c>
      <c r="P470">
        <f>I470*IFERROR(_xlfn.XLOOKUP(F470,Lookup_Tables!Product,Cost),0)</f>
        <v>23104</v>
      </c>
      <c r="Q470">
        <f t="shared" si="38"/>
        <v>28688</v>
      </c>
      <c r="R470" s="2">
        <f t="shared" si="39"/>
        <v>0.55390793945010808</v>
      </c>
    </row>
    <row r="471" spans="1:18" x14ac:dyDescent="0.3">
      <c r="A471" t="s">
        <v>528</v>
      </c>
      <c r="B471" s="1">
        <v>45653</v>
      </c>
      <c r="C471" t="s">
        <v>6</v>
      </c>
      <c r="D471" t="s">
        <v>69</v>
      </c>
      <c r="E471" t="s">
        <v>28</v>
      </c>
      <c r="F471" t="s">
        <v>23</v>
      </c>
      <c r="G471" t="str">
        <f>INDEX(Lookup_Tables!$B$1:$B$7,MATCH(Cleaned_Data!F471,Lookup_Tables!$A$1:$A$7,0))</f>
        <v>Electronics</v>
      </c>
      <c r="H471" t="s">
        <v>54</v>
      </c>
      <c r="I471">
        <v>2</v>
      </c>
      <c r="J471">
        <v>15799</v>
      </c>
      <c r="L471">
        <f t="shared" si="35"/>
        <v>0</v>
      </c>
      <c r="N471">
        <f t="shared" si="36"/>
        <v>31598</v>
      </c>
      <c r="O471">
        <f t="shared" si="37"/>
        <v>31598</v>
      </c>
      <c r="P471">
        <f>I471*IFERROR(_xlfn.XLOOKUP(F471,Lookup_Tables!Product,Cost),0)</f>
        <v>38530</v>
      </c>
      <c r="Q471">
        <f t="shared" si="38"/>
        <v>-6932</v>
      </c>
      <c r="R471" s="2">
        <f t="shared" si="39"/>
        <v>-0.21938097347933413</v>
      </c>
    </row>
    <row r="472" spans="1:18" x14ac:dyDescent="0.3">
      <c r="A472" t="s">
        <v>529</v>
      </c>
      <c r="B472" s="1">
        <v>45591</v>
      </c>
      <c r="C472" t="s">
        <v>6</v>
      </c>
      <c r="D472" t="s">
        <v>53</v>
      </c>
      <c r="E472" t="s">
        <v>27</v>
      </c>
      <c r="F472" t="s">
        <v>61</v>
      </c>
      <c r="G472" t="str">
        <f>INDEX(Lookup_Tables!$B$1:$B$7,MATCH(Cleaned_Data!F472,Lookup_Tables!$A$1:$A$7,0))</f>
        <v>Electronics</v>
      </c>
      <c r="H472" t="s">
        <v>54</v>
      </c>
      <c r="I472">
        <v>2</v>
      </c>
      <c r="J472">
        <v>18072</v>
      </c>
      <c r="K472">
        <v>0.05</v>
      </c>
      <c r="L472">
        <f t="shared" si="35"/>
        <v>0.05</v>
      </c>
      <c r="N472">
        <f t="shared" si="36"/>
        <v>36144</v>
      </c>
      <c r="O472">
        <f t="shared" si="37"/>
        <v>34336.800000000003</v>
      </c>
      <c r="P472">
        <f>I472*IFERROR(_xlfn.XLOOKUP(F472,Lookup_Tables!Product,Cost),0)</f>
        <v>14768</v>
      </c>
      <c r="Q472">
        <f t="shared" si="38"/>
        <v>19568.800000000003</v>
      </c>
      <c r="R472" s="2">
        <f t="shared" si="39"/>
        <v>0.56990750448498406</v>
      </c>
    </row>
    <row r="473" spans="1:18" x14ac:dyDescent="0.3">
      <c r="A473" t="s">
        <v>530</v>
      </c>
      <c r="B473" s="1">
        <v>45423</v>
      </c>
      <c r="C473" t="s">
        <v>6</v>
      </c>
      <c r="D473" t="s">
        <v>64</v>
      </c>
      <c r="E473" t="s">
        <v>25</v>
      </c>
      <c r="F473" t="s">
        <v>58</v>
      </c>
      <c r="G473" t="str">
        <f>INDEX(Lookup_Tables!$B$1:$B$7,MATCH(Cleaned_Data!F473,Lookup_Tables!$A$1:$A$7,0))</f>
        <v>Electronics</v>
      </c>
      <c r="H473" t="s">
        <v>54</v>
      </c>
      <c r="I473">
        <v>8</v>
      </c>
      <c r="J473">
        <v>36185</v>
      </c>
      <c r="K473">
        <v>0.1</v>
      </c>
      <c r="L473">
        <f t="shared" si="35"/>
        <v>0.1</v>
      </c>
      <c r="M473">
        <v>13840</v>
      </c>
      <c r="N473">
        <f t="shared" si="36"/>
        <v>289480</v>
      </c>
      <c r="O473">
        <f t="shared" si="37"/>
        <v>260532</v>
      </c>
      <c r="P473">
        <f>I473*IFERROR(_xlfn.XLOOKUP(F473,Lookup_Tables!Product,Cost),0)</f>
        <v>23104</v>
      </c>
      <c r="Q473">
        <f t="shared" si="38"/>
        <v>237428</v>
      </c>
      <c r="R473" s="2">
        <f t="shared" si="39"/>
        <v>0.91131991463620587</v>
      </c>
    </row>
    <row r="474" spans="1:18" x14ac:dyDescent="0.3">
      <c r="A474" t="s">
        <v>531</v>
      </c>
      <c r="B474" s="1">
        <v>45643</v>
      </c>
      <c r="C474" t="s">
        <v>5</v>
      </c>
      <c r="D474" t="s">
        <v>53</v>
      </c>
      <c r="E474" t="s">
        <v>29</v>
      </c>
      <c r="F474" t="s">
        <v>23</v>
      </c>
      <c r="G474" t="str">
        <f>INDEX(Lookup_Tables!$B$1:$B$7,MATCH(Cleaned_Data!F474,Lookup_Tables!$A$1:$A$7,0))</f>
        <v>Electronics</v>
      </c>
      <c r="H474" t="s">
        <v>54</v>
      </c>
      <c r="I474">
        <v>3</v>
      </c>
      <c r="J474">
        <v>44091</v>
      </c>
      <c r="K474">
        <v>0</v>
      </c>
      <c r="L474">
        <f t="shared" si="35"/>
        <v>0</v>
      </c>
      <c r="M474">
        <v>25640</v>
      </c>
      <c r="N474">
        <f t="shared" si="36"/>
        <v>132273</v>
      </c>
      <c r="O474">
        <f t="shared" si="37"/>
        <v>132273</v>
      </c>
      <c r="P474">
        <f>I474*IFERROR(_xlfn.XLOOKUP(F474,Lookup_Tables!Product,Cost),0)</f>
        <v>57795</v>
      </c>
      <c r="Q474">
        <f t="shared" si="38"/>
        <v>74478</v>
      </c>
      <c r="R474" s="2">
        <f t="shared" si="39"/>
        <v>0.56306275657163596</v>
      </c>
    </row>
    <row r="475" spans="1:18" x14ac:dyDescent="0.3">
      <c r="A475" t="s">
        <v>532</v>
      </c>
      <c r="B475" s="1">
        <v>45402</v>
      </c>
      <c r="C475" t="s">
        <v>3</v>
      </c>
      <c r="D475" t="s">
        <v>53</v>
      </c>
      <c r="E475" t="s">
        <v>27</v>
      </c>
      <c r="F475" t="s">
        <v>58</v>
      </c>
      <c r="G475" t="str">
        <f>INDEX(Lookup_Tables!$B$1:$B$7,MATCH(Cleaned_Data!F475,Lookup_Tables!$A$1:$A$7,0))</f>
        <v>Electronics</v>
      </c>
      <c r="H475" t="s">
        <v>54</v>
      </c>
      <c r="I475">
        <v>4</v>
      </c>
      <c r="J475">
        <v>31279</v>
      </c>
      <c r="K475">
        <v>0</v>
      </c>
      <c r="L475">
        <f t="shared" si="35"/>
        <v>0</v>
      </c>
      <c r="N475">
        <f t="shared" si="36"/>
        <v>125116</v>
      </c>
      <c r="O475">
        <f t="shared" si="37"/>
        <v>125116</v>
      </c>
      <c r="P475">
        <f>I475*IFERROR(_xlfn.XLOOKUP(F475,Lookup_Tables!Product,Cost),0)</f>
        <v>11552</v>
      </c>
      <c r="Q475">
        <f t="shared" si="38"/>
        <v>113564</v>
      </c>
      <c r="R475" s="2">
        <f t="shared" si="39"/>
        <v>0.90766968253460789</v>
      </c>
    </row>
    <row r="476" spans="1:18" x14ac:dyDescent="0.3">
      <c r="A476" t="s">
        <v>533</v>
      </c>
      <c r="B476" s="1">
        <v>45636</v>
      </c>
      <c r="C476" t="s">
        <v>3</v>
      </c>
      <c r="D476" t="s">
        <v>64</v>
      </c>
      <c r="E476" t="s">
        <v>26</v>
      </c>
      <c r="F476" t="s">
        <v>24</v>
      </c>
      <c r="G476" t="str">
        <f>INDEX(Lookup_Tables!$B$1:$B$7,MATCH(Cleaned_Data!F476,Lookup_Tables!$A$1:$A$7,0))</f>
        <v>Electronics</v>
      </c>
      <c r="H476" t="s">
        <v>54</v>
      </c>
      <c r="I476">
        <v>6</v>
      </c>
      <c r="J476">
        <v>38494</v>
      </c>
      <c r="K476">
        <v>0</v>
      </c>
      <c r="L476">
        <f t="shared" si="35"/>
        <v>0</v>
      </c>
      <c r="N476">
        <f t="shared" si="36"/>
        <v>230964</v>
      </c>
      <c r="O476">
        <f t="shared" si="37"/>
        <v>230964</v>
      </c>
      <c r="P476">
        <f>I476*IFERROR(_xlfn.XLOOKUP(F476,Lookup_Tables!Product,Cost),0)</f>
        <v>168276</v>
      </c>
      <c r="Q476">
        <f t="shared" si="38"/>
        <v>62688</v>
      </c>
      <c r="R476" s="2">
        <f t="shared" si="39"/>
        <v>0.27141892242946952</v>
      </c>
    </row>
    <row r="477" spans="1:18" x14ac:dyDescent="0.3">
      <c r="A477" t="s">
        <v>534</v>
      </c>
      <c r="B477" s="1">
        <v>45527</v>
      </c>
      <c r="C477" t="s">
        <v>6</v>
      </c>
      <c r="D477" t="s">
        <v>69</v>
      </c>
      <c r="E477" t="s">
        <v>25</v>
      </c>
      <c r="F477" t="s">
        <v>24</v>
      </c>
      <c r="G477" t="str">
        <f>INDEX(Lookup_Tables!$B$1:$B$7,MATCH(Cleaned_Data!F477,Lookup_Tables!$A$1:$A$7,0))</f>
        <v>Electronics</v>
      </c>
      <c r="H477" t="s">
        <v>54</v>
      </c>
      <c r="I477">
        <v>6</v>
      </c>
      <c r="J477">
        <v>908</v>
      </c>
      <c r="L477">
        <f t="shared" si="35"/>
        <v>0</v>
      </c>
      <c r="M477">
        <v>2789</v>
      </c>
      <c r="N477">
        <f t="shared" si="36"/>
        <v>5448</v>
      </c>
      <c r="O477">
        <f t="shared" si="37"/>
        <v>5448</v>
      </c>
      <c r="P477">
        <f>I477*IFERROR(_xlfn.XLOOKUP(F477,Lookup_Tables!Product,Cost),0)</f>
        <v>168276</v>
      </c>
      <c r="Q477">
        <f t="shared" si="38"/>
        <v>-162828</v>
      </c>
      <c r="R477" s="2">
        <f t="shared" si="39"/>
        <v>-29.887665198237887</v>
      </c>
    </row>
    <row r="478" spans="1:18" x14ac:dyDescent="0.3">
      <c r="A478" t="s">
        <v>535</v>
      </c>
      <c r="B478" s="1">
        <v>45527</v>
      </c>
      <c r="C478" t="s">
        <v>6</v>
      </c>
      <c r="D478" t="s">
        <v>49</v>
      </c>
      <c r="E478" t="s">
        <v>28</v>
      </c>
      <c r="F478" t="s">
        <v>58</v>
      </c>
      <c r="G478" t="str">
        <f>INDEX(Lookup_Tables!$B$1:$B$7,MATCH(Cleaned_Data!F478,Lookup_Tables!$A$1:$A$7,0))</f>
        <v>Electronics</v>
      </c>
      <c r="H478" t="s">
        <v>54</v>
      </c>
      <c r="I478">
        <v>5</v>
      </c>
      <c r="J478">
        <v>12938</v>
      </c>
      <c r="K478">
        <v>0</v>
      </c>
      <c r="L478">
        <f t="shared" si="35"/>
        <v>0</v>
      </c>
      <c r="M478">
        <v>6911</v>
      </c>
      <c r="N478">
        <f t="shared" si="36"/>
        <v>64690</v>
      </c>
      <c r="O478">
        <f t="shared" si="37"/>
        <v>64690</v>
      </c>
      <c r="P478">
        <f>I478*IFERROR(_xlfn.XLOOKUP(F478,Lookup_Tables!Product,Cost),0)</f>
        <v>14440</v>
      </c>
      <c r="Q478">
        <f t="shared" si="38"/>
        <v>50250</v>
      </c>
      <c r="R478" s="2">
        <f t="shared" si="39"/>
        <v>0.77678157365898903</v>
      </c>
    </row>
    <row r="479" spans="1:18" x14ac:dyDescent="0.3">
      <c r="A479" t="s">
        <v>536</v>
      </c>
      <c r="B479" s="1">
        <v>45334</v>
      </c>
      <c r="C479" t="s">
        <v>6</v>
      </c>
      <c r="D479" t="s">
        <v>64</v>
      </c>
      <c r="E479" t="s">
        <v>28</v>
      </c>
      <c r="F479" t="s">
        <v>58</v>
      </c>
      <c r="G479" t="str">
        <f>INDEX(Lookup_Tables!$B$1:$B$7,MATCH(Cleaned_Data!F479,Lookup_Tables!$A$1:$A$7,0))</f>
        <v>Electronics</v>
      </c>
      <c r="H479" t="s">
        <v>54</v>
      </c>
      <c r="I479">
        <v>10</v>
      </c>
      <c r="J479">
        <v>35188</v>
      </c>
      <c r="K479">
        <v>0</v>
      </c>
      <c r="L479">
        <f t="shared" si="35"/>
        <v>0</v>
      </c>
      <c r="N479">
        <f t="shared" si="36"/>
        <v>351880</v>
      </c>
      <c r="O479">
        <f t="shared" si="37"/>
        <v>351880</v>
      </c>
      <c r="P479">
        <f>I479*IFERROR(_xlfn.XLOOKUP(F479,Lookup_Tables!Product,Cost),0)</f>
        <v>28880</v>
      </c>
      <c r="Q479">
        <f t="shared" si="38"/>
        <v>323000</v>
      </c>
      <c r="R479" s="2">
        <f t="shared" si="39"/>
        <v>0.91792656587472998</v>
      </c>
    </row>
    <row r="480" spans="1:18" x14ac:dyDescent="0.3">
      <c r="A480" t="s">
        <v>537</v>
      </c>
      <c r="B480" s="1">
        <v>45370</v>
      </c>
      <c r="C480" t="s">
        <v>6</v>
      </c>
      <c r="D480" t="s">
        <v>53</v>
      </c>
      <c r="E480" t="s">
        <v>26</v>
      </c>
      <c r="F480" t="s">
        <v>61</v>
      </c>
      <c r="G480" t="str">
        <f>INDEX(Lookup_Tables!$B$1:$B$7,MATCH(Cleaned_Data!F480,Lookup_Tables!$A$1:$A$7,0))</f>
        <v>Electronics</v>
      </c>
      <c r="H480" t="s">
        <v>54</v>
      </c>
      <c r="I480">
        <v>1</v>
      </c>
      <c r="J480">
        <v>36441</v>
      </c>
      <c r="L480">
        <f t="shared" si="35"/>
        <v>0</v>
      </c>
      <c r="N480">
        <f t="shared" si="36"/>
        <v>36441</v>
      </c>
      <c r="O480">
        <f t="shared" si="37"/>
        <v>36441</v>
      </c>
      <c r="P480">
        <f>I480*IFERROR(_xlfn.XLOOKUP(F480,Lookup_Tables!Product,Cost),0)</f>
        <v>7384</v>
      </c>
      <c r="Q480">
        <f t="shared" si="38"/>
        <v>29057</v>
      </c>
      <c r="R480" s="2">
        <f t="shared" si="39"/>
        <v>0.79737109299964326</v>
      </c>
    </row>
    <row r="481" spans="1:18" x14ac:dyDescent="0.3">
      <c r="A481" t="s">
        <v>538</v>
      </c>
      <c r="B481" s="1">
        <v>45415</v>
      </c>
      <c r="C481" t="s">
        <v>3</v>
      </c>
      <c r="D481" t="s">
        <v>49</v>
      </c>
      <c r="E481" t="s">
        <v>28</v>
      </c>
      <c r="F481" t="s">
        <v>61</v>
      </c>
      <c r="G481" t="str">
        <f>INDEX(Lookup_Tables!$B$1:$B$7,MATCH(Cleaned_Data!F481,Lookup_Tables!$A$1:$A$7,0))</f>
        <v>Electronics</v>
      </c>
      <c r="H481" t="s">
        <v>54</v>
      </c>
      <c r="I481">
        <v>4</v>
      </c>
      <c r="J481">
        <v>7440</v>
      </c>
      <c r="K481">
        <v>0.05</v>
      </c>
      <c r="L481">
        <f t="shared" si="35"/>
        <v>0.05</v>
      </c>
      <c r="M481">
        <v>19989</v>
      </c>
      <c r="N481">
        <f t="shared" si="36"/>
        <v>29760</v>
      </c>
      <c r="O481">
        <f t="shared" si="37"/>
        <v>28272</v>
      </c>
      <c r="P481">
        <f>I481*IFERROR(_xlfn.XLOOKUP(F481,Lookup_Tables!Product,Cost),0)</f>
        <v>29536</v>
      </c>
      <c r="Q481">
        <f t="shared" si="38"/>
        <v>-1264</v>
      </c>
      <c r="R481" s="2">
        <f t="shared" si="39"/>
        <v>-4.4708545557441991E-2</v>
      </c>
    </row>
    <row r="482" spans="1:18" x14ac:dyDescent="0.3">
      <c r="A482" t="s">
        <v>539</v>
      </c>
      <c r="B482" s="1">
        <v>45528</v>
      </c>
      <c r="C482" t="s">
        <v>6</v>
      </c>
      <c r="D482" t="s">
        <v>76</v>
      </c>
      <c r="E482" t="s">
        <v>28</v>
      </c>
      <c r="F482" t="s">
        <v>23</v>
      </c>
      <c r="G482" t="str">
        <f>INDEX(Lookup_Tables!$B$1:$B$7,MATCH(Cleaned_Data!F482,Lookup_Tables!$A$1:$A$7,0))</f>
        <v>Electronics</v>
      </c>
      <c r="H482" t="s">
        <v>54</v>
      </c>
      <c r="I482">
        <v>8</v>
      </c>
      <c r="J482">
        <v>44600</v>
      </c>
      <c r="K482">
        <v>0.05</v>
      </c>
      <c r="L482">
        <f t="shared" si="35"/>
        <v>0.05</v>
      </c>
      <c r="M482">
        <v>13428</v>
      </c>
      <c r="N482">
        <f t="shared" si="36"/>
        <v>356800</v>
      </c>
      <c r="O482">
        <f t="shared" si="37"/>
        <v>338960</v>
      </c>
      <c r="P482">
        <f>I482*IFERROR(_xlfn.XLOOKUP(F482,Lookup_Tables!Product,Cost),0)</f>
        <v>154120</v>
      </c>
      <c r="Q482">
        <f t="shared" si="38"/>
        <v>184840</v>
      </c>
      <c r="R482" s="2">
        <f t="shared" si="39"/>
        <v>0.54531508142553697</v>
      </c>
    </row>
    <row r="483" spans="1:18" x14ac:dyDescent="0.3">
      <c r="A483" t="s">
        <v>540</v>
      </c>
      <c r="B483" s="1">
        <v>45449</v>
      </c>
      <c r="C483" t="s">
        <v>3</v>
      </c>
      <c r="D483" t="s">
        <v>76</v>
      </c>
      <c r="E483" t="s">
        <v>28</v>
      </c>
      <c r="F483" t="s">
        <v>23</v>
      </c>
      <c r="G483" t="str">
        <f>INDEX(Lookup_Tables!$B$1:$B$7,MATCH(Cleaned_Data!F483,Lookup_Tables!$A$1:$A$7,0))</f>
        <v>Electronics</v>
      </c>
      <c r="H483" t="s">
        <v>54</v>
      </c>
      <c r="I483">
        <v>6</v>
      </c>
      <c r="J483">
        <v>30770</v>
      </c>
      <c r="K483">
        <v>0.1</v>
      </c>
      <c r="L483">
        <f t="shared" si="35"/>
        <v>0.1</v>
      </c>
      <c r="N483">
        <f t="shared" si="36"/>
        <v>184620</v>
      </c>
      <c r="O483">
        <f t="shared" si="37"/>
        <v>166158</v>
      </c>
      <c r="P483">
        <f>I483*IFERROR(_xlfn.XLOOKUP(F483,Lookup_Tables!Product,Cost),0)</f>
        <v>115590</v>
      </c>
      <c r="Q483">
        <f t="shared" si="38"/>
        <v>50568</v>
      </c>
      <c r="R483" s="2">
        <f t="shared" si="39"/>
        <v>0.30433683602354383</v>
      </c>
    </row>
    <row r="484" spans="1:18" x14ac:dyDescent="0.3">
      <c r="A484" t="s">
        <v>541</v>
      </c>
      <c r="B484" s="1">
        <v>45373</v>
      </c>
      <c r="C484" t="s">
        <v>5</v>
      </c>
      <c r="D484" t="s">
        <v>69</v>
      </c>
      <c r="E484" t="s">
        <v>25</v>
      </c>
      <c r="F484" t="s">
        <v>24</v>
      </c>
      <c r="G484" t="str">
        <f>INDEX(Lookup_Tables!$B$1:$B$7,MATCH(Cleaned_Data!F484,Lookup_Tables!$A$1:$A$7,0))</f>
        <v>Electronics</v>
      </c>
      <c r="H484" t="s">
        <v>54</v>
      </c>
      <c r="I484">
        <v>5</v>
      </c>
      <c r="J484">
        <v>2147</v>
      </c>
      <c r="K484">
        <v>0.05</v>
      </c>
      <c r="L484">
        <f t="shared" si="35"/>
        <v>0.05</v>
      </c>
      <c r="N484">
        <f t="shared" si="36"/>
        <v>10735</v>
      </c>
      <c r="O484">
        <f t="shared" si="37"/>
        <v>10198.25</v>
      </c>
      <c r="P484">
        <f>I484*IFERROR(_xlfn.XLOOKUP(F484,Lookup_Tables!Product,Cost),0)</f>
        <v>140230</v>
      </c>
      <c r="Q484">
        <f t="shared" si="38"/>
        <v>-130031.75</v>
      </c>
      <c r="R484" s="2">
        <f t="shared" si="39"/>
        <v>-12.750398352658545</v>
      </c>
    </row>
    <row r="485" spans="1:18" x14ac:dyDescent="0.3">
      <c r="A485" t="s">
        <v>542</v>
      </c>
      <c r="B485" s="1">
        <v>45435</v>
      </c>
      <c r="C485" t="s">
        <v>4</v>
      </c>
      <c r="D485" t="s">
        <v>49</v>
      </c>
      <c r="E485" t="s">
        <v>29</v>
      </c>
      <c r="F485" t="s">
        <v>22</v>
      </c>
      <c r="G485" t="str">
        <f>INDEX(Lookup_Tables!$B$1:$B$7,MATCH(Cleaned_Data!F485,Lookup_Tables!$A$1:$A$7,0))</f>
        <v>Furniture</v>
      </c>
      <c r="H485" t="s">
        <v>51</v>
      </c>
      <c r="I485">
        <v>3</v>
      </c>
      <c r="J485">
        <v>34704</v>
      </c>
      <c r="K485">
        <v>0</v>
      </c>
      <c r="L485">
        <f t="shared" si="35"/>
        <v>0</v>
      </c>
      <c r="N485">
        <f t="shared" si="36"/>
        <v>104112</v>
      </c>
      <c r="O485">
        <f t="shared" si="37"/>
        <v>104112</v>
      </c>
      <c r="P485">
        <f>I485*IFERROR(_xlfn.XLOOKUP(F485,Lookup_Tables!Product,Cost),0)</f>
        <v>39120</v>
      </c>
      <c r="Q485">
        <f t="shared" si="38"/>
        <v>64992</v>
      </c>
      <c r="R485" s="2">
        <f t="shared" si="39"/>
        <v>0.62425080682342093</v>
      </c>
    </row>
    <row r="486" spans="1:18" x14ac:dyDescent="0.3">
      <c r="A486" t="s">
        <v>543</v>
      </c>
      <c r="B486" s="1">
        <v>45647</v>
      </c>
      <c r="C486" t="s">
        <v>5</v>
      </c>
      <c r="D486" t="s">
        <v>53</v>
      </c>
      <c r="E486" t="s">
        <v>28</v>
      </c>
      <c r="F486" t="s">
        <v>23</v>
      </c>
      <c r="G486" t="str">
        <f>INDEX(Lookup_Tables!$B$1:$B$7,MATCH(Cleaned_Data!F486,Lookup_Tables!$A$1:$A$7,0))</f>
        <v>Electronics</v>
      </c>
      <c r="H486" t="s">
        <v>54</v>
      </c>
      <c r="I486">
        <v>1</v>
      </c>
      <c r="J486">
        <v>14578</v>
      </c>
      <c r="K486">
        <v>0.1</v>
      </c>
      <c r="L486">
        <f t="shared" si="35"/>
        <v>0.1</v>
      </c>
      <c r="N486">
        <f t="shared" si="36"/>
        <v>14578</v>
      </c>
      <c r="O486">
        <f t="shared" si="37"/>
        <v>13120.2</v>
      </c>
      <c r="P486">
        <f>I486*IFERROR(_xlfn.XLOOKUP(F486,Lookup_Tables!Product,Cost),0)</f>
        <v>19265</v>
      </c>
      <c r="Q486">
        <f t="shared" si="38"/>
        <v>-6144.7999999999993</v>
      </c>
      <c r="R486" s="2">
        <f t="shared" si="39"/>
        <v>-0.46834651910794034</v>
      </c>
    </row>
    <row r="487" spans="1:18" x14ac:dyDescent="0.3">
      <c r="A487" t="s">
        <v>544</v>
      </c>
      <c r="B487" s="1">
        <v>45461</v>
      </c>
      <c r="C487" t="s">
        <v>4</v>
      </c>
      <c r="D487" t="s">
        <v>69</v>
      </c>
      <c r="E487" t="s">
        <v>25</v>
      </c>
      <c r="F487" t="s">
        <v>58</v>
      </c>
      <c r="G487" t="str">
        <f>INDEX(Lookup_Tables!$B$1:$B$7,MATCH(Cleaned_Data!F487,Lookup_Tables!$A$1:$A$7,0))</f>
        <v>Electronics</v>
      </c>
      <c r="H487" t="s">
        <v>54</v>
      </c>
      <c r="I487">
        <v>1</v>
      </c>
      <c r="J487">
        <v>45021</v>
      </c>
      <c r="K487">
        <v>0.05</v>
      </c>
      <c r="L487">
        <f t="shared" si="35"/>
        <v>0.05</v>
      </c>
      <c r="M487">
        <v>8286</v>
      </c>
      <c r="N487">
        <f t="shared" si="36"/>
        <v>45021</v>
      </c>
      <c r="O487">
        <f t="shared" si="37"/>
        <v>42769.95</v>
      </c>
      <c r="P487">
        <f>I487*IFERROR(_xlfn.XLOOKUP(F487,Lookup_Tables!Product,Cost),0)</f>
        <v>2888</v>
      </c>
      <c r="Q487">
        <f t="shared" si="38"/>
        <v>39881.949999999997</v>
      </c>
      <c r="R487" s="2">
        <f t="shared" si="39"/>
        <v>0.93247595566513408</v>
      </c>
    </row>
    <row r="488" spans="1:18" x14ac:dyDescent="0.3">
      <c r="A488" t="s">
        <v>545</v>
      </c>
      <c r="B488" s="1">
        <v>45392</v>
      </c>
      <c r="C488" t="s">
        <v>4</v>
      </c>
      <c r="D488" t="s">
        <v>49</v>
      </c>
      <c r="E488" t="s">
        <v>28</v>
      </c>
      <c r="F488" t="s">
        <v>24</v>
      </c>
      <c r="G488" t="str">
        <f>INDEX(Lookup_Tables!$B$1:$B$7,MATCH(Cleaned_Data!F488,Lookup_Tables!$A$1:$A$7,0))</f>
        <v>Electronics</v>
      </c>
      <c r="H488" t="s">
        <v>54</v>
      </c>
      <c r="I488">
        <v>8</v>
      </c>
      <c r="J488">
        <v>2888</v>
      </c>
      <c r="L488">
        <f t="shared" si="35"/>
        <v>0</v>
      </c>
      <c r="M488">
        <v>26508</v>
      </c>
      <c r="N488">
        <f t="shared" si="36"/>
        <v>23104</v>
      </c>
      <c r="O488">
        <f t="shared" si="37"/>
        <v>23104</v>
      </c>
      <c r="P488">
        <f>I488*IFERROR(_xlfn.XLOOKUP(F488,Lookup_Tables!Product,Cost),0)</f>
        <v>224368</v>
      </c>
      <c r="Q488">
        <f t="shared" si="38"/>
        <v>-201264</v>
      </c>
      <c r="R488" s="2">
        <f t="shared" si="39"/>
        <v>-8.7112188365650969</v>
      </c>
    </row>
    <row r="489" spans="1:18" x14ac:dyDescent="0.3">
      <c r="A489" t="s">
        <v>546</v>
      </c>
      <c r="B489" s="1">
        <v>45377</v>
      </c>
      <c r="C489" t="s">
        <v>6</v>
      </c>
      <c r="D489" t="s">
        <v>56</v>
      </c>
      <c r="E489" t="s">
        <v>25</v>
      </c>
      <c r="F489" t="s">
        <v>23</v>
      </c>
      <c r="G489" t="str">
        <f>INDEX(Lookup_Tables!$B$1:$B$7,MATCH(Cleaned_Data!F489,Lookup_Tables!$A$1:$A$7,0))</f>
        <v>Electronics</v>
      </c>
      <c r="H489" t="s">
        <v>54</v>
      </c>
      <c r="I489">
        <v>1</v>
      </c>
      <c r="J489">
        <v>22410</v>
      </c>
      <c r="K489">
        <v>0.1</v>
      </c>
      <c r="L489">
        <f t="shared" si="35"/>
        <v>0.1</v>
      </c>
      <c r="N489">
        <f t="shared" si="36"/>
        <v>22410</v>
      </c>
      <c r="O489">
        <f t="shared" si="37"/>
        <v>20169</v>
      </c>
      <c r="P489">
        <f>I489*IFERROR(_xlfn.XLOOKUP(F489,Lookup_Tables!Product,Cost),0)</f>
        <v>19265</v>
      </c>
      <c r="Q489">
        <f t="shared" si="38"/>
        <v>904</v>
      </c>
      <c r="R489" s="2">
        <f t="shared" si="39"/>
        <v>4.4821260350042143E-2</v>
      </c>
    </row>
    <row r="490" spans="1:18" x14ac:dyDescent="0.3">
      <c r="A490" t="s">
        <v>547</v>
      </c>
      <c r="B490" s="1">
        <v>45468</v>
      </c>
      <c r="C490" t="s">
        <v>6</v>
      </c>
      <c r="D490" t="s">
        <v>69</v>
      </c>
      <c r="E490" t="s">
        <v>25</v>
      </c>
      <c r="F490" t="s">
        <v>23</v>
      </c>
      <c r="G490" t="str">
        <f>INDEX(Lookup_Tables!$B$1:$B$7,MATCH(Cleaned_Data!F490,Lookup_Tables!$A$1:$A$7,0))</f>
        <v>Electronics</v>
      </c>
      <c r="H490" t="s">
        <v>54</v>
      </c>
      <c r="I490">
        <v>9</v>
      </c>
      <c r="J490">
        <v>8777</v>
      </c>
      <c r="K490">
        <v>0</v>
      </c>
      <c r="L490">
        <f t="shared" si="35"/>
        <v>0</v>
      </c>
      <c r="N490">
        <f t="shared" si="36"/>
        <v>78993</v>
      </c>
      <c r="O490">
        <f t="shared" si="37"/>
        <v>78993</v>
      </c>
      <c r="P490">
        <f>I490*IFERROR(_xlfn.XLOOKUP(F490,Lookup_Tables!Product,Cost),0)</f>
        <v>173385</v>
      </c>
      <c r="Q490">
        <f t="shared" si="38"/>
        <v>-94392</v>
      </c>
      <c r="R490" s="2">
        <f t="shared" si="39"/>
        <v>-1.1949413239147773</v>
      </c>
    </row>
    <row r="491" spans="1:18" x14ac:dyDescent="0.3">
      <c r="A491" t="s">
        <v>548</v>
      </c>
      <c r="B491" s="1">
        <v>45504</v>
      </c>
      <c r="C491" t="s">
        <v>3</v>
      </c>
      <c r="D491" t="s">
        <v>76</v>
      </c>
      <c r="E491" t="s">
        <v>28</v>
      </c>
      <c r="F491" t="s">
        <v>24</v>
      </c>
      <c r="G491" t="str">
        <f>INDEX(Lookup_Tables!$B$1:$B$7,MATCH(Cleaned_Data!F491,Lookup_Tables!$A$1:$A$7,0))</f>
        <v>Electronics</v>
      </c>
      <c r="H491" t="s">
        <v>54</v>
      </c>
      <c r="I491">
        <v>5</v>
      </c>
      <c r="J491">
        <v>13506</v>
      </c>
      <c r="L491">
        <f t="shared" si="35"/>
        <v>0</v>
      </c>
      <c r="N491">
        <f t="shared" si="36"/>
        <v>67530</v>
      </c>
      <c r="O491">
        <f t="shared" si="37"/>
        <v>67530</v>
      </c>
      <c r="P491">
        <f>I491*IFERROR(_xlfn.XLOOKUP(F491,Lookup_Tables!Product,Cost),0)</f>
        <v>140230</v>
      </c>
      <c r="Q491">
        <f t="shared" si="38"/>
        <v>-72700</v>
      </c>
      <c r="R491" s="2">
        <f t="shared" si="39"/>
        <v>-1.0765585665630091</v>
      </c>
    </row>
    <row r="492" spans="1:18" x14ac:dyDescent="0.3">
      <c r="A492" t="s">
        <v>549</v>
      </c>
      <c r="B492" s="1">
        <v>45493</v>
      </c>
      <c r="C492" t="s">
        <v>4</v>
      </c>
      <c r="D492" t="s">
        <v>49</v>
      </c>
      <c r="E492" t="s">
        <v>27</v>
      </c>
      <c r="F492" t="s">
        <v>22</v>
      </c>
      <c r="G492" t="str">
        <f>INDEX(Lookup_Tables!$B$1:$B$7,MATCH(Cleaned_Data!F492,Lookup_Tables!$A$1:$A$7,0))</f>
        <v>Furniture</v>
      </c>
      <c r="H492" t="s">
        <v>51</v>
      </c>
      <c r="I492">
        <v>2</v>
      </c>
      <c r="J492">
        <v>15272</v>
      </c>
      <c r="L492">
        <f t="shared" si="35"/>
        <v>0</v>
      </c>
      <c r="N492">
        <f t="shared" si="36"/>
        <v>30544</v>
      </c>
      <c r="O492">
        <f t="shared" si="37"/>
        <v>30544</v>
      </c>
      <c r="P492">
        <f>I492*IFERROR(_xlfn.XLOOKUP(F492,Lookup_Tables!Product,Cost),0)</f>
        <v>26080</v>
      </c>
      <c r="Q492">
        <f t="shared" si="38"/>
        <v>4464</v>
      </c>
      <c r="R492" s="2">
        <f t="shared" si="39"/>
        <v>0.14614981665793608</v>
      </c>
    </row>
    <row r="493" spans="1:18" x14ac:dyDescent="0.3">
      <c r="A493" t="s">
        <v>550</v>
      </c>
      <c r="B493" s="1">
        <v>45302</v>
      </c>
      <c r="C493" t="s">
        <v>5</v>
      </c>
      <c r="D493" t="s">
        <v>69</v>
      </c>
      <c r="E493" t="s">
        <v>28</v>
      </c>
      <c r="F493" t="s">
        <v>23</v>
      </c>
      <c r="G493" t="str">
        <f>INDEX(Lookup_Tables!$B$1:$B$7,MATCH(Cleaned_Data!F493,Lookup_Tables!$A$1:$A$7,0))</f>
        <v>Electronics</v>
      </c>
      <c r="H493" t="s">
        <v>54</v>
      </c>
      <c r="I493">
        <v>3</v>
      </c>
      <c r="J493">
        <v>4046</v>
      </c>
      <c r="K493">
        <v>0.1</v>
      </c>
      <c r="L493">
        <f t="shared" si="35"/>
        <v>0.1</v>
      </c>
      <c r="N493">
        <f t="shared" si="36"/>
        <v>12138</v>
      </c>
      <c r="O493">
        <f t="shared" si="37"/>
        <v>10924.2</v>
      </c>
      <c r="P493">
        <f>I493*IFERROR(_xlfn.XLOOKUP(F493,Lookup_Tables!Product,Cost),0)</f>
        <v>57795</v>
      </c>
      <c r="Q493">
        <f t="shared" si="38"/>
        <v>-46870.8</v>
      </c>
      <c r="R493" s="2">
        <f t="shared" si="39"/>
        <v>-4.2905475915856535</v>
      </c>
    </row>
    <row r="494" spans="1:18" x14ac:dyDescent="0.3">
      <c r="A494" t="s">
        <v>551</v>
      </c>
      <c r="B494" s="1">
        <v>45496</v>
      </c>
      <c r="C494" t="s">
        <v>4</v>
      </c>
      <c r="D494" t="s">
        <v>64</v>
      </c>
      <c r="E494" t="s">
        <v>26</v>
      </c>
      <c r="F494" t="s">
        <v>50</v>
      </c>
      <c r="G494" t="str">
        <f>INDEX(Lookup_Tables!$B$1:$B$7,MATCH(Cleaned_Data!F494,Lookup_Tables!$A$1:$A$7,0))</f>
        <v>Furniture</v>
      </c>
      <c r="H494" t="s">
        <v>51</v>
      </c>
      <c r="I494">
        <v>9</v>
      </c>
      <c r="J494">
        <v>11369</v>
      </c>
      <c r="K494">
        <v>0.1</v>
      </c>
      <c r="L494">
        <f t="shared" si="35"/>
        <v>0.1</v>
      </c>
      <c r="M494">
        <v>11607</v>
      </c>
      <c r="N494">
        <f t="shared" si="36"/>
        <v>102321</v>
      </c>
      <c r="O494">
        <f t="shared" si="37"/>
        <v>92088.9</v>
      </c>
      <c r="P494">
        <f>I494*IFERROR(_xlfn.XLOOKUP(F494,Lookup_Tables!Product,Cost),0)</f>
        <v>119439</v>
      </c>
      <c r="Q494">
        <f t="shared" si="38"/>
        <v>-27350.100000000006</v>
      </c>
      <c r="R494" s="2">
        <f t="shared" si="39"/>
        <v>-0.29699670644344767</v>
      </c>
    </row>
    <row r="495" spans="1:18" x14ac:dyDescent="0.3">
      <c r="A495" t="s">
        <v>552</v>
      </c>
      <c r="B495" s="1">
        <v>45312</v>
      </c>
      <c r="C495" t="s">
        <v>6</v>
      </c>
      <c r="D495" t="s">
        <v>76</v>
      </c>
      <c r="E495" t="s">
        <v>28</v>
      </c>
      <c r="F495" t="s">
        <v>61</v>
      </c>
      <c r="G495" t="str">
        <f>INDEX(Lookup_Tables!$B$1:$B$7,MATCH(Cleaned_Data!F495,Lookup_Tables!$A$1:$A$7,0))</f>
        <v>Electronics</v>
      </c>
      <c r="H495" t="s">
        <v>54</v>
      </c>
      <c r="I495">
        <v>5</v>
      </c>
      <c r="J495">
        <v>22985</v>
      </c>
      <c r="K495">
        <v>0.1</v>
      </c>
      <c r="L495">
        <f t="shared" si="35"/>
        <v>0.1</v>
      </c>
      <c r="N495">
        <f t="shared" si="36"/>
        <v>114925</v>
      </c>
      <c r="O495">
        <f t="shared" si="37"/>
        <v>103432.5</v>
      </c>
      <c r="P495">
        <f>I495*IFERROR(_xlfn.XLOOKUP(F495,Lookup_Tables!Product,Cost),0)</f>
        <v>36920</v>
      </c>
      <c r="Q495">
        <f t="shared" si="38"/>
        <v>66512.5</v>
      </c>
      <c r="R495" s="2">
        <f t="shared" si="39"/>
        <v>0.64305223213206686</v>
      </c>
    </row>
    <row r="496" spans="1:18" x14ac:dyDescent="0.3">
      <c r="A496" t="s">
        <v>553</v>
      </c>
      <c r="B496" s="1">
        <v>45430</v>
      </c>
      <c r="C496" t="s">
        <v>3</v>
      </c>
      <c r="D496" t="s">
        <v>56</v>
      </c>
      <c r="E496" t="s">
        <v>27</v>
      </c>
      <c r="F496" t="s">
        <v>50</v>
      </c>
      <c r="G496" t="str">
        <f>INDEX(Lookup_Tables!$B$1:$B$7,MATCH(Cleaned_Data!F496,Lookup_Tables!$A$1:$A$7,0))</f>
        <v>Furniture</v>
      </c>
      <c r="H496" t="s">
        <v>51</v>
      </c>
      <c r="I496">
        <v>7</v>
      </c>
      <c r="J496">
        <v>39453</v>
      </c>
      <c r="K496">
        <v>0.05</v>
      </c>
      <c r="L496">
        <f t="shared" si="35"/>
        <v>0.05</v>
      </c>
      <c r="N496">
        <f t="shared" si="36"/>
        <v>276171</v>
      </c>
      <c r="O496">
        <f t="shared" si="37"/>
        <v>262362.45</v>
      </c>
      <c r="P496">
        <f>I496*IFERROR(_xlfn.XLOOKUP(F496,Lookup_Tables!Product,Cost),0)</f>
        <v>92897</v>
      </c>
      <c r="Q496">
        <f t="shared" si="38"/>
        <v>169465.45</v>
      </c>
      <c r="R496" s="2">
        <f t="shared" si="39"/>
        <v>0.64592112933844004</v>
      </c>
    </row>
    <row r="497" spans="1:18" x14ac:dyDescent="0.3">
      <c r="A497" t="s">
        <v>554</v>
      </c>
      <c r="B497" s="1">
        <v>45522</v>
      </c>
      <c r="C497" t="s">
        <v>6</v>
      </c>
      <c r="D497" t="s">
        <v>49</v>
      </c>
      <c r="E497" t="s">
        <v>27</v>
      </c>
      <c r="F497" t="s">
        <v>24</v>
      </c>
      <c r="G497" t="str">
        <f>INDEX(Lookup_Tables!$B$1:$B$7,MATCH(Cleaned_Data!F497,Lookup_Tables!$A$1:$A$7,0))</f>
        <v>Electronics</v>
      </c>
      <c r="H497" t="s">
        <v>54</v>
      </c>
      <c r="I497">
        <v>7</v>
      </c>
      <c r="J497">
        <v>5650</v>
      </c>
      <c r="K497">
        <v>0.05</v>
      </c>
      <c r="L497">
        <f t="shared" si="35"/>
        <v>0.05</v>
      </c>
      <c r="M497">
        <v>9979</v>
      </c>
      <c r="N497">
        <f t="shared" si="36"/>
        <v>39550</v>
      </c>
      <c r="O497">
        <f t="shared" si="37"/>
        <v>37572.5</v>
      </c>
      <c r="P497">
        <f>I497*IFERROR(_xlfn.XLOOKUP(F497,Lookup_Tables!Product,Cost),0)</f>
        <v>196322</v>
      </c>
      <c r="Q497">
        <f t="shared" si="38"/>
        <v>-158749.5</v>
      </c>
      <c r="R497" s="2">
        <f t="shared" si="39"/>
        <v>-4.2251513740102471</v>
      </c>
    </row>
    <row r="498" spans="1:18" x14ac:dyDescent="0.3">
      <c r="A498" t="s">
        <v>555</v>
      </c>
      <c r="B498" s="1">
        <v>45557</v>
      </c>
      <c r="C498" t="s">
        <v>5</v>
      </c>
      <c r="D498" t="s">
        <v>69</v>
      </c>
      <c r="E498" t="s">
        <v>26</v>
      </c>
      <c r="F498" t="s">
        <v>24</v>
      </c>
      <c r="G498" t="str">
        <f>INDEX(Lookup_Tables!$B$1:$B$7,MATCH(Cleaned_Data!F498,Lookup_Tables!$A$1:$A$7,0))</f>
        <v>Electronics</v>
      </c>
      <c r="H498" t="s">
        <v>54</v>
      </c>
      <c r="I498">
        <v>2</v>
      </c>
      <c r="J498">
        <v>8023</v>
      </c>
      <c r="K498">
        <v>0</v>
      </c>
      <c r="L498">
        <f t="shared" si="35"/>
        <v>0</v>
      </c>
      <c r="N498">
        <f t="shared" si="36"/>
        <v>16046</v>
      </c>
      <c r="O498">
        <f t="shared" si="37"/>
        <v>16046</v>
      </c>
      <c r="P498">
        <f>I498*IFERROR(_xlfn.XLOOKUP(F498,Lookup_Tables!Product,Cost),0)</f>
        <v>56092</v>
      </c>
      <c r="Q498">
        <f t="shared" si="38"/>
        <v>-40046</v>
      </c>
      <c r="R498" s="2">
        <f t="shared" si="39"/>
        <v>-2.4956998628941793</v>
      </c>
    </row>
    <row r="499" spans="1:18" x14ac:dyDescent="0.3">
      <c r="A499" t="s">
        <v>556</v>
      </c>
      <c r="B499" s="1">
        <v>45393</v>
      </c>
      <c r="C499" t="s">
        <v>3</v>
      </c>
      <c r="D499" t="s">
        <v>76</v>
      </c>
      <c r="E499" t="s">
        <v>25</v>
      </c>
      <c r="F499" t="s">
        <v>58</v>
      </c>
      <c r="G499" t="str">
        <f>INDEX(Lookup_Tables!$B$1:$B$7,MATCH(Cleaned_Data!F499,Lookup_Tables!$A$1:$A$7,0))</f>
        <v>Electronics</v>
      </c>
      <c r="H499" t="s">
        <v>54</v>
      </c>
      <c r="I499">
        <v>9</v>
      </c>
      <c r="J499">
        <v>28939</v>
      </c>
      <c r="K499">
        <v>0.1</v>
      </c>
      <c r="L499">
        <f t="shared" si="35"/>
        <v>0.1</v>
      </c>
      <c r="N499">
        <f t="shared" si="36"/>
        <v>260451</v>
      </c>
      <c r="O499">
        <f t="shared" si="37"/>
        <v>234405.9</v>
      </c>
      <c r="P499">
        <f>I499*IFERROR(_xlfn.XLOOKUP(F499,Lookup_Tables!Product,Cost),0)</f>
        <v>25992</v>
      </c>
      <c r="Q499">
        <f t="shared" si="38"/>
        <v>208413.9</v>
      </c>
      <c r="R499" s="2">
        <f t="shared" si="39"/>
        <v>0.88911541902315594</v>
      </c>
    </row>
    <row r="500" spans="1:18" x14ac:dyDescent="0.3">
      <c r="A500" t="s">
        <v>557</v>
      </c>
      <c r="B500" s="1">
        <v>45367</v>
      </c>
      <c r="C500" t="s">
        <v>5</v>
      </c>
      <c r="D500" t="s">
        <v>49</v>
      </c>
      <c r="E500" t="s">
        <v>26</v>
      </c>
      <c r="F500" t="s">
        <v>50</v>
      </c>
      <c r="G500" t="str">
        <f>INDEX(Lookup_Tables!$B$1:$B$7,MATCH(Cleaned_Data!F500,Lookup_Tables!$A$1:$A$7,0))</f>
        <v>Furniture</v>
      </c>
      <c r="H500" t="s">
        <v>51</v>
      </c>
      <c r="I500">
        <v>4</v>
      </c>
      <c r="J500">
        <v>4165</v>
      </c>
      <c r="K500">
        <v>0</v>
      </c>
      <c r="L500">
        <f t="shared" si="35"/>
        <v>0</v>
      </c>
      <c r="M500">
        <v>28412</v>
      </c>
      <c r="N500">
        <f t="shared" si="36"/>
        <v>16660</v>
      </c>
      <c r="O500">
        <f t="shared" si="37"/>
        <v>16660</v>
      </c>
      <c r="P500">
        <f>I500*IFERROR(_xlfn.XLOOKUP(F500,Lookup_Tables!Product,Cost),0)</f>
        <v>53084</v>
      </c>
      <c r="Q500">
        <f t="shared" si="38"/>
        <v>-36424</v>
      </c>
      <c r="R500" s="2">
        <f t="shared" si="39"/>
        <v>-2.186314525810324</v>
      </c>
    </row>
    <row r="501" spans="1:18" x14ac:dyDescent="0.3">
      <c r="A501" t="s">
        <v>558</v>
      </c>
      <c r="B501" s="1">
        <v>45362</v>
      </c>
      <c r="C501" t="s">
        <v>6</v>
      </c>
      <c r="D501" t="s">
        <v>64</v>
      </c>
      <c r="E501" t="s">
        <v>25</v>
      </c>
      <c r="F501" t="s">
        <v>22</v>
      </c>
      <c r="G501" t="str">
        <f>INDEX(Lookup_Tables!$B$1:$B$7,MATCH(Cleaned_Data!F501,Lookup_Tables!$A$1:$A$7,0))</f>
        <v>Furniture</v>
      </c>
      <c r="H501" t="s">
        <v>51</v>
      </c>
      <c r="I501">
        <v>10</v>
      </c>
      <c r="J501">
        <v>44880</v>
      </c>
      <c r="K501">
        <v>0</v>
      </c>
      <c r="L501">
        <f t="shared" si="35"/>
        <v>0</v>
      </c>
      <c r="N501">
        <f t="shared" si="36"/>
        <v>448800</v>
      </c>
      <c r="O501">
        <f t="shared" si="37"/>
        <v>448800</v>
      </c>
      <c r="P501">
        <f>I501*IFERROR(_xlfn.XLOOKUP(F501,Lookup_Tables!Product,Cost),0)</f>
        <v>130400</v>
      </c>
      <c r="Q501">
        <f t="shared" si="38"/>
        <v>318400</v>
      </c>
      <c r="R501" s="2">
        <f t="shared" si="39"/>
        <v>0.70944741532976829</v>
      </c>
    </row>
    <row r="502" spans="1:18" x14ac:dyDescent="0.3">
      <c r="A502" t="s">
        <v>559</v>
      </c>
      <c r="B502" s="1">
        <v>45557</v>
      </c>
      <c r="C502" t="s">
        <v>3</v>
      </c>
      <c r="D502" t="s">
        <v>76</v>
      </c>
      <c r="E502" t="s">
        <v>29</v>
      </c>
      <c r="F502" t="s">
        <v>50</v>
      </c>
      <c r="G502" t="str">
        <f>INDEX(Lookup_Tables!$B$1:$B$7,MATCH(Cleaned_Data!F502,Lookup_Tables!$A$1:$A$7,0))</f>
        <v>Furniture</v>
      </c>
      <c r="H502" t="s">
        <v>51</v>
      </c>
      <c r="I502">
        <v>4</v>
      </c>
      <c r="J502">
        <v>37965</v>
      </c>
      <c r="K502">
        <v>0.1</v>
      </c>
      <c r="L502">
        <f t="shared" si="35"/>
        <v>0.1</v>
      </c>
      <c r="N502">
        <f t="shared" si="36"/>
        <v>151860</v>
      </c>
      <c r="O502">
        <f t="shared" si="37"/>
        <v>136674</v>
      </c>
      <c r="P502">
        <f>I502*IFERROR(_xlfn.XLOOKUP(F502,Lookup_Tables!Product,Cost),0)</f>
        <v>53084</v>
      </c>
      <c r="Q502">
        <f t="shared" si="38"/>
        <v>83590</v>
      </c>
      <c r="R502" s="2">
        <f t="shared" si="39"/>
        <v>0.61160132870919126</v>
      </c>
    </row>
    <row r="503" spans="1:18" x14ac:dyDescent="0.3">
      <c r="A503" t="s">
        <v>560</v>
      </c>
      <c r="B503" s="1">
        <v>45635</v>
      </c>
      <c r="C503" t="s">
        <v>4</v>
      </c>
      <c r="D503" t="s">
        <v>53</v>
      </c>
      <c r="E503" t="s">
        <v>26</v>
      </c>
      <c r="F503" t="s">
        <v>61</v>
      </c>
      <c r="G503" t="str">
        <f>INDEX(Lookup_Tables!$B$1:$B$7,MATCH(Cleaned_Data!F503,Lookup_Tables!$A$1:$A$7,0))</f>
        <v>Electronics</v>
      </c>
      <c r="H503" t="s">
        <v>54</v>
      </c>
      <c r="I503">
        <v>4</v>
      </c>
      <c r="J503">
        <v>17400</v>
      </c>
      <c r="K503">
        <v>0</v>
      </c>
      <c r="L503">
        <f t="shared" si="35"/>
        <v>0</v>
      </c>
      <c r="N503">
        <f t="shared" si="36"/>
        <v>69600</v>
      </c>
      <c r="O503">
        <f t="shared" si="37"/>
        <v>69600</v>
      </c>
      <c r="P503">
        <f>I503*IFERROR(_xlfn.XLOOKUP(F503,Lookup_Tables!Product,Cost),0)</f>
        <v>29536</v>
      </c>
      <c r="Q503">
        <f t="shared" si="38"/>
        <v>40064</v>
      </c>
      <c r="R503" s="2">
        <f t="shared" si="39"/>
        <v>0.57563218390804594</v>
      </c>
    </row>
    <row r="504" spans="1:18" x14ac:dyDescent="0.3">
      <c r="A504" t="s">
        <v>561</v>
      </c>
      <c r="B504" s="1">
        <v>45417</v>
      </c>
      <c r="C504" t="s">
        <v>3</v>
      </c>
      <c r="D504" t="s">
        <v>69</v>
      </c>
      <c r="E504" t="s">
        <v>26</v>
      </c>
      <c r="F504" t="s">
        <v>24</v>
      </c>
      <c r="G504" t="str">
        <f>INDEX(Lookup_Tables!$B$1:$B$7,MATCH(Cleaned_Data!F504,Lookup_Tables!$A$1:$A$7,0))</f>
        <v>Electronics</v>
      </c>
      <c r="H504" t="s">
        <v>54</v>
      </c>
      <c r="I504">
        <v>9</v>
      </c>
      <c r="J504">
        <v>30111</v>
      </c>
      <c r="L504">
        <f t="shared" si="35"/>
        <v>0</v>
      </c>
      <c r="M504">
        <v>6984</v>
      </c>
      <c r="N504">
        <f t="shared" si="36"/>
        <v>270999</v>
      </c>
      <c r="O504">
        <f t="shared" si="37"/>
        <v>270999</v>
      </c>
      <c r="P504">
        <f>I504*IFERROR(_xlfn.XLOOKUP(F504,Lookup_Tables!Product,Cost),0)</f>
        <v>252414</v>
      </c>
      <c r="Q504">
        <f t="shared" si="38"/>
        <v>18585</v>
      </c>
      <c r="R504" s="2">
        <f t="shared" si="39"/>
        <v>6.8579588854571424E-2</v>
      </c>
    </row>
    <row r="505" spans="1:18" x14ac:dyDescent="0.3">
      <c r="A505" t="s">
        <v>562</v>
      </c>
      <c r="B505" s="1">
        <v>45371</v>
      </c>
      <c r="C505" t="s">
        <v>4</v>
      </c>
      <c r="D505" t="s">
        <v>64</v>
      </c>
      <c r="E505" t="s">
        <v>25</v>
      </c>
      <c r="F505" t="s">
        <v>23</v>
      </c>
      <c r="G505" t="str">
        <f>INDEX(Lookup_Tables!$B$1:$B$7,MATCH(Cleaned_Data!F505,Lookup_Tables!$A$1:$A$7,0))</f>
        <v>Electronics</v>
      </c>
      <c r="H505" t="s">
        <v>54</v>
      </c>
      <c r="I505">
        <v>3</v>
      </c>
      <c r="J505">
        <v>28414</v>
      </c>
      <c r="K505">
        <v>0.1</v>
      </c>
      <c r="L505">
        <f t="shared" si="35"/>
        <v>0.1</v>
      </c>
      <c r="M505">
        <v>19285</v>
      </c>
      <c r="N505">
        <f t="shared" si="36"/>
        <v>85242</v>
      </c>
      <c r="O505">
        <f t="shared" si="37"/>
        <v>76717.8</v>
      </c>
      <c r="P505">
        <f>I505*IFERROR(_xlfn.XLOOKUP(F505,Lookup_Tables!Product,Cost),0)</f>
        <v>57795</v>
      </c>
      <c r="Q505">
        <f t="shared" si="38"/>
        <v>18922.800000000003</v>
      </c>
      <c r="R505" s="2">
        <f t="shared" si="39"/>
        <v>0.24665462252567202</v>
      </c>
    </row>
    <row r="506" spans="1:18" x14ac:dyDescent="0.3">
      <c r="A506" t="s">
        <v>563</v>
      </c>
      <c r="B506" s="1">
        <v>45614</v>
      </c>
      <c r="C506" t="s">
        <v>3</v>
      </c>
      <c r="D506" t="s">
        <v>56</v>
      </c>
      <c r="E506" t="s">
        <v>27</v>
      </c>
      <c r="F506" t="s">
        <v>24</v>
      </c>
      <c r="G506" t="str">
        <f>INDEX(Lookup_Tables!$B$1:$B$7,MATCH(Cleaned_Data!F506,Lookup_Tables!$A$1:$A$7,0))</f>
        <v>Electronics</v>
      </c>
      <c r="H506" t="s">
        <v>54</v>
      </c>
      <c r="I506">
        <v>3</v>
      </c>
      <c r="J506">
        <v>27465</v>
      </c>
      <c r="K506">
        <v>0.1</v>
      </c>
      <c r="L506">
        <f t="shared" si="35"/>
        <v>0.1</v>
      </c>
      <c r="N506">
        <f t="shared" si="36"/>
        <v>82395</v>
      </c>
      <c r="O506">
        <f t="shared" si="37"/>
        <v>74155.5</v>
      </c>
      <c r="P506">
        <f>I506*IFERROR(_xlfn.XLOOKUP(F506,Lookup_Tables!Product,Cost),0)</f>
        <v>84138</v>
      </c>
      <c r="Q506">
        <f t="shared" si="38"/>
        <v>-9982.5</v>
      </c>
      <c r="R506" s="2">
        <f t="shared" si="39"/>
        <v>-0.13461577361085827</v>
      </c>
    </row>
    <row r="507" spans="1:18" x14ac:dyDescent="0.3">
      <c r="A507" t="s">
        <v>564</v>
      </c>
      <c r="B507" s="1">
        <v>45576</v>
      </c>
      <c r="C507" t="s">
        <v>4</v>
      </c>
      <c r="D507" t="s">
        <v>64</v>
      </c>
      <c r="E507" t="s">
        <v>27</v>
      </c>
      <c r="F507" t="s">
        <v>23</v>
      </c>
      <c r="G507" t="str">
        <f>INDEX(Lookup_Tables!$B$1:$B$7,MATCH(Cleaned_Data!F507,Lookup_Tables!$A$1:$A$7,0))</f>
        <v>Electronics</v>
      </c>
      <c r="H507" t="s">
        <v>54</v>
      </c>
      <c r="I507">
        <v>4</v>
      </c>
      <c r="J507">
        <v>7634</v>
      </c>
      <c r="K507">
        <v>0.05</v>
      </c>
      <c r="L507">
        <f t="shared" si="35"/>
        <v>0.05</v>
      </c>
      <c r="N507">
        <f t="shared" si="36"/>
        <v>30536</v>
      </c>
      <c r="O507">
        <f t="shared" si="37"/>
        <v>29009.200000000001</v>
      </c>
      <c r="P507">
        <f>I507*IFERROR(_xlfn.XLOOKUP(F507,Lookup_Tables!Product,Cost),0)</f>
        <v>77060</v>
      </c>
      <c r="Q507">
        <f t="shared" si="38"/>
        <v>-48050.8</v>
      </c>
      <c r="R507" s="2">
        <f t="shared" si="39"/>
        <v>-1.6563986597355322</v>
      </c>
    </row>
    <row r="508" spans="1:18" x14ac:dyDescent="0.3">
      <c r="A508" t="s">
        <v>565</v>
      </c>
      <c r="B508" s="1">
        <v>45363</v>
      </c>
      <c r="C508" t="s">
        <v>5</v>
      </c>
      <c r="D508" t="s">
        <v>69</v>
      </c>
      <c r="E508" t="s">
        <v>26</v>
      </c>
      <c r="F508" t="s">
        <v>61</v>
      </c>
      <c r="G508" t="str">
        <f>INDEX(Lookup_Tables!$B$1:$B$7,MATCH(Cleaned_Data!F508,Lookup_Tables!$A$1:$A$7,0))</f>
        <v>Electronics</v>
      </c>
      <c r="H508" t="s">
        <v>54</v>
      </c>
      <c r="I508">
        <v>6</v>
      </c>
      <c r="J508">
        <v>8587</v>
      </c>
      <c r="K508">
        <v>0.1</v>
      </c>
      <c r="L508">
        <f t="shared" si="35"/>
        <v>0.1</v>
      </c>
      <c r="M508">
        <v>17080</v>
      </c>
      <c r="N508">
        <f t="shared" si="36"/>
        <v>51522</v>
      </c>
      <c r="O508">
        <f t="shared" si="37"/>
        <v>46369.8</v>
      </c>
      <c r="P508">
        <f>I508*IFERROR(_xlfn.XLOOKUP(F508,Lookup_Tables!Product,Cost),0)</f>
        <v>44304</v>
      </c>
      <c r="Q508">
        <f t="shared" si="38"/>
        <v>2065.8000000000029</v>
      </c>
      <c r="R508" s="2">
        <f t="shared" si="39"/>
        <v>4.4550547985973687E-2</v>
      </c>
    </row>
    <row r="509" spans="1:18" x14ac:dyDescent="0.3">
      <c r="A509" t="s">
        <v>566</v>
      </c>
      <c r="B509" s="1">
        <v>45352</v>
      </c>
      <c r="C509" t="s">
        <v>4</v>
      </c>
      <c r="D509" t="s">
        <v>49</v>
      </c>
      <c r="E509" t="s">
        <v>26</v>
      </c>
      <c r="F509" t="s">
        <v>50</v>
      </c>
      <c r="G509" t="str">
        <f>INDEX(Lookup_Tables!$B$1:$B$7,MATCH(Cleaned_Data!F509,Lookup_Tables!$A$1:$A$7,0))</f>
        <v>Furniture</v>
      </c>
      <c r="H509" t="s">
        <v>51</v>
      </c>
      <c r="I509">
        <v>3</v>
      </c>
      <c r="J509">
        <v>2432</v>
      </c>
      <c r="K509">
        <v>0</v>
      </c>
      <c r="L509">
        <f t="shared" si="35"/>
        <v>0</v>
      </c>
      <c r="M509">
        <v>9312</v>
      </c>
      <c r="N509">
        <f t="shared" si="36"/>
        <v>7296</v>
      </c>
      <c r="O509">
        <f t="shared" si="37"/>
        <v>7296</v>
      </c>
      <c r="P509">
        <f>I509*IFERROR(_xlfn.XLOOKUP(F509,Lookup_Tables!Product,Cost),0)</f>
        <v>39813</v>
      </c>
      <c r="Q509">
        <f t="shared" si="38"/>
        <v>-32517</v>
      </c>
      <c r="R509" s="2">
        <f t="shared" si="39"/>
        <v>-4.4568256578947372</v>
      </c>
    </row>
    <row r="510" spans="1:18" x14ac:dyDescent="0.3">
      <c r="A510" t="s">
        <v>567</v>
      </c>
      <c r="B510" s="1">
        <v>45340</v>
      </c>
      <c r="C510" t="s">
        <v>4</v>
      </c>
      <c r="D510" t="s">
        <v>64</v>
      </c>
      <c r="E510" t="s">
        <v>26</v>
      </c>
      <c r="F510" t="s">
        <v>22</v>
      </c>
      <c r="G510" t="str">
        <f>INDEX(Lookup_Tables!$B$1:$B$7,MATCH(Cleaned_Data!F510,Lookup_Tables!$A$1:$A$7,0))</f>
        <v>Furniture</v>
      </c>
      <c r="H510" t="s">
        <v>51</v>
      </c>
      <c r="I510">
        <v>10</v>
      </c>
      <c r="J510">
        <v>39047</v>
      </c>
      <c r="K510">
        <v>0</v>
      </c>
      <c r="L510">
        <f t="shared" si="35"/>
        <v>0</v>
      </c>
      <c r="N510">
        <f t="shared" si="36"/>
        <v>390470</v>
      </c>
      <c r="O510">
        <f t="shared" si="37"/>
        <v>390470</v>
      </c>
      <c r="P510">
        <f>I510*IFERROR(_xlfn.XLOOKUP(F510,Lookup_Tables!Product,Cost),0)</f>
        <v>130400</v>
      </c>
      <c r="Q510">
        <f t="shared" si="38"/>
        <v>260070</v>
      </c>
      <c r="R510" s="2">
        <f t="shared" si="39"/>
        <v>0.66604348605526675</v>
      </c>
    </row>
    <row r="511" spans="1:18" x14ac:dyDescent="0.3">
      <c r="A511" t="s">
        <v>568</v>
      </c>
      <c r="B511" s="1">
        <v>45651</v>
      </c>
      <c r="C511" t="s">
        <v>5</v>
      </c>
      <c r="D511" t="s">
        <v>49</v>
      </c>
      <c r="E511" t="s">
        <v>29</v>
      </c>
      <c r="F511" t="s">
        <v>50</v>
      </c>
      <c r="G511" t="str">
        <f>INDEX(Lookup_Tables!$B$1:$B$7,MATCH(Cleaned_Data!F511,Lookup_Tables!$A$1:$A$7,0))</f>
        <v>Furniture</v>
      </c>
      <c r="H511" t="s">
        <v>51</v>
      </c>
      <c r="I511">
        <v>5</v>
      </c>
      <c r="J511">
        <v>33540</v>
      </c>
      <c r="K511">
        <v>0.1</v>
      </c>
      <c r="L511">
        <f t="shared" si="35"/>
        <v>0.1</v>
      </c>
      <c r="M511">
        <v>4603</v>
      </c>
      <c r="N511">
        <f t="shared" si="36"/>
        <v>167700</v>
      </c>
      <c r="O511">
        <f t="shared" si="37"/>
        <v>150930</v>
      </c>
      <c r="P511">
        <f>I511*IFERROR(_xlfn.XLOOKUP(F511,Lookup_Tables!Product,Cost),0)</f>
        <v>66355</v>
      </c>
      <c r="Q511">
        <f t="shared" si="38"/>
        <v>84575</v>
      </c>
      <c r="R511" s="2">
        <f t="shared" si="39"/>
        <v>0.56035910687073476</v>
      </c>
    </row>
    <row r="512" spans="1:18" x14ac:dyDescent="0.3">
      <c r="A512" t="s">
        <v>569</v>
      </c>
      <c r="B512" s="1">
        <v>45630</v>
      </c>
      <c r="C512" t="s">
        <v>6</v>
      </c>
      <c r="D512" t="s">
        <v>56</v>
      </c>
      <c r="E512" t="s">
        <v>25</v>
      </c>
      <c r="F512" t="s">
        <v>58</v>
      </c>
      <c r="G512" t="str">
        <f>INDEX(Lookup_Tables!$B$1:$B$7,MATCH(Cleaned_Data!F512,Lookup_Tables!$A$1:$A$7,0))</f>
        <v>Electronics</v>
      </c>
      <c r="H512" t="s">
        <v>54</v>
      </c>
      <c r="I512">
        <v>4</v>
      </c>
      <c r="J512">
        <v>42593</v>
      </c>
      <c r="K512">
        <v>0</v>
      </c>
      <c r="L512">
        <f t="shared" si="35"/>
        <v>0</v>
      </c>
      <c r="N512">
        <f t="shared" si="36"/>
        <v>170372</v>
      </c>
      <c r="O512">
        <f t="shared" si="37"/>
        <v>170372</v>
      </c>
      <c r="P512">
        <f>I512*IFERROR(_xlfn.XLOOKUP(F512,Lookup_Tables!Product,Cost),0)</f>
        <v>11552</v>
      </c>
      <c r="Q512">
        <f t="shared" si="38"/>
        <v>158820</v>
      </c>
      <c r="R512" s="2">
        <f t="shared" si="39"/>
        <v>0.93219543117413661</v>
      </c>
    </row>
    <row r="513" spans="1:18" x14ac:dyDescent="0.3">
      <c r="A513" t="s">
        <v>570</v>
      </c>
      <c r="B513" s="1">
        <v>45523</v>
      </c>
      <c r="C513" t="s">
        <v>3</v>
      </c>
      <c r="D513" t="s">
        <v>56</v>
      </c>
      <c r="E513" t="s">
        <v>29</v>
      </c>
      <c r="F513" t="s">
        <v>50</v>
      </c>
      <c r="G513" t="str">
        <f>INDEX(Lookup_Tables!$B$1:$B$7,MATCH(Cleaned_Data!F513,Lookup_Tables!$A$1:$A$7,0))</f>
        <v>Furniture</v>
      </c>
      <c r="H513" t="s">
        <v>51</v>
      </c>
      <c r="I513">
        <v>7</v>
      </c>
      <c r="J513">
        <v>30970</v>
      </c>
      <c r="K513">
        <v>0.05</v>
      </c>
      <c r="L513">
        <f t="shared" si="35"/>
        <v>0.05</v>
      </c>
      <c r="N513">
        <f t="shared" si="36"/>
        <v>216790</v>
      </c>
      <c r="O513">
        <f t="shared" si="37"/>
        <v>205950.5</v>
      </c>
      <c r="P513">
        <f>I513*IFERROR(_xlfn.XLOOKUP(F513,Lookup_Tables!Product,Cost),0)</f>
        <v>92897</v>
      </c>
      <c r="Q513">
        <f t="shared" si="38"/>
        <v>113053.5</v>
      </c>
      <c r="R513" s="2">
        <f t="shared" si="39"/>
        <v>0.54893530241490063</v>
      </c>
    </row>
    <row r="514" spans="1:18" x14ac:dyDescent="0.3">
      <c r="A514" t="s">
        <v>571</v>
      </c>
      <c r="B514" s="1">
        <v>45463</v>
      </c>
      <c r="C514" t="s">
        <v>5</v>
      </c>
      <c r="D514" t="s">
        <v>69</v>
      </c>
      <c r="E514" t="s">
        <v>29</v>
      </c>
      <c r="F514" t="s">
        <v>22</v>
      </c>
      <c r="G514" t="str">
        <f>INDEX(Lookup_Tables!$B$1:$B$7,MATCH(Cleaned_Data!F514,Lookup_Tables!$A$1:$A$7,0))</f>
        <v>Furniture</v>
      </c>
      <c r="H514" t="s">
        <v>51</v>
      </c>
      <c r="I514">
        <v>7</v>
      </c>
      <c r="J514">
        <v>25845</v>
      </c>
      <c r="K514">
        <v>0.05</v>
      </c>
      <c r="L514">
        <f t="shared" si="35"/>
        <v>0.05</v>
      </c>
      <c r="N514">
        <f t="shared" si="36"/>
        <v>180915</v>
      </c>
      <c r="O514">
        <f t="shared" si="37"/>
        <v>171869.25</v>
      </c>
      <c r="P514">
        <f>I514*IFERROR(_xlfn.XLOOKUP(F514,Lookup_Tables!Product,Cost),0)</f>
        <v>91280</v>
      </c>
      <c r="Q514">
        <f t="shared" si="38"/>
        <v>80589.25</v>
      </c>
      <c r="R514" s="2">
        <f t="shared" si="39"/>
        <v>0.46889859588029853</v>
      </c>
    </row>
    <row r="515" spans="1:18" x14ac:dyDescent="0.3">
      <c r="A515" t="s">
        <v>572</v>
      </c>
      <c r="B515" s="1">
        <v>45538</v>
      </c>
      <c r="C515" t="s">
        <v>6</v>
      </c>
      <c r="D515" t="s">
        <v>64</v>
      </c>
      <c r="E515" t="s">
        <v>28</v>
      </c>
      <c r="F515" t="s">
        <v>50</v>
      </c>
      <c r="G515" t="str">
        <f>INDEX(Lookup_Tables!$B$1:$B$7,MATCH(Cleaned_Data!F515,Lookup_Tables!$A$1:$A$7,0))</f>
        <v>Furniture</v>
      </c>
      <c r="H515" t="s">
        <v>51</v>
      </c>
      <c r="I515">
        <v>4</v>
      </c>
      <c r="J515">
        <v>34791</v>
      </c>
      <c r="L515">
        <f t="shared" ref="L515:L578" si="40">IF(ISBLANK(K515),0,K515)</f>
        <v>0</v>
      </c>
      <c r="N515">
        <f t="shared" ref="N515:N578" si="41">I515*J515</f>
        <v>139164</v>
      </c>
      <c r="O515">
        <f t="shared" ref="O515:O578" si="42">N515-(N515*L515)</f>
        <v>139164</v>
      </c>
      <c r="P515">
        <f>I515*IFERROR(_xlfn.XLOOKUP(F515,Lookup_Tables!Product,Cost),0)</f>
        <v>53084</v>
      </c>
      <c r="Q515">
        <f t="shared" ref="Q515:Q578" si="43">O515-P515</f>
        <v>86080</v>
      </c>
      <c r="R515" s="2">
        <f t="shared" ref="R515:R578" si="44">Q515/O515</f>
        <v>0.61855077462562158</v>
      </c>
    </row>
    <row r="516" spans="1:18" x14ac:dyDescent="0.3">
      <c r="A516" t="s">
        <v>573</v>
      </c>
      <c r="B516" s="1">
        <v>45525</v>
      </c>
      <c r="C516" t="s">
        <v>3</v>
      </c>
      <c r="D516" t="s">
        <v>49</v>
      </c>
      <c r="E516" t="s">
        <v>27</v>
      </c>
      <c r="F516" t="s">
        <v>24</v>
      </c>
      <c r="G516" t="str">
        <f>INDEX(Lookup_Tables!$B$1:$B$7,MATCH(Cleaned_Data!F516,Lookup_Tables!$A$1:$A$7,0))</f>
        <v>Electronics</v>
      </c>
      <c r="H516" t="s">
        <v>54</v>
      </c>
      <c r="I516">
        <v>2</v>
      </c>
      <c r="J516">
        <v>32121</v>
      </c>
      <c r="K516">
        <v>0</v>
      </c>
      <c r="L516">
        <f t="shared" si="40"/>
        <v>0</v>
      </c>
      <c r="N516">
        <f t="shared" si="41"/>
        <v>64242</v>
      </c>
      <c r="O516">
        <f t="shared" si="42"/>
        <v>64242</v>
      </c>
      <c r="P516">
        <f>I516*IFERROR(_xlfn.XLOOKUP(F516,Lookup_Tables!Product,Cost),0)</f>
        <v>56092</v>
      </c>
      <c r="Q516">
        <f t="shared" si="43"/>
        <v>8150</v>
      </c>
      <c r="R516" s="2">
        <f t="shared" si="44"/>
        <v>0.12686404532860124</v>
      </c>
    </row>
    <row r="517" spans="1:18" x14ac:dyDescent="0.3">
      <c r="A517" t="s">
        <v>574</v>
      </c>
      <c r="B517" s="1">
        <v>45327</v>
      </c>
      <c r="C517" t="s">
        <v>3</v>
      </c>
      <c r="D517" t="s">
        <v>53</v>
      </c>
      <c r="E517" t="s">
        <v>26</v>
      </c>
      <c r="F517" t="s">
        <v>50</v>
      </c>
      <c r="G517" t="str">
        <f>INDEX(Lookup_Tables!$B$1:$B$7,MATCH(Cleaned_Data!F517,Lookup_Tables!$A$1:$A$7,0))</f>
        <v>Furniture</v>
      </c>
      <c r="H517" t="s">
        <v>51</v>
      </c>
      <c r="I517">
        <v>4</v>
      </c>
      <c r="J517">
        <v>19723</v>
      </c>
      <c r="L517">
        <f t="shared" si="40"/>
        <v>0</v>
      </c>
      <c r="M517">
        <v>7339</v>
      </c>
      <c r="N517">
        <f t="shared" si="41"/>
        <v>78892</v>
      </c>
      <c r="O517">
        <f t="shared" si="42"/>
        <v>78892</v>
      </c>
      <c r="P517">
        <f>I517*IFERROR(_xlfn.XLOOKUP(F517,Lookup_Tables!Product,Cost),0)</f>
        <v>53084</v>
      </c>
      <c r="Q517">
        <f t="shared" si="43"/>
        <v>25808</v>
      </c>
      <c r="R517" s="2">
        <f t="shared" si="44"/>
        <v>0.32713076104040967</v>
      </c>
    </row>
    <row r="518" spans="1:18" x14ac:dyDescent="0.3">
      <c r="A518" t="s">
        <v>575</v>
      </c>
      <c r="B518" s="1">
        <v>45428</v>
      </c>
      <c r="C518" t="s">
        <v>3</v>
      </c>
      <c r="D518" t="s">
        <v>69</v>
      </c>
      <c r="E518" t="s">
        <v>27</v>
      </c>
      <c r="F518" t="s">
        <v>23</v>
      </c>
      <c r="G518" t="str">
        <f>INDEX(Lookup_Tables!$B$1:$B$7,MATCH(Cleaned_Data!F518,Lookup_Tables!$A$1:$A$7,0))</f>
        <v>Electronics</v>
      </c>
      <c r="H518" t="s">
        <v>54</v>
      </c>
      <c r="I518">
        <v>2</v>
      </c>
      <c r="J518">
        <v>9284</v>
      </c>
      <c r="K518">
        <v>0.1</v>
      </c>
      <c r="L518">
        <f t="shared" si="40"/>
        <v>0.1</v>
      </c>
      <c r="M518">
        <v>26054</v>
      </c>
      <c r="N518">
        <f t="shared" si="41"/>
        <v>18568</v>
      </c>
      <c r="O518">
        <f t="shared" si="42"/>
        <v>16711.2</v>
      </c>
      <c r="P518">
        <f>I518*IFERROR(_xlfn.XLOOKUP(F518,Lookup_Tables!Product,Cost),0)</f>
        <v>38530</v>
      </c>
      <c r="Q518">
        <f t="shared" si="43"/>
        <v>-21818.799999999999</v>
      </c>
      <c r="R518" s="2">
        <f t="shared" si="44"/>
        <v>-1.3056393317056822</v>
      </c>
    </row>
    <row r="519" spans="1:18" x14ac:dyDescent="0.3">
      <c r="A519" t="s">
        <v>576</v>
      </c>
      <c r="B519" s="1">
        <v>45637</v>
      </c>
      <c r="C519" t="s">
        <v>6</v>
      </c>
      <c r="D519" t="s">
        <v>69</v>
      </c>
      <c r="E519" t="s">
        <v>28</v>
      </c>
      <c r="F519" t="s">
        <v>50</v>
      </c>
      <c r="G519" t="str">
        <f>INDEX(Lookup_Tables!$B$1:$B$7,MATCH(Cleaned_Data!F519,Lookup_Tables!$A$1:$A$7,0))</f>
        <v>Furniture</v>
      </c>
      <c r="H519" t="s">
        <v>51</v>
      </c>
      <c r="I519">
        <v>6</v>
      </c>
      <c r="J519">
        <v>18923</v>
      </c>
      <c r="K519">
        <v>0.1</v>
      </c>
      <c r="L519">
        <f t="shared" si="40"/>
        <v>0.1</v>
      </c>
      <c r="M519">
        <v>2796</v>
      </c>
      <c r="N519">
        <f t="shared" si="41"/>
        <v>113538</v>
      </c>
      <c r="O519">
        <f t="shared" si="42"/>
        <v>102184.2</v>
      </c>
      <c r="P519">
        <f>I519*IFERROR(_xlfn.XLOOKUP(F519,Lookup_Tables!Product,Cost),0)</f>
        <v>79626</v>
      </c>
      <c r="Q519">
        <f t="shared" si="43"/>
        <v>22558.199999999997</v>
      </c>
      <c r="R519" s="2">
        <f t="shared" si="44"/>
        <v>0.22076015665827003</v>
      </c>
    </row>
    <row r="520" spans="1:18" x14ac:dyDescent="0.3">
      <c r="A520" t="s">
        <v>577</v>
      </c>
      <c r="B520" s="1">
        <v>45366</v>
      </c>
      <c r="C520" t="s">
        <v>4</v>
      </c>
      <c r="D520" t="s">
        <v>56</v>
      </c>
      <c r="E520" t="s">
        <v>26</v>
      </c>
      <c r="F520" t="s">
        <v>22</v>
      </c>
      <c r="G520" t="str">
        <f>INDEX(Lookup_Tables!$B$1:$B$7,MATCH(Cleaned_Data!F520,Lookup_Tables!$A$1:$A$7,0))</f>
        <v>Furniture</v>
      </c>
      <c r="H520" t="s">
        <v>51</v>
      </c>
      <c r="I520">
        <v>10</v>
      </c>
      <c r="J520">
        <v>25979</v>
      </c>
      <c r="K520">
        <v>0.05</v>
      </c>
      <c r="L520">
        <f t="shared" si="40"/>
        <v>0.05</v>
      </c>
      <c r="N520">
        <f t="shared" si="41"/>
        <v>259790</v>
      </c>
      <c r="O520">
        <f t="shared" si="42"/>
        <v>246800.5</v>
      </c>
      <c r="P520">
        <f>I520*IFERROR(_xlfn.XLOOKUP(F520,Lookup_Tables!Product,Cost),0)</f>
        <v>130400</v>
      </c>
      <c r="Q520">
        <f t="shared" si="43"/>
        <v>116400.5</v>
      </c>
      <c r="R520" s="2">
        <f t="shared" si="44"/>
        <v>0.47163802342377753</v>
      </c>
    </row>
    <row r="521" spans="1:18" x14ac:dyDescent="0.3">
      <c r="A521" t="s">
        <v>578</v>
      </c>
      <c r="B521" s="1">
        <v>45574</v>
      </c>
      <c r="C521" t="s">
        <v>4</v>
      </c>
      <c r="D521" t="s">
        <v>56</v>
      </c>
      <c r="E521" t="s">
        <v>28</v>
      </c>
      <c r="F521" t="s">
        <v>50</v>
      </c>
      <c r="G521" t="str">
        <f>INDEX(Lookup_Tables!$B$1:$B$7,MATCH(Cleaned_Data!F521,Lookup_Tables!$A$1:$A$7,0))</f>
        <v>Furniture</v>
      </c>
      <c r="H521" t="s">
        <v>51</v>
      </c>
      <c r="I521">
        <v>7</v>
      </c>
      <c r="J521">
        <v>16285</v>
      </c>
      <c r="L521">
        <f t="shared" si="40"/>
        <v>0</v>
      </c>
      <c r="N521">
        <f t="shared" si="41"/>
        <v>113995</v>
      </c>
      <c r="O521">
        <f t="shared" si="42"/>
        <v>113995</v>
      </c>
      <c r="P521">
        <f>I521*IFERROR(_xlfn.XLOOKUP(F521,Lookup_Tables!Product,Cost),0)</f>
        <v>92897</v>
      </c>
      <c r="Q521">
        <f t="shared" si="43"/>
        <v>21098</v>
      </c>
      <c r="R521" s="2">
        <f t="shared" si="44"/>
        <v>0.18507829290758365</v>
      </c>
    </row>
    <row r="522" spans="1:18" x14ac:dyDescent="0.3">
      <c r="A522" t="s">
        <v>579</v>
      </c>
      <c r="B522" s="1">
        <v>45452</v>
      </c>
      <c r="C522" t="s">
        <v>6</v>
      </c>
      <c r="D522" t="s">
        <v>56</v>
      </c>
      <c r="E522" t="s">
        <v>25</v>
      </c>
      <c r="F522" t="s">
        <v>22</v>
      </c>
      <c r="G522" t="str">
        <f>INDEX(Lookup_Tables!$B$1:$B$7,MATCH(Cleaned_Data!F522,Lookup_Tables!$A$1:$A$7,0))</f>
        <v>Furniture</v>
      </c>
      <c r="H522" t="s">
        <v>51</v>
      </c>
      <c r="I522">
        <v>9</v>
      </c>
      <c r="J522">
        <v>48493</v>
      </c>
      <c r="L522">
        <f t="shared" si="40"/>
        <v>0</v>
      </c>
      <c r="N522">
        <f t="shared" si="41"/>
        <v>436437</v>
      </c>
      <c r="O522">
        <f t="shared" si="42"/>
        <v>436437</v>
      </c>
      <c r="P522">
        <f>I522*IFERROR(_xlfn.XLOOKUP(F522,Lookup_Tables!Product,Cost),0)</f>
        <v>117360</v>
      </c>
      <c r="Q522">
        <f t="shared" si="43"/>
        <v>319077</v>
      </c>
      <c r="R522" s="2">
        <f t="shared" si="44"/>
        <v>0.73109520961788299</v>
      </c>
    </row>
    <row r="523" spans="1:18" x14ac:dyDescent="0.3">
      <c r="A523" t="s">
        <v>580</v>
      </c>
      <c r="B523" s="1">
        <v>45440</v>
      </c>
      <c r="C523" t="s">
        <v>3</v>
      </c>
      <c r="D523" t="s">
        <v>56</v>
      </c>
      <c r="E523" t="s">
        <v>28</v>
      </c>
      <c r="F523" t="s">
        <v>61</v>
      </c>
      <c r="G523" t="str">
        <f>INDEX(Lookup_Tables!$B$1:$B$7,MATCH(Cleaned_Data!F523,Lookup_Tables!$A$1:$A$7,0))</f>
        <v>Electronics</v>
      </c>
      <c r="H523" t="s">
        <v>54</v>
      </c>
      <c r="I523">
        <v>8</v>
      </c>
      <c r="J523">
        <v>44958</v>
      </c>
      <c r="K523">
        <v>0</v>
      </c>
      <c r="L523">
        <f t="shared" si="40"/>
        <v>0</v>
      </c>
      <c r="N523">
        <f t="shared" si="41"/>
        <v>359664</v>
      </c>
      <c r="O523">
        <f t="shared" si="42"/>
        <v>359664</v>
      </c>
      <c r="P523">
        <f>I523*IFERROR(_xlfn.XLOOKUP(F523,Lookup_Tables!Product,Cost),0)</f>
        <v>59072</v>
      </c>
      <c r="Q523">
        <f t="shared" si="43"/>
        <v>300592</v>
      </c>
      <c r="R523" s="2">
        <f t="shared" si="44"/>
        <v>0.83575781840829222</v>
      </c>
    </row>
    <row r="524" spans="1:18" x14ac:dyDescent="0.3">
      <c r="A524" t="s">
        <v>581</v>
      </c>
      <c r="B524" s="1">
        <v>45618</v>
      </c>
      <c r="C524" t="s">
        <v>4</v>
      </c>
      <c r="D524" t="s">
        <v>69</v>
      </c>
      <c r="E524" t="s">
        <v>29</v>
      </c>
      <c r="F524" t="s">
        <v>61</v>
      </c>
      <c r="G524" t="str">
        <f>INDEX(Lookup_Tables!$B$1:$B$7,MATCH(Cleaned_Data!F524,Lookup_Tables!$A$1:$A$7,0))</f>
        <v>Electronics</v>
      </c>
      <c r="H524" t="s">
        <v>54</v>
      </c>
      <c r="I524">
        <v>9</v>
      </c>
      <c r="J524">
        <v>49284</v>
      </c>
      <c r="L524">
        <f t="shared" si="40"/>
        <v>0</v>
      </c>
      <c r="M524">
        <v>12577</v>
      </c>
      <c r="N524">
        <f t="shared" si="41"/>
        <v>443556</v>
      </c>
      <c r="O524">
        <f t="shared" si="42"/>
        <v>443556</v>
      </c>
      <c r="P524">
        <f>I524*IFERROR(_xlfn.XLOOKUP(F524,Lookup_Tables!Product,Cost),0)</f>
        <v>66456</v>
      </c>
      <c r="Q524">
        <f t="shared" si="43"/>
        <v>377100</v>
      </c>
      <c r="R524" s="2">
        <f t="shared" si="44"/>
        <v>0.85017449882314744</v>
      </c>
    </row>
    <row r="525" spans="1:18" x14ac:dyDescent="0.3">
      <c r="A525" t="s">
        <v>582</v>
      </c>
      <c r="B525" s="1">
        <v>45630</v>
      </c>
      <c r="C525" t="s">
        <v>4</v>
      </c>
      <c r="D525" t="s">
        <v>56</v>
      </c>
      <c r="E525" t="s">
        <v>27</v>
      </c>
      <c r="F525" t="s">
        <v>58</v>
      </c>
      <c r="G525" t="str">
        <f>INDEX(Lookup_Tables!$B$1:$B$7,MATCH(Cleaned_Data!F525,Lookup_Tables!$A$1:$A$7,0))</f>
        <v>Electronics</v>
      </c>
      <c r="H525" t="s">
        <v>54</v>
      </c>
      <c r="I525">
        <v>9</v>
      </c>
      <c r="J525">
        <v>34811</v>
      </c>
      <c r="K525">
        <v>0.1</v>
      </c>
      <c r="L525">
        <f t="shared" si="40"/>
        <v>0.1</v>
      </c>
      <c r="N525">
        <f t="shared" si="41"/>
        <v>313299</v>
      </c>
      <c r="O525">
        <f t="shared" si="42"/>
        <v>281969.09999999998</v>
      </c>
      <c r="P525">
        <f>I525*IFERROR(_xlfn.XLOOKUP(F525,Lookup_Tables!Product,Cost),0)</f>
        <v>25992</v>
      </c>
      <c r="Q525">
        <f t="shared" si="43"/>
        <v>255977.09999999998</v>
      </c>
      <c r="R525" s="2">
        <f t="shared" si="44"/>
        <v>0.9078196866252366</v>
      </c>
    </row>
    <row r="526" spans="1:18" x14ac:dyDescent="0.3">
      <c r="A526" t="s">
        <v>583</v>
      </c>
      <c r="B526" s="1">
        <v>45583</v>
      </c>
      <c r="C526" t="s">
        <v>5</v>
      </c>
      <c r="D526" t="s">
        <v>56</v>
      </c>
      <c r="E526" t="s">
        <v>29</v>
      </c>
      <c r="F526" t="s">
        <v>24</v>
      </c>
      <c r="G526" t="str">
        <f>INDEX(Lookup_Tables!$B$1:$B$7,MATCH(Cleaned_Data!F526,Lookup_Tables!$A$1:$A$7,0))</f>
        <v>Electronics</v>
      </c>
      <c r="H526" t="s">
        <v>54</v>
      </c>
      <c r="I526">
        <v>10</v>
      </c>
      <c r="J526">
        <v>48454</v>
      </c>
      <c r="K526">
        <v>0.1</v>
      </c>
      <c r="L526">
        <f t="shared" si="40"/>
        <v>0.1</v>
      </c>
      <c r="M526">
        <v>17638</v>
      </c>
      <c r="N526">
        <f t="shared" si="41"/>
        <v>484540</v>
      </c>
      <c r="O526">
        <f t="shared" si="42"/>
        <v>436086</v>
      </c>
      <c r="P526">
        <f>I526*IFERROR(_xlfn.XLOOKUP(F526,Lookup_Tables!Product,Cost),0)</f>
        <v>280460</v>
      </c>
      <c r="Q526">
        <f t="shared" si="43"/>
        <v>155626</v>
      </c>
      <c r="R526" s="2">
        <f t="shared" si="44"/>
        <v>0.35686997518838026</v>
      </c>
    </row>
    <row r="527" spans="1:18" x14ac:dyDescent="0.3">
      <c r="A527" t="s">
        <v>584</v>
      </c>
      <c r="B527" s="1">
        <v>45416</v>
      </c>
      <c r="C527" t="s">
        <v>6</v>
      </c>
      <c r="D527" t="s">
        <v>49</v>
      </c>
      <c r="E527" t="s">
        <v>27</v>
      </c>
      <c r="F527" t="s">
        <v>50</v>
      </c>
      <c r="G527" t="str">
        <f>INDEX(Lookup_Tables!$B$1:$B$7,MATCH(Cleaned_Data!F527,Lookup_Tables!$A$1:$A$7,0))</f>
        <v>Furniture</v>
      </c>
      <c r="H527" t="s">
        <v>51</v>
      </c>
      <c r="I527">
        <v>2</v>
      </c>
      <c r="J527">
        <v>3191</v>
      </c>
      <c r="K527">
        <v>0.1</v>
      </c>
      <c r="L527">
        <f t="shared" si="40"/>
        <v>0.1</v>
      </c>
      <c r="N527">
        <f t="shared" si="41"/>
        <v>6382</v>
      </c>
      <c r="O527">
        <f t="shared" si="42"/>
        <v>5743.8</v>
      </c>
      <c r="P527">
        <f>I527*IFERROR(_xlfn.XLOOKUP(F527,Lookup_Tables!Product,Cost),0)</f>
        <v>26542</v>
      </c>
      <c r="Q527">
        <f t="shared" si="43"/>
        <v>-20798.2</v>
      </c>
      <c r="R527" s="2">
        <f t="shared" si="44"/>
        <v>-3.6209826247432013</v>
      </c>
    </row>
    <row r="528" spans="1:18" x14ac:dyDescent="0.3">
      <c r="A528" t="s">
        <v>585</v>
      </c>
      <c r="B528" s="1">
        <v>45587</v>
      </c>
      <c r="C528" t="s">
        <v>3</v>
      </c>
      <c r="D528" t="s">
        <v>56</v>
      </c>
      <c r="E528" t="s">
        <v>28</v>
      </c>
      <c r="F528" t="s">
        <v>58</v>
      </c>
      <c r="G528" t="str">
        <f>INDEX(Lookup_Tables!$B$1:$B$7,MATCH(Cleaned_Data!F528,Lookup_Tables!$A$1:$A$7,0))</f>
        <v>Electronics</v>
      </c>
      <c r="H528" t="s">
        <v>54</v>
      </c>
      <c r="I528">
        <v>1</v>
      </c>
      <c r="J528">
        <v>15108</v>
      </c>
      <c r="K528">
        <v>0</v>
      </c>
      <c r="L528">
        <f t="shared" si="40"/>
        <v>0</v>
      </c>
      <c r="M528">
        <v>10590</v>
      </c>
      <c r="N528">
        <f t="shared" si="41"/>
        <v>15108</v>
      </c>
      <c r="O528">
        <f t="shared" si="42"/>
        <v>15108</v>
      </c>
      <c r="P528">
        <f>I528*IFERROR(_xlfn.XLOOKUP(F528,Lookup_Tables!Product,Cost),0)</f>
        <v>2888</v>
      </c>
      <c r="Q528">
        <f t="shared" si="43"/>
        <v>12220</v>
      </c>
      <c r="R528" s="2">
        <f t="shared" si="44"/>
        <v>0.80884299708763574</v>
      </c>
    </row>
    <row r="529" spans="1:18" x14ac:dyDescent="0.3">
      <c r="A529" t="s">
        <v>586</v>
      </c>
      <c r="B529" s="1">
        <v>45400</v>
      </c>
      <c r="C529" t="s">
        <v>6</v>
      </c>
      <c r="D529" t="s">
        <v>53</v>
      </c>
      <c r="E529" t="s">
        <v>28</v>
      </c>
      <c r="F529" t="s">
        <v>50</v>
      </c>
      <c r="G529" t="str">
        <f>INDEX(Lookup_Tables!$B$1:$B$7,MATCH(Cleaned_Data!F529,Lookup_Tables!$A$1:$A$7,0))</f>
        <v>Furniture</v>
      </c>
      <c r="H529" t="s">
        <v>51</v>
      </c>
      <c r="I529">
        <v>7</v>
      </c>
      <c r="J529">
        <v>35886</v>
      </c>
      <c r="K529">
        <v>0</v>
      </c>
      <c r="L529">
        <f t="shared" si="40"/>
        <v>0</v>
      </c>
      <c r="M529">
        <v>25495</v>
      </c>
      <c r="N529">
        <f t="shared" si="41"/>
        <v>251202</v>
      </c>
      <c r="O529">
        <f t="shared" si="42"/>
        <v>251202</v>
      </c>
      <c r="P529">
        <f>I529*IFERROR(_xlfn.XLOOKUP(F529,Lookup_Tables!Product,Cost),0)</f>
        <v>92897</v>
      </c>
      <c r="Q529">
        <f t="shared" si="43"/>
        <v>158305</v>
      </c>
      <c r="R529" s="2">
        <f t="shared" si="44"/>
        <v>0.63019004625759345</v>
      </c>
    </row>
    <row r="530" spans="1:18" x14ac:dyDescent="0.3">
      <c r="A530" t="s">
        <v>587</v>
      </c>
      <c r="B530" s="1">
        <v>45562</v>
      </c>
      <c r="C530" t="s">
        <v>6</v>
      </c>
      <c r="D530" t="s">
        <v>76</v>
      </c>
      <c r="E530" t="s">
        <v>27</v>
      </c>
      <c r="F530" t="s">
        <v>22</v>
      </c>
      <c r="G530" t="str">
        <f>INDEX(Lookup_Tables!$B$1:$B$7,MATCH(Cleaned_Data!F530,Lookup_Tables!$A$1:$A$7,0))</f>
        <v>Furniture</v>
      </c>
      <c r="H530" t="s">
        <v>51</v>
      </c>
      <c r="I530">
        <v>3</v>
      </c>
      <c r="J530">
        <v>14116</v>
      </c>
      <c r="K530">
        <v>0.1</v>
      </c>
      <c r="L530">
        <f t="shared" si="40"/>
        <v>0.1</v>
      </c>
      <c r="N530">
        <f t="shared" si="41"/>
        <v>42348</v>
      </c>
      <c r="O530">
        <f t="shared" si="42"/>
        <v>38113.199999999997</v>
      </c>
      <c r="P530">
        <f>I530*IFERROR(_xlfn.XLOOKUP(F530,Lookup_Tables!Product,Cost),0)</f>
        <v>39120</v>
      </c>
      <c r="Q530">
        <f t="shared" si="43"/>
        <v>-1006.8000000000029</v>
      </c>
      <c r="R530" s="2">
        <f t="shared" si="44"/>
        <v>-2.6416044834860441E-2</v>
      </c>
    </row>
    <row r="531" spans="1:18" x14ac:dyDescent="0.3">
      <c r="A531" t="s">
        <v>588</v>
      </c>
      <c r="B531" s="1">
        <v>45379</v>
      </c>
      <c r="C531" t="s">
        <v>6</v>
      </c>
      <c r="D531" t="s">
        <v>53</v>
      </c>
      <c r="E531" t="s">
        <v>25</v>
      </c>
      <c r="F531" t="s">
        <v>24</v>
      </c>
      <c r="G531" t="str">
        <f>INDEX(Lookup_Tables!$B$1:$B$7,MATCH(Cleaned_Data!F531,Lookup_Tables!$A$1:$A$7,0))</f>
        <v>Electronics</v>
      </c>
      <c r="H531" t="s">
        <v>54</v>
      </c>
      <c r="I531">
        <v>5</v>
      </c>
      <c r="J531">
        <v>15187</v>
      </c>
      <c r="K531">
        <v>0.05</v>
      </c>
      <c r="L531">
        <f t="shared" si="40"/>
        <v>0.05</v>
      </c>
      <c r="N531">
        <f t="shared" si="41"/>
        <v>75935</v>
      </c>
      <c r="O531">
        <f t="shared" si="42"/>
        <v>72138.25</v>
      </c>
      <c r="P531">
        <f>I531*IFERROR(_xlfn.XLOOKUP(F531,Lookup_Tables!Product,Cost),0)</f>
        <v>140230</v>
      </c>
      <c r="Q531">
        <f t="shared" si="43"/>
        <v>-68091.75</v>
      </c>
      <c r="R531" s="2">
        <f t="shared" si="44"/>
        <v>-0.94390631876986208</v>
      </c>
    </row>
    <row r="532" spans="1:18" x14ac:dyDescent="0.3">
      <c r="A532" t="s">
        <v>589</v>
      </c>
      <c r="B532" s="1">
        <v>45464</v>
      </c>
      <c r="C532" t="s">
        <v>5</v>
      </c>
      <c r="D532" t="s">
        <v>76</v>
      </c>
      <c r="E532" t="s">
        <v>25</v>
      </c>
      <c r="F532" t="s">
        <v>58</v>
      </c>
      <c r="G532" t="str">
        <f>INDEX(Lookup_Tables!$B$1:$B$7,MATCH(Cleaned_Data!F532,Lookup_Tables!$A$1:$A$7,0))</f>
        <v>Electronics</v>
      </c>
      <c r="H532" t="s">
        <v>54</v>
      </c>
      <c r="I532">
        <v>4</v>
      </c>
      <c r="J532">
        <v>17291</v>
      </c>
      <c r="K532">
        <v>0.05</v>
      </c>
      <c r="L532">
        <f t="shared" si="40"/>
        <v>0.05</v>
      </c>
      <c r="M532">
        <v>16722</v>
      </c>
      <c r="N532">
        <f t="shared" si="41"/>
        <v>69164</v>
      </c>
      <c r="O532">
        <f t="shared" si="42"/>
        <v>65705.8</v>
      </c>
      <c r="P532">
        <f>I532*IFERROR(_xlfn.XLOOKUP(F532,Lookup_Tables!Product,Cost),0)</f>
        <v>11552</v>
      </c>
      <c r="Q532">
        <f t="shared" si="43"/>
        <v>54153.8</v>
      </c>
      <c r="R532" s="2">
        <f t="shared" si="44"/>
        <v>0.8241859927129721</v>
      </c>
    </row>
    <row r="533" spans="1:18" x14ac:dyDescent="0.3">
      <c r="A533" t="s">
        <v>590</v>
      </c>
      <c r="B533" s="1">
        <v>45538</v>
      </c>
      <c r="C533" t="s">
        <v>5</v>
      </c>
      <c r="D533" t="s">
        <v>64</v>
      </c>
      <c r="E533" t="s">
        <v>28</v>
      </c>
      <c r="F533" t="s">
        <v>61</v>
      </c>
      <c r="G533" t="str">
        <f>INDEX(Lookup_Tables!$B$1:$B$7,MATCH(Cleaned_Data!F533,Lookup_Tables!$A$1:$A$7,0))</f>
        <v>Electronics</v>
      </c>
      <c r="H533" t="s">
        <v>54</v>
      </c>
      <c r="I533">
        <v>5</v>
      </c>
      <c r="J533">
        <v>20592</v>
      </c>
      <c r="L533">
        <f t="shared" si="40"/>
        <v>0</v>
      </c>
      <c r="M533">
        <v>13321</v>
      </c>
      <c r="N533">
        <f t="shared" si="41"/>
        <v>102960</v>
      </c>
      <c r="O533">
        <f t="shared" si="42"/>
        <v>102960</v>
      </c>
      <c r="P533">
        <f>I533*IFERROR(_xlfn.XLOOKUP(F533,Lookup_Tables!Product,Cost),0)</f>
        <v>36920</v>
      </c>
      <c r="Q533">
        <f t="shared" si="43"/>
        <v>66040</v>
      </c>
      <c r="R533" s="2">
        <f t="shared" si="44"/>
        <v>0.64141414141414144</v>
      </c>
    </row>
    <row r="534" spans="1:18" x14ac:dyDescent="0.3">
      <c r="A534" t="s">
        <v>591</v>
      </c>
      <c r="B534" s="1">
        <v>45583</v>
      </c>
      <c r="C534" t="s">
        <v>5</v>
      </c>
      <c r="D534" t="s">
        <v>56</v>
      </c>
      <c r="E534" t="s">
        <v>28</v>
      </c>
      <c r="F534" t="s">
        <v>24</v>
      </c>
      <c r="G534" t="str">
        <f>INDEX(Lookup_Tables!$B$1:$B$7,MATCH(Cleaned_Data!F534,Lookup_Tables!$A$1:$A$7,0))</f>
        <v>Electronics</v>
      </c>
      <c r="H534" t="s">
        <v>54</v>
      </c>
      <c r="I534">
        <v>9</v>
      </c>
      <c r="J534">
        <v>14405</v>
      </c>
      <c r="K534">
        <v>0</v>
      </c>
      <c r="L534">
        <f t="shared" si="40"/>
        <v>0</v>
      </c>
      <c r="M534">
        <v>9746</v>
      </c>
      <c r="N534">
        <f t="shared" si="41"/>
        <v>129645</v>
      </c>
      <c r="O534">
        <f t="shared" si="42"/>
        <v>129645</v>
      </c>
      <c r="P534">
        <f>I534*IFERROR(_xlfn.XLOOKUP(F534,Lookup_Tables!Product,Cost),0)</f>
        <v>252414</v>
      </c>
      <c r="Q534">
        <f t="shared" si="43"/>
        <v>-122769</v>
      </c>
      <c r="R534" s="2">
        <f t="shared" si="44"/>
        <v>-0.94696286011801456</v>
      </c>
    </row>
    <row r="535" spans="1:18" x14ac:dyDescent="0.3">
      <c r="A535" t="s">
        <v>592</v>
      </c>
      <c r="B535" s="1">
        <v>45475</v>
      </c>
      <c r="C535" t="s">
        <v>5</v>
      </c>
      <c r="D535" t="s">
        <v>76</v>
      </c>
      <c r="E535" t="s">
        <v>27</v>
      </c>
      <c r="F535" t="s">
        <v>58</v>
      </c>
      <c r="G535" t="str">
        <f>INDEX(Lookup_Tables!$B$1:$B$7,MATCH(Cleaned_Data!F535,Lookup_Tables!$A$1:$A$7,0))</f>
        <v>Electronics</v>
      </c>
      <c r="H535" t="s">
        <v>54</v>
      </c>
      <c r="I535">
        <v>7</v>
      </c>
      <c r="J535">
        <v>15343</v>
      </c>
      <c r="L535">
        <f t="shared" si="40"/>
        <v>0</v>
      </c>
      <c r="N535">
        <f t="shared" si="41"/>
        <v>107401</v>
      </c>
      <c r="O535">
        <f t="shared" si="42"/>
        <v>107401</v>
      </c>
      <c r="P535">
        <f>I535*IFERROR(_xlfn.XLOOKUP(F535,Lookup_Tables!Product,Cost),0)</f>
        <v>20216</v>
      </c>
      <c r="Q535">
        <f t="shared" si="43"/>
        <v>87185</v>
      </c>
      <c r="R535" s="2">
        <f t="shared" si="44"/>
        <v>0.81177084012253142</v>
      </c>
    </row>
    <row r="536" spans="1:18" x14ac:dyDescent="0.3">
      <c r="A536" t="s">
        <v>593</v>
      </c>
      <c r="B536" s="1">
        <v>45531</v>
      </c>
      <c r="C536" t="s">
        <v>6</v>
      </c>
      <c r="D536" t="s">
        <v>49</v>
      </c>
      <c r="E536" t="s">
        <v>26</v>
      </c>
      <c r="F536" t="s">
        <v>24</v>
      </c>
      <c r="G536" t="str">
        <f>INDEX(Lookup_Tables!$B$1:$B$7,MATCH(Cleaned_Data!F536,Lookup_Tables!$A$1:$A$7,0))</f>
        <v>Electronics</v>
      </c>
      <c r="H536" t="s">
        <v>54</v>
      </c>
      <c r="I536">
        <v>2</v>
      </c>
      <c r="J536">
        <v>15716</v>
      </c>
      <c r="K536">
        <v>0</v>
      </c>
      <c r="L536">
        <f t="shared" si="40"/>
        <v>0</v>
      </c>
      <c r="N536">
        <f t="shared" si="41"/>
        <v>31432</v>
      </c>
      <c r="O536">
        <f t="shared" si="42"/>
        <v>31432</v>
      </c>
      <c r="P536">
        <f>I536*IFERROR(_xlfn.XLOOKUP(F536,Lookup_Tables!Product,Cost),0)</f>
        <v>56092</v>
      </c>
      <c r="Q536">
        <f t="shared" si="43"/>
        <v>-24660</v>
      </c>
      <c r="R536" s="2">
        <f t="shared" si="44"/>
        <v>-0.78455077627895142</v>
      </c>
    </row>
    <row r="537" spans="1:18" x14ac:dyDescent="0.3">
      <c r="A537" t="s">
        <v>594</v>
      </c>
      <c r="B537" s="1">
        <v>45451</v>
      </c>
      <c r="C537" t="s">
        <v>5</v>
      </c>
      <c r="D537" t="s">
        <v>69</v>
      </c>
      <c r="E537" t="s">
        <v>29</v>
      </c>
      <c r="F537" t="s">
        <v>61</v>
      </c>
      <c r="G537" t="str">
        <f>INDEX(Lookup_Tables!$B$1:$B$7,MATCH(Cleaned_Data!F537,Lookup_Tables!$A$1:$A$7,0))</f>
        <v>Electronics</v>
      </c>
      <c r="H537" t="s">
        <v>54</v>
      </c>
      <c r="I537">
        <v>2</v>
      </c>
      <c r="J537">
        <v>13117</v>
      </c>
      <c r="L537">
        <f t="shared" si="40"/>
        <v>0</v>
      </c>
      <c r="M537">
        <v>9693</v>
      </c>
      <c r="N537">
        <f t="shared" si="41"/>
        <v>26234</v>
      </c>
      <c r="O537">
        <f t="shared" si="42"/>
        <v>26234</v>
      </c>
      <c r="P537">
        <f>I537*IFERROR(_xlfn.XLOOKUP(F537,Lookup_Tables!Product,Cost),0)</f>
        <v>14768</v>
      </c>
      <c r="Q537">
        <f t="shared" si="43"/>
        <v>11466</v>
      </c>
      <c r="R537" s="2">
        <f t="shared" si="44"/>
        <v>0.43706640237859268</v>
      </c>
    </row>
    <row r="538" spans="1:18" x14ac:dyDescent="0.3">
      <c r="A538" t="s">
        <v>595</v>
      </c>
      <c r="B538" s="1">
        <v>45593</v>
      </c>
      <c r="C538" t="s">
        <v>6</v>
      </c>
      <c r="D538" t="s">
        <v>64</v>
      </c>
      <c r="E538" t="s">
        <v>29</v>
      </c>
      <c r="F538" t="s">
        <v>24</v>
      </c>
      <c r="G538" t="str">
        <f>INDEX(Lookup_Tables!$B$1:$B$7,MATCH(Cleaned_Data!F538,Lookup_Tables!$A$1:$A$7,0))</f>
        <v>Electronics</v>
      </c>
      <c r="H538" t="s">
        <v>54</v>
      </c>
      <c r="I538">
        <v>1</v>
      </c>
      <c r="J538">
        <v>18590</v>
      </c>
      <c r="K538">
        <v>0</v>
      </c>
      <c r="L538">
        <f t="shared" si="40"/>
        <v>0</v>
      </c>
      <c r="N538">
        <f t="shared" si="41"/>
        <v>18590</v>
      </c>
      <c r="O538">
        <f t="shared" si="42"/>
        <v>18590</v>
      </c>
      <c r="P538">
        <f>I538*IFERROR(_xlfn.XLOOKUP(F538,Lookup_Tables!Product,Cost),0)</f>
        <v>28046</v>
      </c>
      <c r="Q538">
        <f t="shared" si="43"/>
        <v>-9456</v>
      </c>
      <c r="R538" s="2">
        <f t="shared" si="44"/>
        <v>-0.50866057019903177</v>
      </c>
    </row>
    <row r="539" spans="1:18" x14ac:dyDescent="0.3">
      <c r="A539" t="s">
        <v>596</v>
      </c>
      <c r="B539" s="1">
        <v>45434</v>
      </c>
      <c r="C539" t="s">
        <v>5</v>
      </c>
      <c r="D539" t="s">
        <v>53</v>
      </c>
      <c r="E539" t="s">
        <v>29</v>
      </c>
      <c r="F539" t="s">
        <v>61</v>
      </c>
      <c r="G539" t="str">
        <f>INDEX(Lookup_Tables!$B$1:$B$7,MATCH(Cleaned_Data!F539,Lookup_Tables!$A$1:$A$7,0))</f>
        <v>Electronics</v>
      </c>
      <c r="H539" t="s">
        <v>54</v>
      </c>
      <c r="I539">
        <v>10</v>
      </c>
      <c r="J539">
        <v>15079</v>
      </c>
      <c r="L539">
        <f t="shared" si="40"/>
        <v>0</v>
      </c>
      <c r="N539">
        <f t="shared" si="41"/>
        <v>150790</v>
      </c>
      <c r="O539">
        <f t="shared" si="42"/>
        <v>150790</v>
      </c>
      <c r="P539">
        <f>I539*IFERROR(_xlfn.XLOOKUP(F539,Lookup_Tables!Product,Cost),0)</f>
        <v>73840</v>
      </c>
      <c r="Q539">
        <f t="shared" si="43"/>
        <v>76950</v>
      </c>
      <c r="R539" s="2">
        <f t="shared" si="44"/>
        <v>0.51031235493069838</v>
      </c>
    </row>
    <row r="540" spans="1:18" x14ac:dyDescent="0.3">
      <c r="A540" t="s">
        <v>597</v>
      </c>
      <c r="B540" s="1">
        <v>45304</v>
      </c>
      <c r="C540" t="s">
        <v>4</v>
      </c>
      <c r="D540" t="s">
        <v>69</v>
      </c>
      <c r="E540" t="s">
        <v>28</v>
      </c>
      <c r="F540" t="s">
        <v>50</v>
      </c>
      <c r="G540" t="str">
        <f>INDEX(Lookup_Tables!$B$1:$B$7,MATCH(Cleaned_Data!F540,Lookup_Tables!$A$1:$A$7,0))</f>
        <v>Furniture</v>
      </c>
      <c r="H540" t="s">
        <v>51</v>
      </c>
      <c r="I540">
        <v>2</v>
      </c>
      <c r="J540">
        <v>24950</v>
      </c>
      <c r="L540">
        <f t="shared" si="40"/>
        <v>0</v>
      </c>
      <c r="M540">
        <v>12233</v>
      </c>
      <c r="N540">
        <f t="shared" si="41"/>
        <v>49900</v>
      </c>
      <c r="O540">
        <f t="shared" si="42"/>
        <v>49900</v>
      </c>
      <c r="P540">
        <f>I540*IFERROR(_xlfn.XLOOKUP(F540,Lookup_Tables!Product,Cost),0)</f>
        <v>26542</v>
      </c>
      <c r="Q540">
        <f t="shared" si="43"/>
        <v>23358</v>
      </c>
      <c r="R540" s="2">
        <f t="shared" si="44"/>
        <v>0.46809619238476952</v>
      </c>
    </row>
    <row r="541" spans="1:18" x14ac:dyDescent="0.3">
      <c r="A541" t="s">
        <v>598</v>
      </c>
      <c r="B541" s="1">
        <v>45354</v>
      </c>
      <c r="C541" t="s">
        <v>4</v>
      </c>
      <c r="D541" t="s">
        <v>56</v>
      </c>
      <c r="E541" t="s">
        <v>27</v>
      </c>
      <c r="F541" t="s">
        <v>61</v>
      </c>
      <c r="G541" t="str">
        <f>INDEX(Lookup_Tables!$B$1:$B$7,MATCH(Cleaned_Data!F541,Lookup_Tables!$A$1:$A$7,0))</f>
        <v>Electronics</v>
      </c>
      <c r="H541" t="s">
        <v>54</v>
      </c>
      <c r="I541">
        <v>2</v>
      </c>
      <c r="J541">
        <v>25251</v>
      </c>
      <c r="L541">
        <f t="shared" si="40"/>
        <v>0</v>
      </c>
      <c r="N541">
        <f t="shared" si="41"/>
        <v>50502</v>
      </c>
      <c r="O541">
        <f t="shared" si="42"/>
        <v>50502</v>
      </c>
      <c r="P541">
        <f>I541*IFERROR(_xlfn.XLOOKUP(F541,Lookup_Tables!Product,Cost),0)</f>
        <v>14768</v>
      </c>
      <c r="Q541">
        <f t="shared" si="43"/>
        <v>35734</v>
      </c>
      <c r="R541" s="2">
        <f t="shared" si="44"/>
        <v>0.70757593758663018</v>
      </c>
    </row>
    <row r="542" spans="1:18" x14ac:dyDescent="0.3">
      <c r="A542" t="s">
        <v>599</v>
      </c>
      <c r="B542" s="1">
        <v>45543</v>
      </c>
      <c r="C542" t="s">
        <v>4</v>
      </c>
      <c r="D542" t="s">
        <v>64</v>
      </c>
      <c r="E542" t="s">
        <v>29</v>
      </c>
      <c r="F542" t="s">
        <v>61</v>
      </c>
      <c r="G542" t="str">
        <f>INDEX(Lookup_Tables!$B$1:$B$7,MATCH(Cleaned_Data!F542,Lookup_Tables!$A$1:$A$7,0))</f>
        <v>Electronics</v>
      </c>
      <c r="H542" t="s">
        <v>54</v>
      </c>
      <c r="I542">
        <v>3</v>
      </c>
      <c r="J542">
        <v>19442</v>
      </c>
      <c r="L542">
        <f t="shared" si="40"/>
        <v>0</v>
      </c>
      <c r="M542">
        <v>17424</v>
      </c>
      <c r="N542">
        <f t="shared" si="41"/>
        <v>58326</v>
      </c>
      <c r="O542">
        <f t="shared" si="42"/>
        <v>58326</v>
      </c>
      <c r="P542">
        <f>I542*IFERROR(_xlfn.XLOOKUP(F542,Lookup_Tables!Product,Cost),0)</f>
        <v>22152</v>
      </c>
      <c r="Q542">
        <f t="shared" si="43"/>
        <v>36174</v>
      </c>
      <c r="R542" s="2">
        <f t="shared" si="44"/>
        <v>0.62020368274868842</v>
      </c>
    </row>
    <row r="543" spans="1:18" x14ac:dyDescent="0.3">
      <c r="A543" t="s">
        <v>600</v>
      </c>
      <c r="B543" s="1">
        <v>45303</v>
      </c>
      <c r="C543" t="s">
        <v>3</v>
      </c>
      <c r="D543" t="s">
        <v>64</v>
      </c>
      <c r="E543" t="s">
        <v>29</v>
      </c>
      <c r="F543" t="s">
        <v>23</v>
      </c>
      <c r="G543" t="str">
        <f>INDEX(Lookup_Tables!$B$1:$B$7,MATCH(Cleaned_Data!F543,Lookup_Tables!$A$1:$A$7,0))</f>
        <v>Electronics</v>
      </c>
      <c r="H543" t="s">
        <v>54</v>
      </c>
      <c r="I543">
        <v>7</v>
      </c>
      <c r="J543">
        <v>39304</v>
      </c>
      <c r="L543">
        <f t="shared" si="40"/>
        <v>0</v>
      </c>
      <c r="M543">
        <v>512</v>
      </c>
      <c r="N543">
        <f t="shared" si="41"/>
        <v>275128</v>
      </c>
      <c r="O543">
        <f t="shared" si="42"/>
        <v>275128</v>
      </c>
      <c r="P543">
        <f>I543*IFERROR(_xlfn.XLOOKUP(F543,Lookup_Tables!Product,Cost),0)</f>
        <v>134855</v>
      </c>
      <c r="Q543">
        <f t="shared" si="43"/>
        <v>140273</v>
      </c>
      <c r="R543" s="2">
        <f t="shared" si="44"/>
        <v>0.50984632607368208</v>
      </c>
    </row>
    <row r="544" spans="1:18" x14ac:dyDescent="0.3">
      <c r="A544" t="s">
        <v>601</v>
      </c>
      <c r="B544" s="1">
        <v>45633</v>
      </c>
      <c r="C544" t="s">
        <v>6</v>
      </c>
      <c r="D544" t="s">
        <v>76</v>
      </c>
      <c r="E544" t="s">
        <v>28</v>
      </c>
      <c r="F544" t="s">
        <v>22</v>
      </c>
      <c r="G544" t="str">
        <f>INDEX(Lookup_Tables!$B$1:$B$7,MATCH(Cleaned_Data!F544,Lookup_Tables!$A$1:$A$7,0))</f>
        <v>Furniture</v>
      </c>
      <c r="H544" t="s">
        <v>51</v>
      </c>
      <c r="I544">
        <v>3</v>
      </c>
      <c r="J544">
        <v>37200</v>
      </c>
      <c r="K544">
        <v>0.1</v>
      </c>
      <c r="L544">
        <f t="shared" si="40"/>
        <v>0.1</v>
      </c>
      <c r="N544">
        <f t="shared" si="41"/>
        <v>111600</v>
      </c>
      <c r="O544">
        <f t="shared" si="42"/>
        <v>100440</v>
      </c>
      <c r="P544">
        <f>I544*IFERROR(_xlfn.XLOOKUP(F544,Lookup_Tables!Product,Cost),0)</f>
        <v>39120</v>
      </c>
      <c r="Q544">
        <f t="shared" si="43"/>
        <v>61320</v>
      </c>
      <c r="R544" s="2">
        <f t="shared" si="44"/>
        <v>0.61051373954599764</v>
      </c>
    </row>
    <row r="545" spans="1:18" x14ac:dyDescent="0.3">
      <c r="A545" t="s">
        <v>602</v>
      </c>
      <c r="B545" s="1">
        <v>45473</v>
      </c>
      <c r="C545" t="s">
        <v>4</v>
      </c>
      <c r="D545" t="s">
        <v>56</v>
      </c>
      <c r="E545" t="s">
        <v>27</v>
      </c>
      <c r="F545" t="s">
        <v>61</v>
      </c>
      <c r="G545" t="str">
        <f>INDEX(Lookup_Tables!$B$1:$B$7,MATCH(Cleaned_Data!F545,Lookup_Tables!$A$1:$A$7,0))</f>
        <v>Electronics</v>
      </c>
      <c r="H545" t="s">
        <v>54</v>
      </c>
      <c r="I545">
        <v>6</v>
      </c>
      <c r="J545">
        <v>20565</v>
      </c>
      <c r="K545">
        <v>0.05</v>
      </c>
      <c r="L545">
        <f t="shared" si="40"/>
        <v>0.05</v>
      </c>
      <c r="N545">
        <f t="shared" si="41"/>
        <v>123390</v>
      </c>
      <c r="O545">
        <f t="shared" si="42"/>
        <v>117220.5</v>
      </c>
      <c r="P545">
        <f>I545*IFERROR(_xlfn.XLOOKUP(F545,Lookup_Tables!Product,Cost),0)</f>
        <v>44304</v>
      </c>
      <c r="Q545">
        <f t="shared" si="43"/>
        <v>72916.5</v>
      </c>
      <c r="R545" s="2">
        <f t="shared" si="44"/>
        <v>0.62204563195004292</v>
      </c>
    </row>
    <row r="546" spans="1:18" x14ac:dyDescent="0.3">
      <c r="A546" t="s">
        <v>603</v>
      </c>
      <c r="B546" s="1">
        <v>45623</v>
      </c>
      <c r="C546" t="s">
        <v>3</v>
      </c>
      <c r="D546" t="s">
        <v>49</v>
      </c>
      <c r="E546" t="s">
        <v>28</v>
      </c>
      <c r="F546" t="s">
        <v>22</v>
      </c>
      <c r="G546" t="str">
        <f>INDEX(Lookup_Tables!$B$1:$B$7,MATCH(Cleaned_Data!F546,Lookup_Tables!$A$1:$A$7,0))</f>
        <v>Furniture</v>
      </c>
      <c r="H546" t="s">
        <v>51</v>
      </c>
      <c r="I546">
        <v>9</v>
      </c>
      <c r="J546">
        <v>17888</v>
      </c>
      <c r="K546">
        <v>0.1</v>
      </c>
      <c r="L546">
        <f t="shared" si="40"/>
        <v>0.1</v>
      </c>
      <c r="M546">
        <v>22499</v>
      </c>
      <c r="N546">
        <f t="shared" si="41"/>
        <v>160992</v>
      </c>
      <c r="O546">
        <f t="shared" si="42"/>
        <v>144892.79999999999</v>
      </c>
      <c r="P546">
        <f>I546*IFERROR(_xlfn.XLOOKUP(F546,Lookup_Tables!Product,Cost),0)</f>
        <v>117360</v>
      </c>
      <c r="Q546">
        <f t="shared" si="43"/>
        <v>27532.799999999988</v>
      </c>
      <c r="R546" s="2">
        <f t="shared" si="44"/>
        <v>0.19002186444046903</v>
      </c>
    </row>
    <row r="547" spans="1:18" x14ac:dyDescent="0.3">
      <c r="A547" t="s">
        <v>604</v>
      </c>
      <c r="B547" s="1">
        <v>45392</v>
      </c>
      <c r="C547" t="s">
        <v>6</v>
      </c>
      <c r="D547" t="s">
        <v>64</v>
      </c>
      <c r="E547" t="s">
        <v>25</v>
      </c>
      <c r="F547" t="s">
        <v>50</v>
      </c>
      <c r="G547" t="str">
        <f>INDEX(Lookup_Tables!$B$1:$B$7,MATCH(Cleaned_Data!F547,Lookup_Tables!$A$1:$A$7,0))</f>
        <v>Furniture</v>
      </c>
      <c r="H547" t="s">
        <v>51</v>
      </c>
      <c r="I547">
        <v>10</v>
      </c>
      <c r="J547">
        <v>22044</v>
      </c>
      <c r="K547">
        <v>0</v>
      </c>
      <c r="L547">
        <f t="shared" si="40"/>
        <v>0</v>
      </c>
      <c r="M547">
        <v>4760</v>
      </c>
      <c r="N547">
        <f t="shared" si="41"/>
        <v>220440</v>
      </c>
      <c r="O547">
        <f t="shared" si="42"/>
        <v>220440</v>
      </c>
      <c r="P547">
        <f>I547*IFERROR(_xlfn.XLOOKUP(F547,Lookup_Tables!Product,Cost),0)</f>
        <v>132710</v>
      </c>
      <c r="Q547">
        <f t="shared" si="43"/>
        <v>87730</v>
      </c>
      <c r="R547" s="2">
        <f t="shared" si="44"/>
        <v>0.39797677372527673</v>
      </c>
    </row>
    <row r="548" spans="1:18" x14ac:dyDescent="0.3">
      <c r="A548" t="s">
        <v>605</v>
      </c>
      <c r="B548" s="1">
        <v>45633</v>
      </c>
      <c r="C548" t="s">
        <v>4</v>
      </c>
      <c r="D548" t="s">
        <v>56</v>
      </c>
      <c r="E548" t="s">
        <v>28</v>
      </c>
      <c r="F548" t="s">
        <v>50</v>
      </c>
      <c r="G548" t="str">
        <f>INDEX(Lookup_Tables!$B$1:$B$7,MATCH(Cleaned_Data!F548,Lookup_Tables!$A$1:$A$7,0))</f>
        <v>Furniture</v>
      </c>
      <c r="H548" t="s">
        <v>51</v>
      </c>
      <c r="I548">
        <v>7</v>
      </c>
      <c r="J548">
        <v>6637</v>
      </c>
      <c r="K548">
        <v>0.05</v>
      </c>
      <c r="L548">
        <f t="shared" si="40"/>
        <v>0.05</v>
      </c>
      <c r="N548">
        <f t="shared" si="41"/>
        <v>46459</v>
      </c>
      <c r="O548">
        <f t="shared" si="42"/>
        <v>44136.05</v>
      </c>
      <c r="P548">
        <f>I548*IFERROR(_xlfn.XLOOKUP(F548,Lookup_Tables!Product,Cost),0)</f>
        <v>92897</v>
      </c>
      <c r="Q548">
        <f t="shared" si="43"/>
        <v>-48760.95</v>
      </c>
      <c r="R548" s="2">
        <f t="shared" si="44"/>
        <v>-1.1047873563674138</v>
      </c>
    </row>
    <row r="549" spans="1:18" x14ac:dyDescent="0.3">
      <c r="A549" t="s">
        <v>606</v>
      </c>
      <c r="B549" s="1">
        <v>45364</v>
      </c>
      <c r="C549" t="s">
        <v>4</v>
      </c>
      <c r="D549" t="s">
        <v>49</v>
      </c>
      <c r="E549" t="s">
        <v>29</v>
      </c>
      <c r="F549" t="s">
        <v>58</v>
      </c>
      <c r="G549" t="str">
        <f>INDEX(Lookup_Tables!$B$1:$B$7,MATCH(Cleaned_Data!F549,Lookup_Tables!$A$1:$A$7,0))</f>
        <v>Electronics</v>
      </c>
      <c r="H549" t="s">
        <v>54</v>
      </c>
      <c r="I549">
        <v>5</v>
      </c>
      <c r="J549">
        <v>41109</v>
      </c>
      <c r="K549">
        <v>0.05</v>
      </c>
      <c r="L549">
        <f t="shared" si="40"/>
        <v>0.05</v>
      </c>
      <c r="M549">
        <v>4334</v>
      </c>
      <c r="N549">
        <f t="shared" si="41"/>
        <v>205545</v>
      </c>
      <c r="O549">
        <f t="shared" si="42"/>
        <v>195267.75</v>
      </c>
      <c r="P549">
        <f>I549*IFERROR(_xlfn.XLOOKUP(F549,Lookup_Tables!Product,Cost),0)</f>
        <v>14440</v>
      </c>
      <c r="Q549">
        <f t="shared" si="43"/>
        <v>180827.75</v>
      </c>
      <c r="R549" s="2">
        <f t="shared" si="44"/>
        <v>0.92605025663480012</v>
      </c>
    </row>
    <row r="550" spans="1:18" x14ac:dyDescent="0.3">
      <c r="A550" t="s">
        <v>607</v>
      </c>
      <c r="B550" s="1">
        <v>45304</v>
      </c>
      <c r="C550" t="s">
        <v>6</v>
      </c>
      <c r="D550" t="s">
        <v>49</v>
      </c>
      <c r="E550" t="s">
        <v>29</v>
      </c>
      <c r="F550" t="s">
        <v>22</v>
      </c>
      <c r="G550" t="str">
        <f>INDEX(Lookup_Tables!$B$1:$B$7,MATCH(Cleaned_Data!F550,Lookup_Tables!$A$1:$A$7,0))</f>
        <v>Furniture</v>
      </c>
      <c r="H550" t="s">
        <v>51</v>
      </c>
      <c r="I550">
        <v>6</v>
      </c>
      <c r="J550">
        <v>5896</v>
      </c>
      <c r="K550">
        <v>0.1</v>
      </c>
      <c r="L550">
        <f t="shared" si="40"/>
        <v>0.1</v>
      </c>
      <c r="N550">
        <f t="shared" si="41"/>
        <v>35376</v>
      </c>
      <c r="O550">
        <f t="shared" si="42"/>
        <v>31838.400000000001</v>
      </c>
      <c r="P550">
        <f>I550*IFERROR(_xlfn.XLOOKUP(F550,Lookup_Tables!Product,Cost),0)</f>
        <v>78240</v>
      </c>
      <c r="Q550">
        <f t="shared" si="43"/>
        <v>-46401.599999999999</v>
      </c>
      <c r="R550" s="2">
        <f t="shared" si="44"/>
        <v>-1.4574099200964872</v>
      </c>
    </row>
    <row r="551" spans="1:18" x14ac:dyDescent="0.3">
      <c r="A551" t="s">
        <v>608</v>
      </c>
      <c r="B551" s="1">
        <v>45325</v>
      </c>
      <c r="C551" t="s">
        <v>3</v>
      </c>
      <c r="D551" t="s">
        <v>64</v>
      </c>
      <c r="E551" t="s">
        <v>29</v>
      </c>
      <c r="F551" t="s">
        <v>24</v>
      </c>
      <c r="G551" t="str">
        <f>INDEX(Lookup_Tables!$B$1:$B$7,MATCH(Cleaned_Data!F551,Lookup_Tables!$A$1:$A$7,0))</f>
        <v>Electronics</v>
      </c>
      <c r="H551" t="s">
        <v>54</v>
      </c>
      <c r="I551">
        <v>1</v>
      </c>
      <c r="J551">
        <v>23401</v>
      </c>
      <c r="K551">
        <v>0.05</v>
      </c>
      <c r="L551">
        <f t="shared" si="40"/>
        <v>0.05</v>
      </c>
      <c r="N551">
        <f t="shared" si="41"/>
        <v>23401</v>
      </c>
      <c r="O551">
        <f t="shared" si="42"/>
        <v>22230.95</v>
      </c>
      <c r="P551">
        <f>I551*IFERROR(_xlfn.XLOOKUP(F551,Lookup_Tables!Product,Cost),0)</f>
        <v>28046</v>
      </c>
      <c r="Q551">
        <f t="shared" si="43"/>
        <v>-5815.0499999999993</v>
      </c>
      <c r="R551" s="2">
        <f t="shared" si="44"/>
        <v>-0.26157451660860193</v>
      </c>
    </row>
    <row r="552" spans="1:18" x14ac:dyDescent="0.3">
      <c r="A552" t="s">
        <v>609</v>
      </c>
      <c r="B552" s="1">
        <v>45570</v>
      </c>
      <c r="C552" t="s">
        <v>4</v>
      </c>
      <c r="D552" t="s">
        <v>64</v>
      </c>
      <c r="E552" t="s">
        <v>29</v>
      </c>
      <c r="F552" t="s">
        <v>50</v>
      </c>
      <c r="G552" t="str">
        <f>INDEX(Lookup_Tables!$B$1:$B$7,MATCH(Cleaned_Data!F552,Lookup_Tables!$A$1:$A$7,0))</f>
        <v>Furniture</v>
      </c>
      <c r="H552" t="s">
        <v>51</v>
      </c>
      <c r="I552">
        <v>2</v>
      </c>
      <c r="J552">
        <v>37022</v>
      </c>
      <c r="K552">
        <v>0.05</v>
      </c>
      <c r="L552">
        <f t="shared" si="40"/>
        <v>0.05</v>
      </c>
      <c r="N552">
        <f t="shared" si="41"/>
        <v>74044</v>
      </c>
      <c r="O552">
        <f t="shared" si="42"/>
        <v>70341.8</v>
      </c>
      <c r="P552">
        <f>I552*IFERROR(_xlfn.XLOOKUP(F552,Lookup_Tables!Product,Cost),0)</f>
        <v>26542</v>
      </c>
      <c r="Q552">
        <f t="shared" si="43"/>
        <v>43799.8</v>
      </c>
      <c r="R552" s="2">
        <f t="shared" si="44"/>
        <v>0.62267101495838895</v>
      </c>
    </row>
    <row r="553" spans="1:18" x14ac:dyDescent="0.3">
      <c r="A553" t="s">
        <v>610</v>
      </c>
      <c r="B553" s="1">
        <v>45596</v>
      </c>
      <c r="C553" t="s">
        <v>3</v>
      </c>
      <c r="D553" t="s">
        <v>53</v>
      </c>
      <c r="E553" t="s">
        <v>28</v>
      </c>
      <c r="F553" t="s">
        <v>23</v>
      </c>
      <c r="G553" t="str">
        <f>INDEX(Lookup_Tables!$B$1:$B$7,MATCH(Cleaned_Data!F553,Lookup_Tables!$A$1:$A$7,0))</f>
        <v>Electronics</v>
      </c>
      <c r="H553" t="s">
        <v>54</v>
      </c>
      <c r="I553">
        <v>9</v>
      </c>
      <c r="J553">
        <v>26996</v>
      </c>
      <c r="K553">
        <v>0</v>
      </c>
      <c r="L553">
        <f t="shared" si="40"/>
        <v>0</v>
      </c>
      <c r="N553">
        <f t="shared" si="41"/>
        <v>242964</v>
      </c>
      <c r="O553">
        <f t="shared" si="42"/>
        <v>242964</v>
      </c>
      <c r="P553">
        <f>I553*IFERROR(_xlfn.XLOOKUP(F553,Lookup_Tables!Product,Cost),0)</f>
        <v>173385</v>
      </c>
      <c r="Q553">
        <f t="shared" si="43"/>
        <v>69579</v>
      </c>
      <c r="R553" s="2">
        <f t="shared" si="44"/>
        <v>0.2863757593717588</v>
      </c>
    </row>
    <row r="554" spans="1:18" x14ac:dyDescent="0.3">
      <c r="A554" t="s">
        <v>611</v>
      </c>
      <c r="B554" s="1">
        <v>45419</v>
      </c>
      <c r="C554" t="s">
        <v>6</v>
      </c>
      <c r="D554" t="s">
        <v>49</v>
      </c>
      <c r="E554" t="s">
        <v>26</v>
      </c>
      <c r="F554" t="s">
        <v>50</v>
      </c>
      <c r="G554" t="str">
        <f>INDEX(Lookup_Tables!$B$1:$B$7,MATCH(Cleaned_Data!F554,Lookup_Tables!$A$1:$A$7,0))</f>
        <v>Furniture</v>
      </c>
      <c r="H554" t="s">
        <v>51</v>
      </c>
      <c r="I554">
        <v>9</v>
      </c>
      <c r="J554">
        <v>36262</v>
      </c>
      <c r="K554">
        <v>0.05</v>
      </c>
      <c r="L554">
        <f t="shared" si="40"/>
        <v>0.05</v>
      </c>
      <c r="N554">
        <f t="shared" si="41"/>
        <v>326358</v>
      </c>
      <c r="O554">
        <f t="shared" si="42"/>
        <v>310040.09999999998</v>
      </c>
      <c r="P554">
        <f>I554*IFERROR(_xlfn.XLOOKUP(F554,Lookup_Tables!Product,Cost),0)</f>
        <v>119439</v>
      </c>
      <c r="Q554">
        <f t="shared" si="43"/>
        <v>190601.09999999998</v>
      </c>
      <c r="R554" s="2">
        <f t="shared" si="44"/>
        <v>0.61476273553001692</v>
      </c>
    </row>
    <row r="555" spans="1:18" x14ac:dyDescent="0.3">
      <c r="A555" t="s">
        <v>612</v>
      </c>
      <c r="B555" s="1">
        <v>45419</v>
      </c>
      <c r="C555" t="s">
        <v>4</v>
      </c>
      <c r="D555" t="s">
        <v>53</v>
      </c>
      <c r="E555" t="s">
        <v>28</v>
      </c>
      <c r="F555" t="s">
        <v>23</v>
      </c>
      <c r="G555" t="str">
        <f>INDEX(Lookup_Tables!$B$1:$B$7,MATCH(Cleaned_Data!F555,Lookup_Tables!$A$1:$A$7,0))</f>
        <v>Electronics</v>
      </c>
      <c r="H555" t="s">
        <v>54</v>
      </c>
      <c r="I555">
        <v>2</v>
      </c>
      <c r="J555">
        <v>906</v>
      </c>
      <c r="L555">
        <f t="shared" si="40"/>
        <v>0</v>
      </c>
      <c r="M555">
        <v>29735</v>
      </c>
      <c r="N555">
        <f t="shared" si="41"/>
        <v>1812</v>
      </c>
      <c r="O555">
        <f t="shared" si="42"/>
        <v>1812</v>
      </c>
      <c r="P555">
        <f>I555*IFERROR(_xlfn.XLOOKUP(F555,Lookup_Tables!Product,Cost),0)</f>
        <v>38530</v>
      </c>
      <c r="Q555">
        <f t="shared" si="43"/>
        <v>-36718</v>
      </c>
      <c r="R555" s="2">
        <f t="shared" si="44"/>
        <v>-20.263796909492275</v>
      </c>
    </row>
    <row r="556" spans="1:18" x14ac:dyDescent="0.3">
      <c r="A556" t="s">
        <v>613</v>
      </c>
      <c r="B556" s="1">
        <v>45603</v>
      </c>
      <c r="C556" t="s">
        <v>4</v>
      </c>
      <c r="D556" t="s">
        <v>69</v>
      </c>
      <c r="E556" t="s">
        <v>25</v>
      </c>
      <c r="F556" t="s">
        <v>61</v>
      </c>
      <c r="G556" t="str">
        <f>INDEX(Lookup_Tables!$B$1:$B$7,MATCH(Cleaned_Data!F556,Lookup_Tables!$A$1:$A$7,0))</f>
        <v>Electronics</v>
      </c>
      <c r="H556" t="s">
        <v>54</v>
      </c>
      <c r="I556">
        <v>2</v>
      </c>
      <c r="J556">
        <v>20900</v>
      </c>
      <c r="K556">
        <v>0.1</v>
      </c>
      <c r="L556">
        <f t="shared" si="40"/>
        <v>0.1</v>
      </c>
      <c r="N556">
        <f t="shared" si="41"/>
        <v>41800</v>
      </c>
      <c r="O556">
        <f t="shared" si="42"/>
        <v>37620</v>
      </c>
      <c r="P556">
        <f>I556*IFERROR(_xlfn.XLOOKUP(F556,Lookup_Tables!Product,Cost),0)</f>
        <v>14768</v>
      </c>
      <c r="Q556">
        <f t="shared" si="43"/>
        <v>22852</v>
      </c>
      <c r="R556" s="2">
        <f t="shared" si="44"/>
        <v>0.60744284954811267</v>
      </c>
    </row>
    <row r="557" spans="1:18" x14ac:dyDescent="0.3">
      <c r="A557" t="s">
        <v>614</v>
      </c>
      <c r="B557" s="1">
        <v>45427</v>
      </c>
      <c r="C557" t="s">
        <v>5</v>
      </c>
      <c r="D557" t="s">
        <v>49</v>
      </c>
      <c r="E557" t="s">
        <v>25</v>
      </c>
      <c r="F557" t="s">
        <v>61</v>
      </c>
      <c r="G557" t="str">
        <f>INDEX(Lookup_Tables!$B$1:$B$7,MATCH(Cleaned_Data!F557,Lookup_Tables!$A$1:$A$7,0))</f>
        <v>Electronics</v>
      </c>
      <c r="H557" t="s">
        <v>54</v>
      </c>
      <c r="I557">
        <v>3</v>
      </c>
      <c r="J557">
        <v>29459</v>
      </c>
      <c r="K557">
        <v>0</v>
      </c>
      <c r="L557">
        <f t="shared" si="40"/>
        <v>0</v>
      </c>
      <c r="N557">
        <f t="shared" si="41"/>
        <v>88377</v>
      </c>
      <c r="O557">
        <f t="shared" si="42"/>
        <v>88377</v>
      </c>
      <c r="P557">
        <f>I557*IFERROR(_xlfn.XLOOKUP(F557,Lookup_Tables!Product,Cost),0)</f>
        <v>22152</v>
      </c>
      <c r="Q557">
        <f t="shared" si="43"/>
        <v>66225</v>
      </c>
      <c r="R557" s="2">
        <f t="shared" si="44"/>
        <v>0.74934654944159684</v>
      </c>
    </row>
    <row r="558" spans="1:18" x14ac:dyDescent="0.3">
      <c r="A558" t="s">
        <v>615</v>
      </c>
      <c r="B558" s="1">
        <v>45525</v>
      </c>
      <c r="C558" t="s">
        <v>3</v>
      </c>
      <c r="D558" t="s">
        <v>56</v>
      </c>
      <c r="E558" t="s">
        <v>28</v>
      </c>
      <c r="F558" t="s">
        <v>61</v>
      </c>
      <c r="G558" t="str">
        <f>INDEX(Lookup_Tables!$B$1:$B$7,MATCH(Cleaned_Data!F558,Lookup_Tables!$A$1:$A$7,0))</f>
        <v>Electronics</v>
      </c>
      <c r="H558" t="s">
        <v>54</v>
      </c>
      <c r="I558">
        <v>3</v>
      </c>
      <c r="J558">
        <v>17653</v>
      </c>
      <c r="K558">
        <v>0</v>
      </c>
      <c r="L558">
        <f t="shared" si="40"/>
        <v>0</v>
      </c>
      <c r="N558">
        <f t="shared" si="41"/>
        <v>52959</v>
      </c>
      <c r="O558">
        <f t="shared" si="42"/>
        <v>52959</v>
      </c>
      <c r="P558">
        <f>I558*IFERROR(_xlfn.XLOOKUP(F558,Lookup_Tables!Product,Cost),0)</f>
        <v>22152</v>
      </c>
      <c r="Q558">
        <f t="shared" si="43"/>
        <v>30807</v>
      </c>
      <c r="R558" s="2">
        <f t="shared" si="44"/>
        <v>0.58171415623406786</v>
      </c>
    </row>
    <row r="559" spans="1:18" x14ac:dyDescent="0.3">
      <c r="A559" t="s">
        <v>616</v>
      </c>
      <c r="B559" s="1">
        <v>45587</v>
      </c>
      <c r="C559" t="s">
        <v>3</v>
      </c>
      <c r="D559" t="s">
        <v>56</v>
      </c>
      <c r="E559" t="s">
        <v>29</v>
      </c>
      <c r="F559" t="s">
        <v>23</v>
      </c>
      <c r="G559" t="str">
        <f>INDEX(Lookup_Tables!$B$1:$B$7,MATCH(Cleaned_Data!F559,Lookup_Tables!$A$1:$A$7,0))</f>
        <v>Electronics</v>
      </c>
      <c r="H559" t="s">
        <v>54</v>
      </c>
      <c r="I559">
        <v>10</v>
      </c>
      <c r="J559">
        <v>21770</v>
      </c>
      <c r="K559">
        <v>0.05</v>
      </c>
      <c r="L559">
        <f t="shared" si="40"/>
        <v>0.05</v>
      </c>
      <c r="N559">
        <f t="shared" si="41"/>
        <v>217700</v>
      </c>
      <c r="O559">
        <f t="shared" si="42"/>
        <v>206815</v>
      </c>
      <c r="P559">
        <f>I559*IFERROR(_xlfn.XLOOKUP(F559,Lookup_Tables!Product,Cost),0)</f>
        <v>192650</v>
      </c>
      <c r="Q559">
        <f t="shared" si="43"/>
        <v>14165</v>
      </c>
      <c r="R559" s="2">
        <f t="shared" si="44"/>
        <v>6.8491163600319122E-2</v>
      </c>
    </row>
    <row r="560" spans="1:18" x14ac:dyDescent="0.3">
      <c r="A560" t="s">
        <v>617</v>
      </c>
      <c r="B560" s="1">
        <v>45418</v>
      </c>
      <c r="C560" t="s">
        <v>4</v>
      </c>
      <c r="D560" t="s">
        <v>56</v>
      </c>
      <c r="E560" t="s">
        <v>28</v>
      </c>
      <c r="F560" t="s">
        <v>22</v>
      </c>
      <c r="G560" t="str">
        <f>INDEX(Lookup_Tables!$B$1:$B$7,MATCH(Cleaned_Data!F560,Lookup_Tables!$A$1:$A$7,0))</f>
        <v>Furniture</v>
      </c>
      <c r="H560" t="s">
        <v>51</v>
      </c>
      <c r="I560">
        <v>7</v>
      </c>
      <c r="J560">
        <v>12865</v>
      </c>
      <c r="L560">
        <f t="shared" si="40"/>
        <v>0</v>
      </c>
      <c r="N560">
        <f t="shared" si="41"/>
        <v>90055</v>
      </c>
      <c r="O560">
        <f t="shared" si="42"/>
        <v>90055</v>
      </c>
      <c r="P560">
        <f>I560*IFERROR(_xlfn.XLOOKUP(F560,Lookup_Tables!Product,Cost),0)</f>
        <v>91280</v>
      </c>
      <c r="Q560">
        <f t="shared" si="43"/>
        <v>-1225</v>
      </c>
      <c r="R560" s="2">
        <f t="shared" si="44"/>
        <v>-1.3602798289933929E-2</v>
      </c>
    </row>
    <row r="561" spans="1:18" x14ac:dyDescent="0.3">
      <c r="A561" t="s">
        <v>618</v>
      </c>
      <c r="B561" s="1">
        <v>45638</v>
      </c>
      <c r="C561" t="s">
        <v>5</v>
      </c>
      <c r="D561" t="s">
        <v>49</v>
      </c>
      <c r="E561" t="s">
        <v>25</v>
      </c>
      <c r="F561" t="s">
        <v>22</v>
      </c>
      <c r="G561" t="str">
        <f>INDEX(Lookup_Tables!$B$1:$B$7,MATCH(Cleaned_Data!F561,Lookup_Tables!$A$1:$A$7,0))</f>
        <v>Furniture</v>
      </c>
      <c r="H561" t="s">
        <v>51</v>
      </c>
      <c r="I561">
        <v>10</v>
      </c>
      <c r="J561">
        <v>36940</v>
      </c>
      <c r="K561">
        <v>0.1</v>
      </c>
      <c r="L561">
        <f t="shared" si="40"/>
        <v>0.1</v>
      </c>
      <c r="N561">
        <f t="shared" si="41"/>
        <v>369400</v>
      </c>
      <c r="O561">
        <f t="shared" si="42"/>
        <v>332460</v>
      </c>
      <c r="P561">
        <f>I561*IFERROR(_xlfn.XLOOKUP(F561,Lookup_Tables!Product,Cost),0)</f>
        <v>130400</v>
      </c>
      <c r="Q561">
        <f t="shared" si="43"/>
        <v>202060</v>
      </c>
      <c r="R561" s="2">
        <f t="shared" si="44"/>
        <v>0.60777236359261266</v>
      </c>
    </row>
    <row r="562" spans="1:18" x14ac:dyDescent="0.3">
      <c r="A562" t="s">
        <v>619</v>
      </c>
      <c r="B562" s="1">
        <v>45587</v>
      </c>
      <c r="C562" t="s">
        <v>5</v>
      </c>
      <c r="D562" t="s">
        <v>76</v>
      </c>
      <c r="E562" t="s">
        <v>25</v>
      </c>
      <c r="F562" t="s">
        <v>61</v>
      </c>
      <c r="G562" t="str">
        <f>INDEX(Lookup_Tables!$B$1:$B$7,MATCH(Cleaned_Data!F562,Lookup_Tables!$A$1:$A$7,0))</f>
        <v>Electronics</v>
      </c>
      <c r="H562" t="s">
        <v>54</v>
      </c>
      <c r="I562">
        <v>7</v>
      </c>
      <c r="J562">
        <v>39208</v>
      </c>
      <c r="K562">
        <v>0</v>
      </c>
      <c r="L562">
        <f t="shared" si="40"/>
        <v>0</v>
      </c>
      <c r="M562">
        <v>2472</v>
      </c>
      <c r="N562">
        <f t="shared" si="41"/>
        <v>274456</v>
      </c>
      <c r="O562">
        <f t="shared" si="42"/>
        <v>274456</v>
      </c>
      <c r="P562">
        <f>I562*IFERROR(_xlfn.XLOOKUP(F562,Lookup_Tables!Product,Cost),0)</f>
        <v>51688</v>
      </c>
      <c r="Q562">
        <f t="shared" si="43"/>
        <v>222768</v>
      </c>
      <c r="R562" s="2">
        <f t="shared" si="44"/>
        <v>0.81167108753315653</v>
      </c>
    </row>
    <row r="563" spans="1:18" x14ac:dyDescent="0.3">
      <c r="A563" t="s">
        <v>620</v>
      </c>
      <c r="B563" s="1">
        <v>45616</v>
      </c>
      <c r="C563" t="s">
        <v>6</v>
      </c>
      <c r="D563" t="s">
        <v>49</v>
      </c>
      <c r="E563" t="s">
        <v>27</v>
      </c>
      <c r="F563" t="s">
        <v>58</v>
      </c>
      <c r="G563" t="str">
        <f>INDEX(Lookup_Tables!$B$1:$B$7,MATCH(Cleaned_Data!F563,Lookup_Tables!$A$1:$A$7,0))</f>
        <v>Electronics</v>
      </c>
      <c r="H563" t="s">
        <v>54</v>
      </c>
      <c r="I563">
        <v>2</v>
      </c>
      <c r="J563">
        <v>20118</v>
      </c>
      <c r="K563">
        <v>0</v>
      </c>
      <c r="L563">
        <f t="shared" si="40"/>
        <v>0</v>
      </c>
      <c r="M563">
        <v>14407</v>
      </c>
      <c r="N563">
        <f t="shared" si="41"/>
        <v>40236</v>
      </c>
      <c r="O563">
        <f t="shared" si="42"/>
        <v>40236</v>
      </c>
      <c r="P563">
        <f>I563*IFERROR(_xlfn.XLOOKUP(F563,Lookup_Tables!Product,Cost),0)</f>
        <v>5776</v>
      </c>
      <c r="Q563">
        <f t="shared" si="43"/>
        <v>34460</v>
      </c>
      <c r="R563" s="2">
        <f t="shared" si="44"/>
        <v>0.8564469629187792</v>
      </c>
    </row>
    <row r="564" spans="1:18" x14ac:dyDescent="0.3">
      <c r="A564" t="s">
        <v>621</v>
      </c>
      <c r="B564" s="1">
        <v>45404</v>
      </c>
      <c r="C564" t="s">
        <v>6</v>
      </c>
      <c r="D564" t="s">
        <v>76</v>
      </c>
      <c r="E564" t="s">
        <v>27</v>
      </c>
      <c r="F564" t="s">
        <v>23</v>
      </c>
      <c r="G564" t="str">
        <f>INDEX(Lookup_Tables!$B$1:$B$7,MATCH(Cleaned_Data!F564,Lookup_Tables!$A$1:$A$7,0))</f>
        <v>Electronics</v>
      </c>
      <c r="H564" t="s">
        <v>54</v>
      </c>
      <c r="I564">
        <v>2</v>
      </c>
      <c r="J564">
        <v>15154</v>
      </c>
      <c r="K564">
        <v>0</v>
      </c>
      <c r="L564">
        <f t="shared" si="40"/>
        <v>0</v>
      </c>
      <c r="N564">
        <f t="shared" si="41"/>
        <v>30308</v>
      </c>
      <c r="O564">
        <f t="shared" si="42"/>
        <v>30308</v>
      </c>
      <c r="P564">
        <f>I564*IFERROR(_xlfn.XLOOKUP(F564,Lookup_Tables!Product,Cost),0)</f>
        <v>38530</v>
      </c>
      <c r="Q564">
        <f t="shared" si="43"/>
        <v>-8222</v>
      </c>
      <c r="R564" s="2">
        <f t="shared" si="44"/>
        <v>-0.27128150983238747</v>
      </c>
    </row>
    <row r="565" spans="1:18" x14ac:dyDescent="0.3">
      <c r="A565" t="s">
        <v>622</v>
      </c>
      <c r="B565" s="1">
        <v>45497</v>
      </c>
      <c r="C565" t="s">
        <v>5</v>
      </c>
      <c r="D565" t="s">
        <v>56</v>
      </c>
      <c r="E565" t="s">
        <v>25</v>
      </c>
      <c r="F565" t="s">
        <v>22</v>
      </c>
      <c r="G565" t="str">
        <f>INDEX(Lookup_Tables!$B$1:$B$7,MATCH(Cleaned_Data!F565,Lookup_Tables!$A$1:$A$7,0))</f>
        <v>Furniture</v>
      </c>
      <c r="H565" t="s">
        <v>51</v>
      </c>
      <c r="I565">
        <v>3</v>
      </c>
      <c r="J565">
        <v>8350</v>
      </c>
      <c r="K565">
        <v>0.05</v>
      </c>
      <c r="L565">
        <f t="shared" si="40"/>
        <v>0.05</v>
      </c>
      <c r="M565">
        <v>23727</v>
      </c>
      <c r="N565">
        <f t="shared" si="41"/>
        <v>25050</v>
      </c>
      <c r="O565">
        <f t="shared" si="42"/>
        <v>23797.5</v>
      </c>
      <c r="P565">
        <f>I565*IFERROR(_xlfn.XLOOKUP(F565,Lookup_Tables!Product,Cost),0)</f>
        <v>39120</v>
      </c>
      <c r="Q565">
        <f t="shared" si="43"/>
        <v>-15322.5</v>
      </c>
      <c r="R565" s="2">
        <f t="shared" si="44"/>
        <v>-0.64387015442798612</v>
      </c>
    </row>
    <row r="566" spans="1:18" x14ac:dyDescent="0.3">
      <c r="A566" t="s">
        <v>623</v>
      </c>
      <c r="B566" s="1">
        <v>45436</v>
      </c>
      <c r="C566" t="s">
        <v>4</v>
      </c>
      <c r="D566" t="s">
        <v>53</v>
      </c>
      <c r="E566" t="s">
        <v>26</v>
      </c>
      <c r="F566" t="s">
        <v>24</v>
      </c>
      <c r="G566" t="str">
        <f>INDEX(Lookup_Tables!$B$1:$B$7,MATCH(Cleaned_Data!F566,Lookup_Tables!$A$1:$A$7,0))</f>
        <v>Electronics</v>
      </c>
      <c r="H566" t="s">
        <v>54</v>
      </c>
      <c r="I566">
        <v>7</v>
      </c>
      <c r="J566">
        <v>32701</v>
      </c>
      <c r="K566">
        <v>0.1</v>
      </c>
      <c r="L566">
        <f t="shared" si="40"/>
        <v>0.1</v>
      </c>
      <c r="N566">
        <f t="shared" si="41"/>
        <v>228907</v>
      </c>
      <c r="O566">
        <f t="shared" si="42"/>
        <v>206016.3</v>
      </c>
      <c r="P566">
        <f>I566*IFERROR(_xlfn.XLOOKUP(F566,Lookup_Tables!Product,Cost),0)</f>
        <v>196322</v>
      </c>
      <c r="Q566">
        <f t="shared" si="43"/>
        <v>9694.2999999999884</v>
      </c>
      <c r="R566" s="2">
        <f t="shared" si="44"/>
        <v>4.7055985375914378E-2</v>
      </c>
    </row>
    <row r="567" spans="1:18" x14ac:dyDescent="0.3">
      <c r="A567" t="s">
        <v>624</v>
      </c>
      <c r="B567" s="1">
        <v>45306</v>
      </c>
      <c r="C567" t="s">
        <v>3</v>
      </c>
      <c r="D567" t="s">
        <v>64</v>
      </c>
      <c r="E567" t="s">
        <v>26</v>
      </c>
      <c r="F567" t="s">
        <v>22</v>
      </c>
      <c r="G567" t="str">
        <f>INDEX(Lookup_Tables!$B$1:$B$7,MATCH(Cleaned_Data!F567,Lookup_Tables!$A$1:$A$7,0))</f>
        <v>Furniture</v>
      </c>
      <c r="H567" t="s">
        <v>51</v>
      </c>
      <c r="I567">
        <v>3</v>
      </c>
      <c r="J567">
        <v>17006</v>
      </c>
      <c r="K567">
        <v>0.05</v>
      </c>
      <c r="L567">
        <f t="shared" si="40"/>
        <v>0.05</v>
      </c>
      <c r="N567">
        <f t="shared" si="41"/>
        <v>51018</v>
      </c>
      <c r="O567">
        <f t="shared" si="42"/>
        <v>48467.1</v>
      </c>
      <c r="P567">
        <f>I567*IFERROR(_xlfn.XLOOKUP(F567,Lookup_Tables!Product,Cost),0)</f>
        <v>39120</v>
      </c>
      <c r="Q567">
        <f t="shared" si="43"/>
        <v>9347.0999999999985</v>
      </c>
      <c r="R567" s="2">
        <f t="shared" si="44"/>
        <v>0.19285453431296692</v>
      </c>
    </row>
    <row r="568" spans="1:18" x14ac:dyDescent="0.3">
      <c r="A568" t="s">
        <v>625</v>
      </c>
      <c r="B568" s="1">
        <v>45478</v>
      </c>
      <c r="C568" t="s">
        <v>6</v>
      </c>
      <c r="D568" t="s">
        <v>64</v>
      </c>
      <c r="E568" t="s">
        <v>29</v>
      </c>
      <c r="F568" t="s">
        <v>50</v>
      </c>
      <c r="G568" t="str">
        <f>INDEX(Lookup_Tables!$B$1:$B$7,MATCH(Cleaned_Data!F568,Lookup_Tables!$A$1:$A$7,0))</f>
        <v>Furniture</v>
      </c>
      <c r="H568" t="s">
        <v>51</v>
      </c>
      <c r="I568">
        <v>8</v>
      </c>
      <c r="J568">
        <v>40449</v>
      </c>
      <c r="K568">
        <v>0</v>
      </c>
      <c r="L568">
        <f t="shared" si="40"/>
        <v>0</v>
      </c>
      <c r="N568">
        <f t="shared" si="41"/>
        <v>323592</v>
      </c>
      <c r="O568">
        <f t="shared" si="42"/>
        <v>323592</v>
      </c>
      <c r="P568">
        <f>I568*IFERROR(_xlfn.XLOOKUP(F568,Lookup_Tables!Product,Cost),0)</f>
        <v>106168</v>
      </c>
      <c r="Q568">
        <f t="shared" si="43"/>
        <v>217424</v>
      </c>
      <c r="R568" s="2">
        <f t="shared" si="44"/>
        <v>0.67190783455709657</v>
      </c>
    </row>
    <row r="569" spans="1:18" x14ac:dyDescent="0.3">
      <c r="A569" t="s">
        <v>626</v>
      </c>
      <c r="B569" s="1">
        <v>45537</v>
      </c>
      <c r="C569" t="s">
        <v>6</v>
      </c>
      <c r="D569" t="s">
        <v>76</v>
      </c>
      <c r="E569" t="s">
        <v>25</v>
      </c>
      <c r="F569" t="s">
        <v>24</v>
      </c>
      <c r="G569" t="str">
        <f>INDEX(Lookup_Tables!$B$1:$B$7,MATCH(Cleaned_Data!F569,Lookup_Tables!$A$1:$A$7,0))</f>
        <v>Electronics</v>
      </c>
      <c r="H569" t="s">
        <v>54</v>
      </c>
      <c r="I569">
        <v>7</v>
      </c>
      <c r="J569">
        <v>15509</v>
      </c>
      <c r="L569">
        <f t="shared" si="40"/>
        <v>0</v>
      </c>
      <c r="M569">
        <v>9519</v>
      </c>
      <c r="N569">
        <f t="shared" si="41"/>
        <v>108563</v>
      </c>
      <c r="O569">
        <f t="shared" si="42"/>
        <v>108563</v>
      </c>
      <c r="P569">
        <f>I569*IFERROR(_xlfn.XLOOKUP(F569,Lookup_Tables!Product,Cost),0)</f>
        <v>196322</v>
      </c>
      <c r="Q569">
        <f t="shared" si="43"/>
        <v>-87759</v>
      </c>
      <c r="R569" s="2">
        <f t="shared" si="44"/>
        <v>-0.80836933393513444</v>
      </c>
    </row>
    <row r="570" spans="1:18" x14ac:dyDescent="0.3">
      <c r="A570" t="s">
        <v>627</v>
      </c>
      <c r="B570" s="1">
        <v>45430</v>
      </c>
      <c r="C570" t="s">
        <v>4</v>
      </c>
      <c r="D570" t="s">
        <v>53</v>
      </c>
      <c r="E570" t="s">
        <v>29</v>
      </c>
      <c r="F570" t="s">
        <v>58</v>
      </c>
      <c r="G570" t="str">
        <f>INDEX(Lookup_Tables!$B$1:$B$7,MATCH(Cleaned_Data!F570,Lookup_Tables!$A$1:$A$7,0))</f>
        <v>Electronics</v>
      </c>
      <c r="H570" t="s">
        <v>54</v>
      </c>
      <c r="I570">
        <v>10</v>
      </c>
      <c r="J570">
        <v>8605</v>
      </c>
      <c r="L570">
        <f t="shared" si="40"/>
        <v>0</v>
      </c>
      <c r="M570">
        <v>3838</v>
      </c>
      <c r="N570">
        <f t="shared" si="41"/>
        <v>86050</v>
      </c>
      <c r="O570">
        <f t="shared" si="42"/>
        <v>86050</v>
      </c>
      <c r="P570">
        <f>I570*IFERROR(_xlfn.XLOOKUP(F570,Lookup_Tables!Product,Cost),0)</f>
        <v>28880</v>
      </c>
      <c r="Q570">
        <f t="shared" si="43"/>
        <v>57170</v>
      </c>
      <c r="R570" s="2">
        <f t="shared" si="44"/>
        <v>0.66438117373619987</v>
      </c>
    </row>
    <row r="571" spans="1:18" x14ac:dyDescent="0.3">
      <c r="A571" t="s">
        <v>628</v>
      </c>
      <c r="B571" s="1">
        <v>45309</v>
      </c>
      <c r="C571" t="s">
        <v>6</v>
      </c>
      <c r="D571" t="s">
        <v>64</v>
      </c>
      <c r="E571" t="s">
        <v>25</v>
      </c>
      <c r="F571" t="s">
        <v>23</v>
      </c>
      <c r="G571" t="str">
        <f>INDEX(Lookup_Tables!$B$1:$B$7,MATCH(Cleaned_Data!F571,Lookup_Tables!$A$1:$A$7,0))</f>
        <v>Electronics</v>
      </c>
      <c r="H571" t="s">
        <v>54</v>
      </c>
      <c r="I571">
        <v>9</v>
      </c>
      <c r="J571">
        <v>5624</v>
      </c>
      <c r="K571">
        <v>0</v>
      </c>
      <c r="L571">
        <f t="shared" si="40"/>
        <v>0</v>
      </c>
      <c r="N571">
        <f t="shared" si="41"/>
        <v>50616</v>
      </c>
      <c r="O571">
        <f t="shared" si="42"/>
        <v>50616</v>
      </c>
      <c r="P571">
        <f>I571*IFERROR(_xlfn.XLOOKUP(F571,Lookup_Tables!Product,Cost),0)</f>
        <v>173385</v>
      </c>
      <c r="Q571">
        <f t="shared" si="43"/>
        <v>-122769</v>
      </c>
      <c r="R571" s="2">
        <f t="shared" si="44"/>
        <v>-2.4254978662873401</v>
      </c>
    </row>
    <row r="572" spans="1:18" x14ac:dyDescent="0.3">
      <c r="A572" t="s">
        <v>629</v>
      </c>
      <c r="B572" s="1">
        <v>45460</v>
      </c>
      <c r="C572" t="s">
        <v>4</v>
      </c>
      <c r="D572" t="s">
        <v>69</v>
      </c>
      <c r="E572" t="s">
        <v>27</v>
      </c>
      <c r="F572" t="s">
        <v>23</v>
      </c>
      <c r="G572" t="str">
        <f>INDEX(Lookup_Tables!$B$1:$B$7,MATCH(Cleaned_Data!F572,Lookup_Tables!$A$1:$A$7,0))</f>
        <v>Electronics</v>
      </c>
      <c r="H572" t="s">
        <v>54</v>
      </c>
      <c r="I572">
        <v>10</v>
      </c>
      <c r="J572">
        <v>10467</v>
      </c>
      <c r="L572">
        <f t="shared" si="40"/>
        <v>0</v>
      </c>
      <c r="M572">
        <v>23843</v>
      </c>
      <c r="N572">
        <f t="shared" si="41"/>
        <v>104670</v>
      </c>
      <c r="O572">
        <f t="shared" si="42"/>
        <v>104670</v>
      </c>
      <c r="P572">
        <f>I572*IFERROR(_xlfn.XLOOKUP(F572,Lookup_Tables!Product,Cost),0)</f>
        <v>192650</v>
      </c>
      <c r="Q572">
        <f t="shared" si="43"/>
        <v>-87980</v>
      </c>
      <c r="R572" s="2">
        <f t="shared" si="44"/>
        <v>-0.84054647941148375</v>
      </c>
    </row>
    <row r="573" spans="1:18" x14ac:dyDescent="0.3">
      <c r="A573" t="s">
        <v>630</v>
      </c>
      <c r="B573" s="1">
        <v>45613</v>
      </c>
      <c r="C573" t="s">
        <v>6</v>
      </c>
      <c r="D573" t="s">
        <v>53</v>
      </c>
      <c r="E573" t="s">
        <v>27</v>
      </c>
      <c r="F573" t="s">
        <v>58</v>
      </c>
      <c r="G573" t="str">
        <f>INDEX(Lookup_Tables!$B$1:$B$7,MATCH(Cleaned_Data!F573,Lookup_Tables!$A$1:$A$7,0))</f>
        <v>Electronics</v>
      </c>
      <c r="H573" t="s">
        <v>54</v>
      </c>
      <c r="I573">
        <v>6</v>
      </c>
      <c r="J573">
        <v>41863</v>
      </c>
      <c r="K573">
        <v>0.1</v>
      </c>
      <c r="L573">
        <f t="shared" si="40"/>
        <v>0.1</v>
      </c>
      <c r="M573">
        <v>25959</v>
      </c>
      <c r="N573">
        <f t="shared" si="41"/>
        <v>251178</v>
      </c>
      <c r="O573">
        <f t="shared" si="42"/>
        <v>226060.2</v>
      </c>
      <c r="P573">
        <f>I573*IFERROR(_xlfn.XLOOKUP(F573,Lookup_Tables!Product,Cost),0)</f>
        <v>17328</v>
      </c>
      <c r="Q573">
        <f t="shared" si="43"/>
        <v>208732.2</v>
      </c>
      <c r="R573" s="2">
        <f t="shared" si="44"/>
        <v>0.92334785158997468</v>
      </c>
    </row>
    <row r="574" spans="1:18" x14ac:dyDescent="0.3">
      <c r="A574" t="s">
        <v>631</v>
      </c>
      <c r="B574" s="1">
        <v>45612</v>
      </c>
      <c r="C574" t="s">
        <v>4</v>
      </c>
      <c r="D574" t="s">
        <v>64</v>
      </c>
      <c r="E574" t="s">
        <v>27</v>
      </c>
      <c r="F574" t="s">
        <v>50</v>
      </c>
      <c r="G574" t="str">
        <f>INDEX(Lookup_Tables!$B$1:$B$7,MATCH(Cleaned_Data!F574,Lookup_Tables!$A$1:$A$7,0))</f>
        <v>Furniture</v>
      </c>
      <c r="H574" t="s">
        <v>51</v>
      </c>
      <c r="I574">
        <v>9</v>
      </c>
      <c r="J574">
        <v>28273</v>
      </c>
      <c r="K574">
        <v>0.1</v>
      </c>
      <c r="L574">
        <f t="shared" si="40"/>
        <v>0.1</v>
      </c>
      <c r="N574">
        <f t="shared" si="41"/>
        <v>254457</v>
      </c>
      <c r="O574">
        <f t="shared" si="42"/>
        <v>229011.3</v>
      </c>
      <c r="P574">
        <f>I574*IFERROR(_xlfn.XLOOKUP(F574,Lookup_Tables!Product,Cost),0)</f>
        <v>119439</v>
      </c>
      <c r="Q574">
        <f t="shared" si="43"/>
        <v>109572.29999999999</v>
      </c>
      <c r="R574" s="2">
        <f t="shared" si="44"/>
        <v>0.47845804988662127</v>
      </c>
    </row>
    <row r="575" spans="1:18" x14ac:dyDescent="0.3">
      <c r="A575" t="s">
        <v>632</v>
      </c>
      <c r="B575" s="1">
        <v>45377</v>
      </c>
      <c r="C575" t="s">
        <v>3</v>
      </c>
      <c r="D575" t="s">
        <v>49</v>
      </c>
      <c r="E575" t="s">
        <v>27</v>
      </c>
      <c r="F575" t="s">
        <v>23</v>
      </c>
      <c r="G575" t="str">
        <f>INDEX(Lookup_Tables!$B$1:$B$7,MATCH(Cleaned_Data!F575,Lookup_Tables!$A$1:$A$7,0))</f>
        <v>Electronics</v>
      </c>
      <c r="H575" t="s">
        <v>54</v>
      </c>
      <c r="I575">
        <v>9</v>
      </c>
      <c r="J575">
        <v>17369</v>
      </c>
      <c r="K575">
        <v>0</v>
      </c>
      <c r="L575">
        <f t="shared" si="40"/>
        <v>0</v>
      </c>
      <c r="N575">
        <f t="shared" si="41"/>
        <v>156321</v>
      </c>
      <c r="O575">
        <f t="shared" si="42"/>
        <v>156321</v>
      </c>
      <c r="P575">
        <f>I575*IFERROR(_xlfn.XLOOKUP(F575,Lookup_Tables!Product,Cost),0)</f>
        <v>173385</v>
      </c>
      <c r="Q575">
        <f t="shared" si="43"/>
        <v>-17064</v>
      </c>
      <c r="R575" s="2">
        <f t="shared" si="44"/>
        <v>-0.10915999769704646</v>
      </c>
    </row>
    <row r="576" spans="1:18" x14ac:dyDescent="0.3">
      <c r="A576" t="s">
        <v>633</v>
      </c>
      <c r="B576" s="1">
        <v>45427</v>
      </c>
      <c r="C576" t="s">
        <v>3</v>
      </c>
      <c r="D576" t="s">
        <v>56</v>
      </c>
      <c r="E576" t="s">
        <v>27</v>
      </c>
      <c r="F576" t="s">
        <v>22</v>
      </c>
      <c r="G576" t="str">
        <f>INDEX(Lookup_Tables!$B$1:$B$7,MATCH(Cleaned_Data!F576,Lookup_Tables!$A$1:$A$7,0))</f>
        <v>Furniture</v>
      </c>
      <c r="H576" t="s">
        <v>51</v>
      </c>
      <c r="I576">
        <v>3</v>
      </c>
      <c r="J576">
        <v>17526</v>
      </c>
      <c r="K576">
        <v>0.1</v>
      </c>
      <c r="L576">
        <f t="shared" si="40"/>
        <v>0.1</v>
      </c>
      <c r="M576">
        <v>11573</v>
      </c>
      <c r="N576">
        <f t="shared" si="41"/>
        <v>52578</v>
      </c>
      <c r="O576">
        <f t="shared" si="42"/>
        <v>47320.2</v>
      </c>
      <c r="P576">
        <f>I576*IFERROR(_xlfn.XLOOKUP(F576,Lookup_Tables!Product,Cost),0)</f>
        <v>39120</v>
      </c>
      <c r="Q576">
        <f t="shared" si="43"/>
        <v>8200.1999999999971</v>
      </c>
      <c r="R576" s="2">
        <f t="shared" si="44"/>
        <v>0.17329174432906028</v>
      </c>
    </row>
    <row r="577" spans="1:18" x14ac:dyDescent="0.3">
      <c r="A577" t="s">
        <v>634</v>
      </c>
      <c r="B577" s="1">
        <v>45460</v>
      </c>
      <c r="C577" t="s">
        <v>3</v>
      </c>
      <c r="D577" t="s">
        <v>64</v>
      </c>
      <c r="E577" t="s">
        <v>27</v>
      </c>
      <c r="F577" t="s">
        <v>61</v>
      </c>
      <c r="G577" t="str">
        <f>INDEX(Lookup_Tables!$B$1:$B$7,MATCH(Cleaned_Data!F577,Lookup_Tables!$A$1:$A$7,0))</f>
        <v>Electronics</v>
      </c>
      <c r="H577" t="s">
        <v>54</v>
      </c>
      <c r="I577">
        <v>8</v>
      </c>
      <c r="J577">
        <v>9503</v>
      </c>
      <c r="K577">
        <v>0.1</v>
      </c>
      <c r="L577">
        <f t="shared" si="40"/>
        <v>0.1</v>
      </c>
      <c r="N577">
        <f t="shared" si="41"/>
        <v>76024</v>
      </c>
      <c r="O577">
        <f t="shared" si="42"/>
        <v>68421.600000000006</v>
      </c>
      <c r="P577">
        <f>I577*IFERROR(_xlfn.XLOOKUP(F577,Lookup_Tables!Product,Cost),0)</f>
        <v>59072</v>
      </c>
      <c r="Q577">
        <f t="shared" si="43"/>
        <v>9349.6000000000058</v>
      </c>
      <c r="R577" s="2">
        <f t="shared" si="44"/>
        <v>0.13664690682474548</v>
      </c>
    </row>
    <row r="578" spans="1:18" x14ac:dyDescent="0.3">
      <c r="A578" t="s">
        <v>635</v>
      </c>
      <c r="B578" s="1">
        <v>45292</v>
      </c>
      <c r="C578" t="s">
        <v>4</v>
      </c>
      <c r="D578" t="s">
        <v>56</v>
      </c>
      <c r="E578" t="s">
        <v>27</v>
      </c>
      <c r="F578" t="s">
        <v>50</v>
      </c>
      <c r="G578" t="str">
        <f>INDEX(Lookup_Tables!$B$1:$B$7,MATCH(Cleaned_Data!F578,Lookup_Tables!$A$1:$A$7,0))</f>
        <v>Furniture</v>
      </c>
      <c r="H578" t="s">
        <v>51</v>
      </c>
      <c r="I578">
        <v>3</v>
      </c>
      <c r="J578">
        <v>28966</v>
      </c>
      <c r="K578">
        <v>0.05</v>
      </c>
      <c r="L578">
        <f t="shared" si="40"/>
        <v>0.05</v>
      </c>
      <c r="N578">
        <f t="shared" si="41"/>
        <v>86898</v>
      </c>
      <c r="O578">
        <f t="shared" si="42"/>
        <v>82553.100000000006</v>
      </c>
      <c r="P578">
        <f>I578*IFERROR(_xlfn.XLOOKUP(F578,Lookup_Tables!Product,Cost),0)</f>
        <v>39813</v>
      </c>
      <c r="Q578">
        <f t="shared" si="43"/>
        <v>42740.100000000006</v>
      </c>
      <c r="R578" s="2">
        <f t="shared" si="44"/>
        <v>0.51772858923529219</v>
      </c>
    </row>
    <row r="579" spans="1:18" x14ac:dyDescent="0.3">
      <c r="A579" t="s">
        <v>636</v>
      </c>
      <c r="B579" s="1">
        <v>45622</v>
      </c>
      <c r="C579" t="s">
        <v>6</v>
      </c>
      <c r="D579" t="s">
        <v>49</v>
      </c>
      <c r="E579" t="s">
        <v>26</v>
      </c>
      <c r="F579" t="s">
        <v>22</v>
      </c>
      <c r="G579" t="str">
        <f>INDEX(Lookup_Tables!$B$1:$B$7,MATCH(Cleaned_Data!F579,Lookup_Tables!$A$1:$A$7,0))</f>
        <v>Furniture</v>
      </c>
      <c r="H579" t="s">
        <v>51</v>
      </c>
      <c r="I579">
        <v>4</v>
      </c>
      <c r="J579">
        <v>15511</v>
      </c>
      <c r="L579">
        <f t="shared" ref="L579:L642" si="45">IF(ISBLANK(K579),0,K579)</f>
        <v>0</v>
      </c>
      <c r="N579">
        <f t="shared" ref="N579:N642" si="46">I579*J579</f>
        <v>62044</v>
      </c>
      <c r="O579">
        <f t="shared" ref="O579:O642" si="47">N579-(N579*L579)</f>
        <v>62044</v>
      </c>
      <c r="P579">
        <f>I579*IFERROR(_xlfn.XLOOKUP(F579,Lookup_Tables!Product,Cost),0)</f>
        <v>52160</v>
      </c>
      <c r="Q579">
        <f t="shared" ref="Q579:Q642" si="48">O579-P579</f>
        <v>9884</v>
      </c>
      <c r="R579" s="2">
        <f t="shared" ref="R579:R642" si="49">Q579/O579</f>
        <v>0.15930629875572175</v>
      </c>
    </row>
    <row r="580" spans="1:18" x14ac:dyDescent="0.3">
      <c r="A580" t="s">
        <v>637</v>
      </c>
      <c r="B580" s="1">
        <v>45392</v>
      </c>
      <c r="C580" t="s">
        <v>6</v>
      </c>
      <c r="D580" t="s">
        <v>76</v>
      </c>
      <c r="E580" t="s">
        <v>27</v>
      </c>
      <c r="F580" t="s">
        <v>23</v>
      </c>
      <c r="G580" t="str">
        <f>INDEX(Lookup_Tables!$B$1:$B$7,MATCH(Cleaned_Data!F580,Lookup_Tables!$A$1:$A$7,0))</f>
        <v>Electronics</v>
      </c>
      <c r="H580" t="s">
        <v>54</v>
      </c>
      <c r="I580">
        <v>2</v>
      </c>
      <c r="J580">
        <v>36822</v>
      </c>
      <c r="K580">
        <v>0.05</v>
      </c>
      <c r="L580">
        <f t="shared" si="45"/>
        <v>0.05</v>
      </c>
      <c r="M580">
        <v>13736</v>
      </c>
      <c r="N580">
        <f t="shared" si="46"/>
        <v>73644</v>
      </c>
      <c r="O580">
        <f t="shared" si="47"/>
        <v>69961.8</v>
      </c>
      <c r="P580">
        <f>I580*IFERROR(_xlfn.XLOOKUP(F580,Lookup_Tables!Product,Cost),0)</f>
        <v>38530</v>
      </c>
      <c r="Q580">
        <f t="shared" si="48"/>
        <v>31431.800000000003</v>
      </c>
      <c r="R580" s="2">
        <f t="shared" si="49"/>
        <v>0.44927088782735725</v>
      </c>
    </row>
    <row r="581" spans="1:18" x14ac:dyDescent="0.3">
      <c r="A581" t="s">
        <v>638</v>
      </c>
      <c r="B581" s="1">
        <v>45429</v>
      </c>
      <c r="C581" t="s">
        <v>6</v>
      </c>
      <c r="D581" t="s">
        <v>64</v>
      </c>
      <c r="E581" t="s">
        <v>27</v>
      </c>
      <c r="F581" t="s">
        <v>24</v>
      </c>
      <c r="G581" t="str">
        <f>INDEX(Lookup_Tables!$B$1:$B$7,MATCH(Cleaned_Data!F581,Lookup_Tables!$A$1:$A$7,0))</f>
        <v>Electronics</v>
      </c>
      <c r="H581" t="s">
        <v>54</v>
      </c>
      <c r="I581">
        <v>1</v>
      </c>
      <c r="J581">
        <v>45159</v>
      </c>
      <c r="K581">
        <v>0.05</v>
      </c>
      <c r="L581">
        <f t="shared" si="45"/>
        <v>0.05</v>
      </c>
      <c r="M581">
        <v>15897</v>
      </c>
      <c r="N581">
        <f t="shared" si="46"/>
        <v>45159</v>
      </c>
      <c r="O581">
        <f t="shared" si="47"/>
        <v>42901.05</v>
      </c>
      <c r="P581">
        <f>I581*IFERROR(_xlfn.XLOOKUP(F581,Lookup_Tables!Product,Cost),0)</f>
        <v>28046</v>
      </c>
      <c r="Q581">
        <f t="shared" si="48"/>
        <v>14855.050000000003</v>
      </c>
      <c r="R581" s="2">
        <f t="shared" si="49"/>
        <v>0.34626308680090584</v>
      </c>
    </row>
    <row r="582" spans="1:18" x14ac:dyDescent="0.3">
      <c r="A582" t="s">
        <v>639</v>
      </c>
      <c r="B582" s="1">
        <v>45558</v>
      </c>
      <c r="C582" t="s">
        <v>3</v>
      </c>
      <c r="D582" t="s">
        <v>64</v>
      </c>
      <c r="E582" t="s">
        <v>28</v>
      </c>
      <c r="F582" t="s">
        <v>24</v>
      </c>
      <c r="G582" t="str">
        <f>INDEX(Lookup_Tables!$B$1:$B$7,MATCH(Cleaned_Data!F582,Lookup_Tables!$A$1:$A$7,0))</f>
        <v>Electronics</v>
      </c>
      <c r="H582" t="s">
        <v>54</v>
      </c>
      <c r="I582">
        <v>1</v>
      </c>
      <c r="J582">
        <v>19446</v>
      </c>
      <c r="K582">
        <v>0</v>
      </c>
      <c r="L582">
        <f t="shared" si="45"/>
        <v>0</v>
      </c>
      <c r="M582">
        <v>27308</v>
      </c>
      <c r="N582">
        <f t="shared" si="46"/>
        <v>19446</v>
      </c>
      <c r="O582">
        <f t="shared" si="47"/>
        <v>19446</v>
      </c>
      <c r="P582">
        <f>I582*IFERROR(_xlfn.XLOOKUP(F582,Lookup_Tables!Product,Cost),0)</f>
        <v>28046</v>
      </c>
      <c r="Q582">
        <f t="shared" si="48"/>
        <v>-8600</v>
      </c>
      <c r="R582" s="2">
        <f t="shared" si="49"/>
        <v>-0.44225033425897359</v>
      </c>
    </row>
    <row r="583" spans="1:18" x14ac:dyDescent="0.3">
      <c r="A583" t="s">
        <v>640</v>
      </c>
      <c r="B583" s="1">
        <v>45594</v>
      </c>
      <c r="C583" t="s">
        <v>4</v>
      </c>
      <c r="D583" t="s">
        <v>56</v>
      </c>
      <c r="E583" t="s">
        <v>25</v>
      </c>
      <c r="F583" t="s">
        <v>58</v>
      </c>
      <c r="G583" t="str">
        <f>INDEX(Lookup_Tables!$B$1:$B$7,MATCH(Cleaned_Data!F583,Lookup_Tables!$A$1:$A$7,0))</f>
        <v>Electronics</v>
      </c>
      <c r="H583" t="s">
        <v>54</v>
      </c>
      <c r="I583">
        <v>5</v>
      </c>
      <c r="J583">
        <v>13096</v>
      </c>
      <c r="K583">
        <v>0.1</v>
      </c>
      <c r="L583">
        <f t="shared" si="45"/>
        <v>0.1</v>
      </c>
      <c r="M583">
        <v>7595</v>
      </c>
      <c r="N583">
        <f t="shared" si="46"/>
        <v>65480</v>
      </c>
      <c r="O583">
        <f t="shared" si="47"/>
        <v>58932</v>
      </c>
      <c r="P583">
        <f>I583*IFERROR(_xlfn.XLOOKUP(F583,Lookup_Tables!Product,Cost),0)</f>
        <v>14440</v>
      </c>
      <c r="Q583">
        <f t="shared" si="48"/>
        <v>44492</v>
      </c>
      <c r="R583" s="2">
        <f t="shared" si="49"/>
        <v>0.7549718319418991</v>
      </c>
    </row>
    <row r="584" spans="1:18" x14ac:dyDescent="0.3">
      <c r="A584" t="s">
        <v>641</v>
      </c>
      <c r="B584" s="1">
        <v>45510</v>
      </c>
      <c r="C584" t="s">
        <v>6</v>
      </c>
      <c r="D584" t="s">
        <v>49</v>
      </c>
      <c r="E584" t="s">
        <v>29</v>
      </c>
      <c r="F584" t="s">
        <v>23</v>
      </c>
      <c r="G584" t="str">
        <f>INDEX(Lookup_Tables!$B$1:$B$7,MATCH(Cleaned_Data!F584,Lookup_Tables!$A$1:$A$7,0))</f>
        <v>Electronics</v>
      </c>
      <c r="H584" t="s">
        <v>54</v>
      </c>
      <c r="I584">
        <v>8</v>
      </c>
      <c r="J584">
        <v>28213</v>
      </c>
      <c r="K584">
        <v>0</v>
      </c>
      <c r="L584">
        <f t="shared" si="45"/>
        <v>0</v>
      </c>
      <c r="N584">
        <f t="shared" si="46"/>
        <v>225704</v>
      </c>
      <c r="O584">
        <f t="shared" si="47"/>
        <v>225704</v>
      </c>
      <c r="P584">
        <f>I584*IFERROR(_xlfn.XLOOKUP(F584,Lookup_Tables!Product,Cost),0)</f>
        <v>154120</v>
      </c>
      <c r="Q584">
        <f t="shared" si="48"/>
        <v>71584</v>
      </c>
      <c r="R584" s="2">
        <f t="shared" si="49"/>
        <v>0.31715875660156667</v>
      </c>
    </row>
    <row r="585" spans="1:18" x14ac:dyDescent="0.3">
      <c r="A585" t="s">
        <v>642</v>
      </c>
      <c r="B585" s="1">
        <v>45371</v>
      </c>
      <c r="C585" t="s">
        <v>6</v>
      </c>
      <c r="D585" t="s">
        <v>56</v>
      </c>
      <c r="E585" t="s">
        <v>27</v>
      </c>
      <c r="F585" t="s">
        <v>58</v>
      </c>
      <c r="G585" t="str">
        <f>INDEX(Lookup_Tables!$B$1:$B$7,MATCH(Cleaned_Data!F585,Lookup_Tables!$A$1:$A$7,0))</f>
        <v>Electronics</v>
      </c>
      <c r="H585" t="s">
        <v>54</v>
      </c>
      <c r="I585">
        <v>4</v>
      </c>
      <c r="J585">
        <v>37659</v>
      </c>
      <c r="K585">
        <v>0.05</v>
      </c>
      <c r="L585">
        <f t="shared" si="45"/>
        <v>0.05</v>
      </c>
      <c r="N585">
        <f t="shared" si="46"/>
        <v>150636</v>
      </c>
      <c r="O585">
        <f t="shared" si="47"/>
        <v>143104.20000000001</v>
      </c>
      <c r="P585">
        <f>I585*IFERROR(_xlfn.XLOOKUP(F585,Lookup_Tables!Product,Cost),0)</f>
        <v>11552</v>
      </c>
      <c r="Q585">
        <f t="shared" si="48"/>
        <v>131552.20000000001</v>
      </c>
      <c r="R585" s="2">
        <f t="shared" si="49"/>
        <v>0.9192756047691123</v>
      </c>
    </row>
    <row r="586" spans="1:18" x14ac:dyDescent="0.3">
      <c r="A586" t="s">
        <v>643</v>
      </c>
      <c r="B586" s="1">
        <v>45445</v>
      </c>
      <c r="C586" t="s">
        <v>3</v>
      </c>
      <c r="D586" t="s">
        <v>76</v>
      </c>
      <c r="E586" t="s">
        <v>26</v>
      </c>
      <c r="F586" t="s">
        <v>22</v>
      </c>
      <c r="G586" t="str">
        <f>INDEX(Lookup_Tables!$B$1:$B$7,MATCH(Cleaned_Data!F586,Lookup_Tables!$A$1:$A$7,0))</f>
        <v>Furniture</v>
      </c>
      <c r="H586" t="s">
        <v>51</v>
      </c>
      <c r="I586">
        <v>5</v>
      </c>
      <c r="J586">
        <v>27298</v>
      </c>
      <c r="K586">
        <v>0</v>
      </c>
      <c r="L586">
        <f t="shared" si="45"/>
        <v>0</v>
      </c>
      <c r="N586">
        <f t="shared" si="46"/>
        <v>136490</v>
      </c>
      <c r="O586">
        <f t="shared" si="47"/>
        <v>136490</v>
      </c>
      <c r="P586">
        <f>I586*IFERROR(_xlfn.XLOOKUP(F586,Lookup_Tables!Product,Cost),0)</f>
        <v>65200</v>
      </c>
      <c r="Q586">
        <f t="shared" si="48"/>
        <v>71290</v>
      </c>
      <c r="R586" s="2">
        <f t="shared" si="49"/>
        <v>0.52230932669060004</v>
      </c>
    </row>
    <row r="587" spans="1:18" x14ac:dyDescent="0.3">
      <c r="A587" t="s">
        <v>644</v>
      </c>
      <c r="B587" s="1">
        <v>45644</v>
      </c>
      <c r="C587" t="s">
        <v>6</v>
      </c>
      <c r="D587" t="s">
        <v>69</v>
      </c>
      <c r="E587" t="s">
        <v>25</v>
      </c>
      <c r="F587" t="s">
        <v>58</v>
      </c>
      <c r="G587" t="str">
        <f>INDEX(Lookup_Tables!$B$1:$B$7,MATCH(Cleaned_Data!F587,Lookup_Tables!$A$1:$A$7,0))</f>
        <v>Electronics</v>
      </c>
      <c r="H587" t="s">
        <v>54</v>
      </c>
      <c r="I587">
        <v>9</v>
      </c>
      <c r="J587">
        <v>1076</v>
      </c>
      <c r="K587">
        <v>0.05</v>
      </c>
      <c r="L587">
        <f t="shared" si="45"/>
        <v>0.05</v>
      </c>
      <c r="M587">
        <v>6734</v>
      </c>
      <c r="N587">
        <f t="shared" si="46"/>
        <v>9684</v>
      </c>
      <c r="O587">
        <f t="shared" si="47"/>
        <v>9199.7999999999993</v>
      </c>
      <c r="P587">
        <f>I587*IFERROR(_xlfn.XLOOKUP(F587,Lookup_Tables!Product,Cost),0)</f>
        <v>25992</v>
      </c>
      <c r="Q587">
        <f t="shared" si="48"/>
        <v>-16792.2</v>
      </c>
      <c r="R587" s="2">
        <f t="shared" si="49"/>
        <v>-1.8252788104089221</v>
      </c>
    </row>
    <row r="588" spans="1:18" x14ac:dyDescent="0.3">
      <c r="A588" t="s">
        <v>645</v>
      </c>
      <c r="B588" s="1">
        <v>45306</v>
      </c>
      <c r="C588" t="s">
        <v>3</v>
      </c>
      <c r="D588" t="s">
        <v>49</v>
      </c>
      <c r="E588" t="s">
        <v>29</v>
      </c>
      <c r="F588" t="s">
        <v>61</v>
      </c>
      <c r="G588" t="str">
        <f>INDEX(Lookup_Tables!$B$1:$B$7,MATCH(Cleaned_Data!F588,Lookup_Tables!$A$1:$A$7,0))</f>
        <v>Electronics</v>
      </c>
      <c r="H588" t="s">
        <v>54</v>
      </c>
      <c r="I588">
        <v>7</v>
      </c>
      <c r="J588">
        <v>11358</v>
      </c>
      <c r="K588">
        <v>0.1</v>
      </c>
      <c r="L588">
        <f t="shared" si="45"/>
        <v>0.1</v>
      </c>
      <c r="M588">
        <v>4870</v>
      </c>
      <c r="N588">
        <f t="shared" si="46"/>
        <v>79506</v>
      </c>
      <c r="O588">
        <f t="shared" si="47"/>
        <v>71555.399999999994</v>
      </c>
      <c r="P588">
        <f>I588*IFERROR(_xlfn.XLOOKUP(F588,Lookup_Tables!Product,Cost),0)</f>
        <v>51688</v>
      </c>
      <c r="Q588">
        <f t="shared" si="48"/>
        <v>19867.399999999994</v>
      </c>
      <c r="R588" s="2">
        <f t="shared" si="49"/>
        <v>0.2776506035882686</v>
      </c>
    </row>
    <row r="589" spans="1:18" x14ac:dyDescent="0.3">
      <c r="A589" t="s">
        <v>646</v>
      </c>
      <c r="B589" s="1">
        <v>45598</v>
      </c>
      <c r="C589" t="s">
        <v>6</v>
      </c>
      <c r="D589" t="s">
        <v>56</v>
      </c>
      <c r="E589" t="s">
        <v>29</v>
      </c>
      <c r="F589" t="s">
        <v>22</v>
      </c>
      <c r="G589" t="str">
        <f>INDEX(Lookup_Tables!$B$1:$B$7,MATCH(Cleaned_Data!F589,Lookup_Tables!$A$1:$A$7,0))</f>
        <v>Furniture</v>
      </c>
      <c r="H589" t="s">
        <v>51</v>
      </c>
      <c r="I589">
        <v>1</v>
      </c>
      <c r="J589">
        <v>26987</v>
      </c>
      <c r="K589">
        <v>0.05</v>
      </c>
      <c r="L589">
        <f t="shared" si="45"/>
        <v>0.05</v>
      </c>
      <c r="N589">
        <f t="shared" si="46"/>
        <v>26987</v>
      </c>
      <c r="O589">
        <f t="shared" si="47"/>
        <v>25637.65</v>
      </c>
      <c r="P589">
        <f>I589*IFERROR(_xlfn.XLOOKUP(F589,Lookup_Tables!Product,Cost),0)</f>
        <v>13040</v>
      </c>
      <c r="Q589">
        <f t="shared" si="48"/>
        <v>12597.650000000001</v>
      </c>
      <c r="R589" s="2">
        <f t="shared" si="49"/>
        <v>0.4913730392606187</v>
      </c>
    </row>
    <row r="590" spans="1:18" x14ac:dyDescent="0.3">
      <c r="A590" t="s">
        <v>647</v>
      </c>
      <c r="B590" s="1">
        <v>45382</v>
      </c>
      <c r="C590" t="s">
        <v>4</v>
      </c>
      <c r="D590" t="s">
        <v>56</v>
      </c>
      <c r="E590" t="s">
        <v>28</v>
      </c>
      <c r="F590" t="s">
        <v>22</v>
      </c>
      <c r="G590" t="str">
        <f>INDEX(Lookup_Tables!$B$1:$B$7,MATCH(Cleaned_Data!F590,Lookup_Tables!$A$1:$A$7,0))</f>
        <v>Furniture</v>
      </c>
      <c r="H590" t="s">
        <v>51</v>
      </c>
      <c r="I590">
        <v>8</v>
      </c>
      <c r="J590">
        <v>25913</v>
      </c>
      <c r="L590">
        <f t="shared" si="45"/>
        <v>0</v>
      </c>
      <c r="N590">
        <f t="shared" si="46"/>
        <v>207304</v>
      </c>
      <c r="O590">
        <f t="shared" si="47"/>
        <v>207304</v>
      </c>
      <c r="P590">
        <f>I590*IFERROR(_xlfn.XLOOKUP(F590,Lookup_Tables!Product,Cost),0)</f>
        <v>104320</v>
      </c>
      <c r="Q590">
        <f t="shared" si="48"/>
        <v>102984</v>
      </c>
      <c r="R590" s="2">
        <f t="shared" si="49"/>
        <v>0.4967776791571798</v>
      </c>
    </row>
    <row r="591" spans="1:18" x14ac:dyDescent="0.3">
      <c r="A591" t="s">
        <v>648</v>
      </c>
      <c r="B591" s="1">
        <v>45295</v>
      </c>
      <c r="C591" t="s">
        <v>4</v>
      </c>
      <c r="D591" t="s">
        <v>53</v>
      </c>
      <c r="E591" t="s">
        <v>25</v>
      </c>
      <c r="F591" t="s">
        <v>23</v>
      </c>
      <c r="G591" t="str">
        <f>INDEX(Lookup_Tables!$B$1:$B$7,MATCH(Cleaned_Data!F591,Lookup_Tables!$A$1:$A$7,0))</f>
        <v>Electronics</v>
      </c>
      <c r="H591" t="s">
        <v>54</v>
      </c>
      <c r="I591">
        <v>3</v>
      </c>
      <c r="J591">
        <v>46330</v>
      </c>
      <c r="L591">
        <f t="shared" si="45"/>
        <v>0</v>
      </c>
      <c r="N591">
        <f t="shared" si="46"/>
        <v>138990</v>
      </c>
      <c r="O591">
        <f t="shared" si="47"/>
        <v>138990</v>
      </c>
      <c r="P591">
        <f>I591*IFERROR(_xlfn.XLOOKUP(F591,Lookup_Tables!Product,Cost),0)</f>
        <v>57795</v>
      </c>
      <c r="Q591">
        <f t="shared" si="48"/>
        <v>81195</v>
      </c>
      <c r="R591" s="2">
        <f t="shared" si="49"/>
        <v>0.58417871789337361</v>
      </c>
    </row>
    <row r="592" spans="1:18" x14ac:dyDescent="0.3">
      <c r="A592" t="s">
        <v>649</v>
      </c>
      <c r="B592" s="1">
        <v>45332</v>
      </c>
      <c r="C592" t="s">
        <v>5</v>
      </c>
      <c r="D592" t="s">
        <v>64</v>
      </c>
      <c r="E592" t="s">
        <v>28</v>
      </c>
      <c r="F592" t="s">
        <v>23</v>
      </c>
      <c r="G592" t="str">
        <f>INDEX(Lookup_Tables!$B$1:$B$7,MATCH(Cleaned_Data!F592,Lookup_Tables!$A$1:$A$7,0))</f>
        <v>Electronics</v>
      </c>
      <c r="H592" t="s">
        <v>54</v>
      </c>
      <c r="I592">
        <v>9</v>
      </c>
      <c r="J592">
        <v>32123</v>
      </c>
      <c r="K592">
        <v>0.1</v>
      </c>
      <c r="L592">
        <f t="shared" si="45"/>
        <v>0.1</v>
      </c>
      <c r="M592">
        <v>4843</v>
      </c>
      <c r="N592">
        <f t="shared" si="46"/>
        <v>289107</v>
      </c>
      <c r="O592">
        <f t="shared" si="47"/>
        <v>260196.3</v>
      </c>
      <c r="P592">
        <f>I592*IFERROR(_xlfn.XLOOKUP(F592,Lookup_Tables!Product,Cost),0)</f>
        <v>173385</v>
      </c>
      <c r="Q592">
        <f t="shared" si="48"/>
        <v>86811.299999999988</v>
      </c>
      <c r="R592" s="2">
        <f t="shared" si="49"/>
        <v>0.33363771890684069</v>
      </c>
    </row>
    <row r="593" spans="1:18" x14ac:dyDescent="0.3">
      <c r="A593" t="s">
        <v>650</v>
      </c>
      <c r="B593" s="1">
        <v>45656</v>
      </c>
      <c r="C593" t="s">
        <v>3</v>
      </c>
      <c r="D593" t="s">
        <v>76</v>
      </c>
      <c r="E593" t="s">
        <v>29</v>
      </c>
      <c r="F593" t="s">
        <v>61</v>
      </c>
      <c r="G593" t="str">
        <f>INDEX(Lookup_Tables!$B$1:$B$7,MATCH(Cleaned_Data!F593,Lookup_Tables!$A$1:$A$7,0))</f>
        <v>Electronics</v>
      </c>
      <c r="H593" t="s">
        <v>54</v>
      </c>
      <c r="I593">
        <v>8</v>
      </c>
      <c r="J593">
        <v>20341</v>
      </c>
      <c r="L593">
        <f t="shared" si="45"/>
        <v>0</v>
      </c>
      <c r="N593">
        <f t="shared" si="46"/>
        <v>162728</v>
      </c>
      <c r="O593">
        <f t="shared" si="47"/>
        <v>162728</v>
      </c>
      <c r="P593">
        <f>I593*IFERROR(_xlfn.XLOOKUP(F593,Lookup_Tables!Product,Cost),0)</f>
        <v>59072</v>
      </c>
      <c r="Q593">
        <f t="shared" si="48"/>
        <v>103656</v>
      </c>
      <c r="R593" s="2">
        <f t="shared" si="49"/>
        <v>0.63698933189125406</v>
      </c>
    </row>
    <row r="594" spans="1:18" x14ac:dyDescent="0.3">
      <c r="A594" t="s">
        <v>651</v>
      </c>
      <c r="B594" s="1">
        <v>45637</v>
      </c>
      <c r="C594" t="s">
        <v>4</v>
      </c>
      <c r="D594" t="s">
        <v>49</v>
      </c>
      <c r="E594" t="s">
        <v>27</v>
      </c>
      <c r="F594" t="s">
        <v>23</v>
      </c>
      <c r="G594" t="str">
        <f>INDEX(Lookup_Tables!$B$1:$B$7,MATCH(Cleaned_Data!F594,Lookup_Tables!$A$1:$A$7,0))</f>
        <v>Electronics</v>
      </c>
      <c r="H594" t="s">
        <v>54</v>
      </c>
      <c r="I594">
        <v>8</v>
      </c>
      <c r="J594">
        <v>5419</v>
      </c>
      <c r="K594">
        <v>0.1</v>
      </c>
      <c r="L594">
        <f t="shared" si="45"/>
        <v>0.1</v>
      </c>
      <c r="M594">
        <v>19953</v>
      </c>
      <c r="N594">
        <f t="shared" si="46"/>
        <v>43352</v>
      </c>
      <c r="O594">
        <f t="shared" si="47"/>
        <v>39016.800000000003</v>
      </c>
      <c r="P594">
        <f>I594*IFERROR(_xlfn.XLOOKUP(F594,Lookup_Tables!Product,Cost),0)</f>
        <v>154120</v>
      </c>
      <c r="Q594">
        <f t="shared" si="48"/>
        <v>-115103.2</v>
      </c>
      <c r="R594" s="2">
        <f t="shared" si="49"/>
        <v>-2.9500932931455166</v>
      </c>
    </row>
    <row r="595" spans="1:18" x14ac:dyDescent="0.3">
      <c r="A595" t="s">
        <v>652</v>
      </c>
      <c r="B595" s="1">
        <v>45530</v>
      </c>
      <c r="C595" t="s">
        <v>4</v>
      </c>
      <c r="D595" t="s">
        <v>69</v>
      </c>
      <c r="E595" t="s">
        <v>26</v>
      </c>
      <c r="F595" t="s">
        <v>61</v>
      </c>
      <c r="G595" t="str">
        <f>INDEX(Lookup_Tables!$B$1:$B$7,MATCH(Cleaned_Data!F595,Lookup_Tables!$A$1:$A$7,0))</f>
        <v>Electronics</v>
      </c>
      <c r="H595" t="s">
        <v>54</v>
      </c>
      <c r="I595">
        <v>10</v>
      </c>
      <c r="J595">
        <v>32160</v>
      </c>
      <c r="L595">
        <f t="shared" si="45"/>
        <v>0</v>
      </c>
      <c r="N595">
        <f t="shared" si="46"/>
        <v>321600</v>
      </c>
      <c r="O595">
        <f t="shared" si="47"/>
        <v>321600</v>
      </c>
      <c r="P595">
        <f>I595*IFERROR(_xlfn.XLOOKUP(F595,Lookup_Tables!Product,Cost),0)</f>
        <v>73840</v>
      </c>
      <c r="Q595">
        <f t="shared" si="48"/>
        <v>247760</v>
      </c>
      <c r="R595" s="2">
        <f t="shared" si="49"/>
        <v>0.77039800995024876</v>
      </c>
    </row>
    <row r="596" spans="1:18" x14ac:dyDescent="0.3">
      <c r="A596" t="s">
        <v>653</v>
      </c>
      <c r="B596" s="1">
        <v>45297</v>
      </c>
      <c r="C596" t="s">
        <v>3</v>
      </c>
      <c r="D596" t="s">
        <v>69</v>
      </c>
      <c r="E596" t="s">
        <v>26</v>
      </c>
      <c r="F596" t="s">
        <v>23</v>
      </c>
      <c r="G596" t="str">
        <f>INDEX(Lookup_Tables!$B$1:$B$7,MATCH(Cleaned_Data!F596,Lookup_Tables!$A$1:$A$7,0))</f>
        <v>Electronics</v>
      </c>
      <c r="H596" t="s">
        <v>54</v>
      </c>
      <c r="I596">
        <v>3</v>
      </c>
      <c r="J596">
        <v>6717</v>
      </c>
      <c r="K596">
        <v>0.1</v>
      </c>
      <c r="L596">
        <f t="shared" si="45"/>
        <v>0.1</v>
      </c>
      <c r="M596">
        <v>28924</v>
      </c>
      <c r="N596">
        <f t="shared" si="46"/>
        <v>20151</v>
      </c>
      <c r="O596">
        <f t="shared" si="47"/>
        <v>18135.900000000001</v>
      </c>
      <c r="P596">
        <f>I596*IFERROR(_xlfn.XLOOKUP(F596,Lookup_Tables!Product,Cost),0)</f>
        <v>57795</v>
      </c>
      <c r="Q596">
        <f t="shared" si="48"/>
        <v>-39659.1</v>
      </c>
      <c r="R596" s="2">
        <f t="shared" si="49"/>
        <v>-2.1867731957057548</v>
      </c>
    </row>
    <row r="597" spans="1:18" x14ac:dyDescent="0.3">
      <c r="A597" t="s">
        <v>654</v>
      </c>
      <c r="B597" s="1">
        <v>45588</v>
      </c>
      <c r="C597" t="s">
        <v>6</v>
      </c>
      <c r="D597" t="s">
        <v>76</v>
      </c>
      <c r="E597" t="s">
        <v>28</v>
      </c>
      <c r="F597" t="s">
        <v>50</v>
      </c>
      <c r="G597" t="str">
        <f>INDEX(Lookup_Tables!$B$1:$B$7,MATCH(Cleaned_Data!F597,Lookup_Tables!$A$1:$A$7,0))</f>
        <v>Furniture</v>
      </c>
      <c r="H597" t="s">
        <v>51</v>
      </c>
      <c r="I597">
        <v>1</v>
      </c>
      <c r="J597">
        <v>29973</v>
      </c>
      <c r="L597">
        <f t="shared" si="45"/>
        <v>0</v>
      </c>
      <c r="M597">
        <v>24582</v>
      </c>
      <c r="N597">
        <f t="shared" si="46"/>
        <v>29973</v>
      </c>
      <c r="O597">
        <f t="shared" si="47"/>
        <v>29973</v>
      </c>
      <c r="P597">
        <f>I597*IFERROR(_xlfn.XLOOKUP(F597,Lookup_Tables!Product,Cost),0)</f>
        <v>13271</v>
      </c>
      <c r="Q597">
        <f t="shared" si="48"/>
        <v>16702</v>
      </c>
      <c r="R597" s="2">
        <f t="shared" si="49"/>
        <v>0.55723484469355755</v>
      </c>
    </row>
    <row r="598" spans="1:18" x14ac:dyDescent="0.3">
      <c r="A598" t="s">
        <v>655</v>
      </c>
      <c r="B598" s="1">
        <v>45369</v>
      </c>
      <c r="C598" t="s">
        <v>4</v>
      </c>
      <c r="D598" t="s">
        <v>76</v>
      </c>
      <c r="E598" t="s">
        <v>27</v>
      </c>
      <c r="F598" t="s">
        <v>22</v>
      </c>
      <c r="G598" t="str">
        <f>INDEX(Lookup_Tables!$B$1:$B$7,MATCH(Cleaned_Data!F598,Lookup_Tables!$A$1:$A$7,0))</f>
        <v>Furniture</v>
      </c>
      <c r="H598" t="s">
        <v>51</v>
      </c>
      <c r="I598">
        <v>4</v>
      </c>
      <c r="J598">
        <v>19634</v>
      </c>
      <c r="K598">
        <v>0.1</v>
      </c>
      <c r="L598">
        <f t="shared" si="45"/>
        <v>0.1</v>
      </c>
      <c r="N598">
        <f t="shared" si="46"/>
        <v>78536</v>
      </c>
      <c r="O598">
        <f t="shared" si="47"/>
        <v>70682.399999999994</v>
      </c>
      <c r="P598">
        <f>I598*IFERROR(_xlfn.XLOOKUP(F598,Lookup_Tables!Product,Cost),0)</f>
        <v>52160</v>
      </c>
      <c r="Q598">
        <f t="shared" si="48"/>
        <v>18522.399999999994</v>
      </c>
      <c r="R598" s="2">
        <f t="shared" si="49"/>
        <v>0.26205109051192371</v>
      </c>
    </row>
    <row r="599" spans="1:18" x14ac:dyDescent="0.3">
      <c r="A599" t="s">
        <v>656</v>
      </c>
      <c r="B599" s="1">
        <v>45293</v>
      </c>
      <c r="C599" t="s">
        <v>3</v>
      </c>
      <c r="D599" t="s">
        <v>49</v>
      </c>
      <c r="E599" t="s">
        <v>28</v>
      </c>
      <c r="F599" t="s">
        <v>58</v>
      </c>
      <c r="G599" t="str">
        <f>INDEX(Lookup_Tables!$B$1:$B$7,MATCH(Cleaned_Data!F599,Lookup_Tables!$A$1:$A$7,0))</f>
        <v>Electronics</v>
      </c>
      <c r="H599" t="s">
        <v>54</v>
      </c>
      <c r="I599">
        <v>6</v>
      </c>
      <c r="J599">
        <v>26190</v>
      </c>
      <c r="K599">
        <v>0.1</v>
      </c>
      <c r="L599">
        <f t="shared" si="45"/>
        <v>0.1</v>
      </c>
      <c r="M599">
        <v>22208</v>
      </c>
      <c r="N599">
        <f t="shared" si="46"/>
        <v>157140</v>
      </c>
      <c r="O599">
        <f t="shared" si="47"/>
        <v>141426</v>
      </c>
      <c r="P599">
        <f>I599*IFERROR(_xlfn.XLOOKUP(F599,Lookup_Tables!Product,Cost),0)</f>
        <v>17328</v>
      </c>
      <c r="Q599">
        <f t="shared" si="48"/>
        <v>124098</v>
      </c>
      <c r="R599" s="2">
        <f t="shared" si="49"/>
        <v>0.87747656017988207</v>
      </c>
    </row>
    <row r="600" spans="1:18" x14ac:dyDescent="0.3">
      <c r="A600" t="s">
        <v>657</v>
      </c>
      <c r="B600" s="1">
        <v>45525</v>
      </c>
      <c r="C600" t="s">
        <v>3</v>
      </c>
      <c r="D600" t="s">
        <v>69</v>
      </c>
      <c r="E600" t="s">
        <v>26</v>
      </c>
      <c r="F600" t="s">
        <v>50</v>
      </c>
      <c r="G600" t="str">
        <f>INDEX(Lookup_Tables!$B$1:$B$7,MATCH(Cleaned_Data!F600,Lookup_Tables!$A$1:$A$7,0))</f>
        <v>Furniture</v>
      </c>
      <c r="H600" t="s">
        <v>51</v>
      </c>
      <c r="I600">
        <v>3</v>
      </c>
      <c r="J600">
        <v>7424</v>
      </c>
      <c r="K600">
        <v>0.1</v>
      </c>
      <c r="L600">
        <f t="shared" si="45"/>
        <v>0.1</v>
      </c>
      <c r="M600">
        <v>9732</v>
      </c>
      <c r="N600">
        <f t="shared" si="46"/>
        <v>22272</v>
      </c>
      <c r="O600">
        <f t="shared" si="47"/>
        <v>20044.8</v>
      </c>
      <c r="P600">
        <f>I600*IFERROR(_xlfn.XLOOKUP(F600,Lookup_Tables!Product,Cost),0)</f>
        <v>39813</v>
      </c>
      <c r="Q600">
        <f t="shared" si="48"/>
        <v>-19768.2</v>
      </c>
      <c r="R600" s="2">
        <f t="shared" si="49"/>
        <v>-0.98620090996168586</v>
      </c>
    </row>
    <row r="601" spans="1:18" x14ac:dyDescent="0.3">
      <c r="A601" t="s">
        <v>658</v>
      </c>
      <c r="B601" s="1">
        <v>45434</v>
      </c>
      <c r="C601" t="s">
        <v>3</v>
      </c>
      <c r="D601" t="s">
        <v>53</v>
      </c>
      <c r="E601" t="s">
        <v>25</v>
      </c>
      <c r="F601" t="s">
        <v>61</v>
      </c>
      <c r="G601" t="str">
        <f>INDEX(Lookup_Tables!$B$1:$B$7,MATCH(Cleaned_Data!F601,Lookup_Tables!$A$1:$A$7,0))</f>
        <v>Electronics</v>
      </c>
      <c r="H601" t="s">
        <v>54</v>
      </c>
      <c r="I601">
        <v>10</v>
      </c>
      <c r="J601">
        <v>31661</v>
      </c>
      <c r="L601">
        <f t="shared" si="45"/>
        <v>0</v>
      </c>
      <c r="M601">
        <v>10543</v>
      </c>
      <c r="N601">
        <f t="shared" si="46"/>
        <v>316610</v>
      </c>
      <c r="O601">
        <f t="shared" si="47"/>
        <v>316610</v>
      </c>
      <c r="P601">
        <f>I601*IFERROR(_xlfn.XLOOKUP(F601,Lookup_Tables!Product,Cost),0)</f>
        <v>73840</v>
      </c>
      <c r="Q601">
        <f t="shared" si="48"/>
        <v>242770</v>
      </c>
      <c r="R601" s="2">
        <f t="shared" si="49"/>
        <v>0.76677931840434599</v>
      </c>
    </row>
    <row r="602" spans="1:18" x14ac:dyDescent="0.3">
      <c r="A602" t="s">
        <v>659</v>
      </c>
      <c r="B602" s="1">
        <v>45558</v>
      </c>
      <c r="C602" t="s">
        <v>5</v>
      </c>
      <c r="D602" t="s">
        <v>76</v>
      </c>
      <c r="E602" t="s">
        <v>25</v>
      </c>
      <c r="F602" t="s">
        <v>24</v>
      </c>
      <c r="G602" t="str">
        <f>INDEX(Lookup_Tables!$B$1:$B$7,MATCH(Cleaned_Data!F602,Lookup_Tables!$A$1:$A$7,0))</f>
        <v>Electronics</v>
      </c>
      <c r="H602" t="s">
        <v>54</v>
      </c>
      <c r="I602">
        <v>3</v>
      </c>
      <c r="J602">
        <v>25358</v>
      </c>
      <c r="K602">
        <v>0.05</v>
      </c>
      <c r="L602">
        <f t="shared" si="45"/>
        <v>0.05</v>
      </c>
      <c r="M602">
        <v>15605</v>
      </c>
      <c r="N602">
        <f t="shared" si="46"/>
        <v>76074</v>
      </c>
      <c r="O602">
        <f t="shared" si="47"/>
        <v>72270.3</v>
      </c>
      <c r="P602">
        <f>I602*IFERROR(_xlfn.XLOOKUP(F602,Lookup_Tables!Product,Cost),0)</f>
        <v>84138</v>
      </c>
      <c r="Q602">
        <f t="shared" si="48"/>
        <v>-11867.699999999997</v>
      </c>
      <c r="R602" s="2">
        <f t="shared" si="49"/>
        <v>-0.1642126848788506</v>
      </c>
    </row>
    <row r="603" spans="1:18" x14ac:dyDescent="0.3">
      <c r="A603" t="s">
        <v>660</v>
      </c>
      <c r="B603" s="1">
        <v>45583</v>
      </c>
      <c r="C603" t="s">
        <v>6</v>
      </c>
      <c r="D603" t="s">
        <v>64</v>
      </c>
      <c r="E603" t="s">
        <v>29</v>
      </c>
      <c r="F603" t="s">
        <v>23</v>
      </c>
      <c r="G603" t="str">
        <f>INDEX(Lookup_Tables!$B$1:$B$7,MATCH(Cleaned_Data!F603,Lookup_Tables!$A$1:$A$7,0))</f>
        <v>Electronics</v>
      </c>
      <c r="H603" t="s">
        <v>54</v>
      </c>
      <c r="I603">
        <v>5</v>
      </c>
      <c r="J603">
        <v>41241</v>
      </c>
      <c r="K603">
        <v>0.1</v>
      </c>
      <c r="L603">
        <f t="shared" si="45"/>
        <v>0.1</v>
      </c>
      <c r="M603">
        <v>6943</v>
      </c>
      <c r="N603">
        <f t="shared" si="46"/>
        <v>206205</v>
      </c>
      <c r="O603">
        <f t="shared" si="47"/>
        <v>185584.5</v>
      </c>
      <c r="P603">
        <f>I603*IFERROR(_xlfn.XLOOKUP(F603,Lookup_Tables!Product,Cost),0)</f>
        <v>96325</v>
      </c>
      <c r="Q603">
        <f t="shared" si="48"/>
        <v>89259.5</v>
      </c>
      <c r="R603" s="2">
        <f t="shared" si="49"/>
        <v>0.48096419690221975</v>
      </c>
    </row>
    <row r="604" spans="1:18" x14ac:dyDescent="0.3">
      <c r="A604" t="s">
        <v>661</v>
      </c>
      <c r="B604" s="1">
        <v>45329</v>
      </c>
      <c r="C604" t="s">
        <v>4</v>
      </c>
      <c r="D604" t="s">
        <v>64</v>
      </c>
      <c r="E604" t="s">
        <v>27</v>
      </c>
      <c r="F604" t="s">
        <v>24</v>
      </c>
      <c r="G604" t="str">
        <f>INDEX(Lookup_Tables!$B$1:$B$7,MATCH(Cleaned_Data!F604,Lookup_Tables!$A$1:$A$7,0))</f>
        <v>Electronics</v>
      </c>
      <c r="H604" t="s">
        <v>54</v>
      </c>
      <c r="I604">
        <v>9</v>
      </c>
      <c r="J604">
        <v>30881</v>
      </c>
      <c r="K604">
        <v>0.05</v>
      </c>
      <c r="L604">
        <f t="shared" si="45"/>
        <v>0.05</v>
      </c>
      <c r="N604">
        <f t="shared" si="46"/>
        <v>277929</v>
      </c>
      <c r="O604">
        <f t="shared" si="47"/>
        <v>264032.55</v>
      </c>
      <c r="P604">
        <f>I604*IFERROR(_xlfn.XLOOKUP(F604,Lookup_Tables!Product,Cost),0)</f>
        <v>252414</v>
      </c>
      <c r="Q604">
        <f t="shared" si="48"/>
        <v>11618.549999999988</v>
      </c>
      <c r="R604" s="2">
        <f t="shared" si="49"/>
        <v>4.4004233568929241E-2</v>
      </c>
    </row>
    <row r="605" spans="1:18" x14ac:dyDescent="0.3">
      <c r="A605" t="s">
        <v>662</v>
      </c>
      <c r="B605" s="1">
        <v>45427</v>
      </c>
      <c r="C605" t="s">
        <v>6</v>
      </c>
      <c r="D605" t="s">
        <v>53</v>
      </c>
      <c r="E605" t="s">
        <v>28</v>
      </c>
      <c r="F605" t="s">
        <v>23</v>
      </c>
      <c r="G605" t="str">
        <f>INDEX(Lookup_Tables!$B$1:$B$7,MATCH(Cleaned_Data!F605,Lookup_Tables!$A$1:$A$7,0))</f>
        <v>Electronics</v>
      </c>
      <c r="H605" t="s">
        <v>54</v>
      </c>
      <c r="I605">
        <v>4</v>
      </c>
      <c r="J605">
        <v>40245</v>
      </c>
      <c r="K605">
        <v>0.05</v>
      </c>
      <c r="L605">
        <f t="shared" si="45"/>
        <v>0.05</v>
      </c>
      <c r="N605">
        <f t="shared" si="46"/>
        <v>160980</v>
      </c>
      <c r="O605">
        <f t="shared" si="47"/>
        <v>152931</v>
      </c>
      <c r="P605">
        <f>I605*IFERROR(_xlfn.XLOOKUP(F605,Lookup_Tables!Product,Cost),0)</f>
        <v>77060</v>
      </c>
      <c r="Q605">
        <f t="shared" si="48"/>
        <v>75871</v>
      </c>
      <c r="R605" s="2">
        <f t="shared" si="49"/>
        <v>0.49611262595549627</v>
      </c>
    </row>
    <row r="606" spans="1:18" x14ac:dyDescent="0.3">
      <c r="A606" t="s">
        <v>663</v>
      </c>
      <c r="B606" s="1">
        <v>45453</v>
      </c>
      <c r="C606" t="s">
        <v>4</v>
      </c>
      <c r="D606" t="s">
        <v>56</v>
      </c>
      <c r="E606" t="s">
        <v>28</v>
      </c>
      <c r="F606" t="s">
        <v>61</v>
      </c>
      <c r="G606" t="str">
        <f>INDEX(Lookup_Tables!$B$1:$B$7,MATCH(Cleaned_Data!F606,Lookup_Tables!$A$1:$A$7,0))</f>
        <v>Electronics</v>
      </c>
      <c r="H606" t="s">
        <v>54</v>
      </c>
      <c r="I606">
        <v>3</v>
      </c>
      <c r="J606">
        <v>39303</v>
      </c>
      <c r="K606">
        <v>0</v>
      </c>
      <c r="L606">
        <f t="shared" si="45"/>
        <v>0</v>
      </c>
      <c r="N606">
        <f t="shared" si="46"/>
        <v>117909</v>
      </c>
      <c r="O606">
        <f t="shared" si="47"/>
        <v>117909</v>
      </c>
      <c r="P606">
        <f>I606*IFERROR(_xlfn.XLOOKUP(F606,Lookup_Tables!Product,Cost),0)</f>
        <v>22152</v>
      </c>
      <c r="Q606">
        <f t="shared" si="48"/>
        <v>95757</v>
      </c>
      <c r="R606" s="2">
        <f t="shared" si="49"/>
        <v>0.81212630079128822</v>
      </c>
    </row>
    <row r="607" spans="1:18" x14ac:dyDescent="0.3">
      <c r="A607" t="s">
        <v>664</v>
      </c>
      <c r="B607" s="1">
        <v>45310</v>
      </c>
      <c r="C607" t="s">
        <v>4</v>
      </c>
      <c r="D607" t="s">
        <v>64</v>
      </c>
      <c r="E607" t="s">
        <v>26</v>
      </c>
      <c r="F607" t="s">
        <v>23</v>
      </c>
      <c r="G607" t="str">
        <f>INDEX(Lookup_Tables!$B$1:$B$7,MATCH(Cleaned_Data!F607,Lookup_Tables!$A$1:$A$7,0))</f>
        <v>Electronics</v>
      </c>
      <c r="H607" t="s">
        <v>54</v>
      </c>
      <c r="I607">
        <v>6</v>
      </c>
      <c r="J607">
        <v>42092</v>
      </c>
      <c r="K607">
        <v>0.1</v>
      </c>
      <c r="L607">
        <f t="shared" si="45"/>
        <v>0.1</v>
      </c>
      <c r="M607">
        <v>22857</v>
      </c>
      <c r="N607">
        <f t="shared" si="46"/>
        <v>252552</v>
      </c>
      <c r="O607">
        <f t="shared" si="47"/>
        <v>227296.8</v>
      </c>
      <c r="P607">
        <f>I607*IFERROR(_xlfn.XLOOKUP(F607,Lookup_Tables!Product,Cost),0)</f>
        <v>115590</v>
      </c>
      <c r="Q607">
        <f t="shared" si="48"/>
        <v>111706.79999999999</v>
      </c>
      <c r="R607" s="2">
        <f t="shared" si="49"/>
        <v>0.49145786478296216</v>
      </c>
    </row>
    <row r="608" spans="1:18" x14ac:dyDescent="0.3">
      <c r="A608" t="s">
        <v>665</v>
      </c>
      <c r="B608" s="1">
        <v>45544</v>
      </c>
      <c r="C608" t="s">
        <v>3</v>
      </c>
      <c r="D608" t="s">
        <v>69</v>
      </c>
      <c r="E608" t="s">
        <v>27</v>
      </c>
      <c r="F608" t="s">
        <v>61</v>
      </c>
      <c r="G608" t="str">
        <f>INDEX(Lookup_Tables!$B$1:$B$7,MATCH(Cleaned_Data!F608,Lookup_Tables!$A$1:$A$7,0))</f>
        <v>Electronics</v>
      </c>
      <c r="H608" t="s">
        <v>54</v>
      </c>
      <c r="I608">
        <v>2</v>
      </c>
      <c r="J608">
        <v>22759</v>
      </c>
      <c r="K608">
        <v>0.1</v>
      </c>
      <c r="L608">
        <f t="shared" si="45"/>
        <v>0.1</v>
      </c>
      <c r="M608">
        <v>1230</v>
      </c>
      <c r="N608">
        <f t="shared" si="46"/>
        <v>45518</v>
      </c>
      <c r="O608">
        <f t="shared" si="47"/>
        <v>40966.199999999997</v>
      </c>
      <c r="P608">
        <f>I608*IFERROR(_xlfn.XLOOKUP(F608,Lookup_Tables!Product,Cost),0)</f>
        <v>14768</v>
      </c>
      <c r="Q608">
        <f t="shared" si="48"/>
        <v>26198.199999999997</v>
      </c>
      <c r="R608" s="2">
        <f t="shared" si="49"/>
        <v>0.63950769170682165</v>
      </c>
    </row>
    <row r="609" spans="1:18" x14ac:dyDescent="0.3">
      <c r="A609" t="s">
        <v>666</v>
      </c>
      <c r="B609" s="1">
        <v>45543</v>
      </c>
      <c r="C609" t="s">
        <v>5</v>
      </c>
      <c r="D609" t="s">
        <v>49</v>
      </c>
      <c r="E609" t="s">
        <v>29</v>
      </c>
      <c r="F609" t="s">
        <v>23</v>
      </c>
      <c r="G609" t="str">
        <f>INDEX(Lookup_Tables!$B$1:$B$7,MATCH(Cleaned_Data!F609,Lookup_Tables!$A$1:$A$7,0))</f>
        <v>Electronics</v>
      </c>
      <c r="H609" t="s">
        <v>54</v>
      </c>
      <c r="I609">
        <v>10</v>
      </c>
      <c r="J609">
        <v>17906</v>
      </c>
      <c r="K609">
        <v>0</v>
      </c>
      <c r="L609">
        <f t="shared" si="45"/>
        <v>0</v>
      </c>
      <c r="N609">
        <f t="shared" si="46"/>
        <v>179060</v>
      </c>
      <c r="O609">
        <f t="shared" si="47"/>
        <v>179060</v>
      </c>
      <c r="P609">
        <f>I609*IFERROR(_xlfn.XLOOKUP(F609,Lookup_Tables!Product,Cost),0)</f>
        <v>192650</v>
      </c>
      <c r="Q609">
        <f t="shared" si="48"/>
        <v>-13590</v>
      </c>
      <c r="R609" s="2">
        <f t="shared" si="49"/>
        <v>-7.5896347592985594E-2</v>
      </c>
    </row>
    <row r="610" spans="1:18" x14ac:dyDescent="0.3">
      <c r="A610" t="s">
        <v>667</v>
      </c>
      <c r="B610" s="1">
        <v>45567</v>
      </c>
      <c r="C610" t="s">
        <v>4</v>
      </c>
      <c r="D610" t="s">
        <v>76</v>
      </c>
      <c r="E610" t="s">
        <v>25</v>
      </c>
      <c r="F610" t="s">
        <v>24</v>
      </c>
      <c r="G610" t="str">
        <f>INDEX(Lookup_Tables!$B$1:$B$7,MATCH(Cleaned_Data!F610,Lookup_Tables!$A$1:$A$7,0))</f>
        <v>Electronics</v>
      </c>
      <c r="H610" t="s">
        <v>54</v>
      </c>
      <c r="I610">
        <v>5</v>
      </c>
      <c r="J610">
        <v>23831</v>
      </c>
      <c r="K610">
        <v>0</v>
      </c>
      <c r="L610">
        <f t="shared" si="45"/>
        <v>0</v>
      </c>
      <c r="M610">
        <v>1041</v>
      </c>
      <c r="N610">
        <f t="shared" si="46"/>
        <v>119155</v>
      </c>
      <c r="O610">
        <f t="shared" si="47"/>
        <v>119155</v>
      </c>
      <c r="P610">
        <f>I610*IFERROR(_xlfn.XLOOKUP(F610,Lookup_Tables!Product,Cost),0)</f>
        <v>140230</v>
      </c>
      <c r="Q610">
        <f t="shared" si="48"/>
        <v>-21075</v>
      </c>
      <c r="R610" s="2">
        <f t="shared" si="49"/>
        <v>-0.17687046284251606</v>
      </c>
    </row>
    <row r="611" spans="1:18" x14ac:dyDescent="0.3">
      <c r="A611" t="s">
        <v>668</v>
      </c>
      <c r="B611" s="1">
        <v>45560</v>
      </c>
      <c r="C611" t="s">
        <v>4</v>
      </c>
      <c r="D611" t="s">
        <v>56</v>
      </c>
      <c r="E611" t="s">
        <v>29</v>
      </c>
      <c r="F611" t="s">
        <v>23</v>
      </c>
      <c r="G611" t="str">
        <f>INDEX(Lookup_Tables!$B$1:$B$7,MATCH(Cleaned_Data!F611,Lookup_Tables!$A$1:$A$7,0))</f>
        <v>Electronics</v>
      </c>
      <c r="H611" t="s">
        <v>54</v>
      </c>
      <c r="I611">
        <v>7</v>
      </c>
      <c r="J611">
        <v>10906</v>
      </c>
      <c r="K611">
        <v>0</v>
      </c>
      <c r="L611">
        <f t="shared" si="45"/>
        <v>0</v>
      </c>
      <c r="M611">
        <v>3186</v>
      </c>
      <c r="N611">
        <f t="shared" si="46"/>
        <v>76342</v>
      </c>
      <c r="O611">
        <f t="shared" si="47"/>
        <v>76342</v>
      </c>
      <c r="P611">
        <f>I611*IFERROR(_xlfn.XLOOKUP(F611,Lookup_Tables!Product,Cost),0)</f>
        <v>134855</v>
      </c>
      <c r="Q611">
        <f t="shared" si="48"/>
        <v>-58513</v>
      </c>
      <c r="R611" s="2">
        <f t="shared" si="49"/>
        <v>-0.7664588300018339</v>
      </c>
    </row>
    <row r="612" spans="1:18" x14ac:dyDescent="0.3">
      <c r="A612" t="s">
        <v>669</v>
      </c>
      <c r="B612" s="1">
        <v>45471</v>
      </c>
      <c r="C612" t="s">
        <v>3</v>
      </c>
      <c r="D612" t="s">
        <v>64</v>
      </c>
      <c r="E612" t="s">
        <v>26</v>
      </c>
      <c r="F612" t="s">
        <v>58</v>
      </c>
      <c r="G612" t="str">
        <f>INDEX(Lookup_Tables!$B$1:$B$7,MATCH(Cleaned_Data!F612,Lookup_Tables!$A$1:$A$7,0))</f>
        <v>Electronics</v>
      </c>
      <c r="H612" t="s">
        <v>54</v>
      </c>
      <c r="I612">
        <v>6</v>
      </c>
      <c r="J612">
        <v>7982</v>
      </c>
      <c r="L612">
        <f t="shared" si="45"/>
        <v>0</v>
      </c>
      <c r="N612">
        <f t="shared" si="46"/>
        <v>47892</v>
      </c>
      <c r="O612">
        <f t="shared" si="47"/>
        <v>47892</v>
      </c>
      <c r="P612">
        <f>I612*IFERROR(_xlfn.XLOOKUP(F612,Lookup_Tables!Product,Cost),0)</f>
        <v>17328</v>
      </c>
      <c r="Q612">
        <f t="shared" si="48"/>
        <v>30564</v>
      </c>
      <c r="R612" s="2">
        <f t="shared" si="49"/>
        <v>0.63818591831621152</v>
      </c>
    </row>
    <row r="613" spans="1:18" x14ac:dyDescent="0.3">
      <c r="A613" t="s">
        <v>670</v>
      </c>
      <c r="B613" s="1">
        <v>45417</v>
      </c>
      <c r="C613" t="s">
        <v>4</v>
      </c>
      <c r="D613" t="s">
        <v>69</v>
      </c>
      <c r="E613" t="s">
        <v>25</v>
      </c>
      <c r="F613" t="s">
        <v>61</v>
      </c>
      <c r="G613" t="str">
        <f>INDEX(Lookup_Tables!$B$1:$B$7,MATCH(Cleaned_Data!F613,Lookup_Tables!$A$1:$A$7,0))</f>
        <v>Electronics</v>
      </c>
      <c r="H613" t="s">
        <v>54</v>
      </c>
      <c r="I613">
        <v>2</v>
      </c>
      <c r="J613">
        <v>28936</v>
      </c>
      <c r="K613">
        <v>0.05</v>
      </c>
      <c r="L613">
        <f t="shared" si="45"/>
        <v>0.05</v>
      </c>
      <c r="N613">
        <f t="shared" si="46"/>
        <v>57872</v>
      </c>
      <c r="O613">
        <f t="shared" si="47"/>
        <v>54978.400000000001</v>
      </c>
      <c r="P613">
        <f>I613*IFERROR(_xlfn.XLOOKUP(F613,Lookup_Tables!Product,Cost),0)</f>
        <v>14768</v>
      </c>
      <c r="Q613">
        <f t="shared" si="48"/>
        <v>40210.400000000001</v>
      </c>
      <c r="R613" s="2">
        <f t="shared" si="49"/>
        <v>0.73138541681824132</v>
      </c>
    </row>
    <row r="614" spans="1:18" x14ac:dyDescent="0.3">
      <c r="A614" t="s">
        <v>671</v>
      </c>
      <c r="B614" s="1">
        <v>45426</v>
      </c>
      <c r="C614" t="s">
        <v>6</v>
      </c>
      <c r="D614" t="s">
        <v>53</v>
      </c>
      <c r="E614" t="s">
        <v>27</v>
      </c>
      <c r="F614" t="s">
        <v>24</v>
      </c>
      <c r="G614" t="str">
        <f>INDEX(Lookup_Tables!$B$1:$B$7,MATCH(Cleaned_Data!F614,Lookup_Tables!$A$1:$A$7,0))</f>
        <v>Electronics</v>
      </c>
      <c r="H614" t="s">
        <v>54</v>
      </c>
      <c r="I614">
        <v>8</v>
      </c>
      <c r="J614">
        <v>9705</v>
      </c>
      <c r="L614">
        <f t="shared" si="45"/>
        <v>0</v>
      </c>
      <c r="M614">
        <v>13949</v>
      </c>
      <c r="N614">
        <f t="shared" si="46"/>
        <v>77640</v>
      </c>
      <c r="O614">
        <f t="shared" si="47"/>
        <v>77640</v>
      </c>
      <c r="P614">
        <f>I614*IFERROR(_xlfn.XLOOKUP(F614,Lookup_Tables!Product,Cost),0)</f>
        <v>224368</v>
      </c>
      <c r="Q614">
        <f t="shared" si="48"/>
        <v>-146728</v>
      </c>
      <c r="R614" s="2">
        <f t="shared" si="49"/>
        <v>-1.8898505924781042</v>
      </c>
    </row>
    <row r="615" spans="1:18" x14ac:dyDescent="0.3">
      <c r="A615" t="s">
        <v>672</v>
      </c>
      <c r="B615" s="1">
        <v>45399</v>
      </c>
      <c r="C615" t="s">
        <v>4</v>
      </c>
      <c r="D615" t="s">
        <v>56</v>
      </c>
      <c r="E615" t="s">
        <v>28</v>
      </c>
      <c r="F615" t="s">
        <v>22</v>
      </c>
      <c r="G615" t="str">
        <f>INDEX(Lookup_Tables!$B$1:$B$7,MATCH(Cleaned_Data!F615,Lookup_Tables!$A$1:$A$7,0))</f>
        <v>Furniture</v>
      </c>
      <c r="H615" t="s">
        <v>51</v>
      </c>
      <c r="I615">
        <v>2</v>
      </c>
      <c r="J615">
        <v>31180</v>
      </c>
      <c r="K615">
        <v>0.05</v>
      </c>
      <c r="L615">
        <f t="shared" si="45"/>
        <v>0.05</v>
      </c>
      <c r="N615">
        <f t="shared" si="46"/>
        <v>62360</v>
      </c>
      <c r="O615">
        <f t="shared" si="47"/>
        <v>59242</v>
      </c>
      <c r="P615">
        <f>I615*IFERROR(_xlfn.XLOOKUP(F615,Lookup_Tables!Product,Cost),0)</f>
        <v>26080</v>
      </c>
      <c r="Q615">
        <f t="shared" si="48"/>
        <v>33162</v>
      </c>
      <c r="R615" s="2">
        <f t="shared" si="49"/>
        <v>0.55977178353195367</v>
      </c>
    </row>
    <row r="616" spans="1:18" x14ac:dyDescent="0.3">
      <c r="A616" t="s">
        <v>673</v>
      </c>
      <c r="B616" s="1">
        <v>45332</v>
      </c>
      <c r="C616" t="s">
        <v>6</v>
      </c>
      <c r="D616" t="s">
        <v>53</v>
      </c>
      <c r="E616" t="s">
        <v>26</v>
      </c>
      <c r="F616" t="s">
        <v>58</v>
      </c>
      <c r="G616" t="str">
        <f>INDEX(Lookup_Tables!$B$1:$B$7,MATCH(Cleaned_Data!F616,Lookup_Tables!$A$1:$A$7,0))</f>
        <v>Electronics</v>
      </c>
      <c r="H616" t="s">
        <v>54</v>
      </c>
      <c r="I616">
        <v>8</v>
      </c>
      <c r="J616">
        <v>10158</v>
      </c>
      <c r="L616">
        <f t="shared" si="45"/>
        <v>0</v>
      </c>
      <c r="M616">
        <v>17293</v>
      </c>
      <c r="N616">
        <f t="shared" si="46"/>
        <v>81264</v>
      </c>
      <c r="O616">
        <f t="shared" si="47"/>
        <v>81264</v>
      </c>
      <c r="P616">
        <f>I616*IFERROR(_xlfn.XLOOKUP(F616,Lookup_Tables!Product,Cost),0)</f>
        <v>23104</v>
      </c>
      <c r="Q616">
        <f t="shared" si="48"/>
        <v>58160</v>
      </c>
      <c r="R616" s="2">
        <f t="shared" si="49"/>
        <v>0.71569206536719832</v>
      </c>
    </row>
    <row r="617" spans="1:18" x14ac:dyDescent="0.3">
      <c r="A617" t="s">
        <v>674</v>
      </c>
      <c r="B617" s="1">
        <v>45495</v>
      </c>
      <c r="C617" t="s">
        <v>3</v>
      </c>
      <c r="D617" t="s">
        <v>76</v>
      </c>
      <c r="E617" t="s">
        <v>25</v>
      </c>
      <c r="F617" t="s">
        <v>22</v>
      </c>
      <c r="G617" t="str">
        <f>INDEX(Lookup_Tables!$B$1:$B$7,MATCH(Cleaned_Data!F617,Lookup_Tables!$A$1:$A$7,0))</f>
        <v>Furniture</v>
      </c>
      <c r="H617" t="s">
        <v>51</v>
      </c>
      <c r="I617">
        <v>6</v>
      </c>
      <c r="J617">
        <v>1645</v>
      </c>
      <c r="K617">
        <v>0.05</v>
      </c>
      <c r="L617">
        <f t="shared" si="45"/>
        <v>0.05</v>
      </c>
      <c r="N617">
        <f t="shared" si="46"/>
        <v>9870</v>
      </c>
      <c r="O617">
        <f t="shared" si="47"/>
        <v>9376.5</v>
      </c>
      <c r="P617">
        <f>I617*IFERROR(_xlfn.XLOOKUP(F617,Lookup_Tables!Product,Cost),0)</f>
        <v>78240</v>
      </c>
      <c r="Q617">
        <f t="shared" si="48"/>
        <v>-68863.5</v>
      </c>
      <c r="R617" s="2">
        <f t="shared" si="49"/>
        <v>-7.3442649176131818</v>
      </c>
    </row>
    <row r="618" spans="1:18" x14ac:dyDescent="0.3">
      <c r="A618" t="s">
        <v>675</v>
      </c>
      <c r="B618" s="1">
        <v>45557</v>
      </c>
      <c r="C618" t="s">
        <v>6</v>
      </c>
      <c r="D618" t="s">
        <v>69</v>
      </c>
      <c r="E618" t="s">
        <v>25</v>
      </c>
      <c r="F618" t="s">
        <v>61</v>
      </c>
      <c r="G618" t="str">
        <f>INDEX(Lookup_Tables!$B$1:$B$7,MATCH(Cleaned_Data!F618,Lookup_Tables!$A$1:$A$7,0))</f>
        <v>Electronics</v>
      </c>
      <c r="H618" t="s">
        <v>54</v>
      </c>
      <c r="I618">
        <v>3</v>
      </c>
      <c r="J618">
        <v>20713</v>
      </c>
      <c r="K618">
        <v>0.05</v>
      </c>
      <c r="L618">
        <f t="shared" si="45"/>
        <v>0.05</v>
      </c>
      <c r="M618">
        <v>29473</v>
      </c>
      <c r="N618">
        <f t="shared" si="46"/>
        <v>62139</v>
      </c>
      <c r="O618">
        <f t="shared" si="47"/>
        <v>59032.05</v>
      </c>
      <c r="P618">
        <f>I618*IFERROR(_xlfn.XLOOKUP(F618,Lookup_Tables!Product,Cost),0)</f>
        <v>22152</v>
      </c>
      <c r="Q618">
        <f t="shared" si="48"/>
        <v>36880.050000000003</v>
      </c>
      <c r="R618" s="2">
        <f t="shared" si="49"/>
        <v>0.62474621836781885</v>
      </c>
    </row>
    <row r="619" spans="1:18" x14ac:dyDescent="0.3">
      <c r="A619" t="s">
        <v>676</v>
      </c>
      <c r="B619" s="1">
        <v>45336</v>
      </c>
      <c r="C619" t="s">
        <v>3</v>
      </c>
      <c r="D619" t="s">
        <v>53</v>
      </c>
      <c r="E619" t="s">
        <v>26</v>
      </c>
      <c r="F619" t="s">
        <v>22</v>
      </c>
      <c r="G619" t="str">
        <f>INDEX(Lookup_Tables!$B$1:$B$7,MATCH(Cleaned_Data!F619,Lookup_Tables!$A$1:$A$7,0))</f>
        <v>Furniture</v>
      </c>
      <c r="H619" t="s">
        <v>51</v>
      </c>
      <c r="I619">
        <v>4</v>
      </c>
      <c r="J619">
        <v>29905</v>
      </c>
      <c r="K619">
        <v>0.05</v>
      </c>
      <c r="L619">
        <f t="shared" si="45"/>
        <v>0.05</v>
      </c>
      <c r="N619">
        <f t="shared" si="46"/>
        <v>119620</v>
      </c>
      <c r="O619">
        <f t="shared" si="47"/>
        <v>113639</v>
      </c>
      <c r="P619">
        <f>I619*IFERROR(_xlfn.XLOOKUP(F619,Lookup_Tables!Product,Cost),0)</f>
        <v>52160</v>
      </c>
      <c r="Q619">
        <f t="shared" si="48"/>
        <v>61479</v>
      </c>
      <c r="R619" s="2">
        <f t="shared" si="49"/>
        <v>0.54100264873854931</v>
      </c>
    </row>
    <row r="620" spans="1:18" x14ac:dyDescent="0.3">
      <c r="A620" t="s">
        <v>677</v>
      </c>
      <c r="B620" s="1">
        <v>45413</v>
      </c>
      <c r="C620" t="s">
        <v>5</v>
      </c>
      <c r="D620" t="s">
        <v>69</v>
      </c>
      <c r="E620" t="s">
        <v>28</v>
      </c>
      <c r="F620" t="s">
        <v>58</v>
      </c>
      <c r="G620" t="str">
        <f>INDEX(Lookup_Tables!$B$1:$B$7,MATCH(Cleaned_Data!F620,Lookup_Tables!$A$1:$A$7,0))</f>
        <v>Electronics</v>
      </c>
      <c r="H620" t="s">
        <v>54</v>
      </c>
      <c r="I620">
        <v>9</v>
      </c>
      <c r="J620">
        <v>35349</v>
      </c>
      <c r="K620">
        <v>0</v>
      </c>
      <c r="L620">
        <f t="shared" si="45"/>
        <v>0</v>
      </c>
      <c r="M620">
        <v>21570</v>
      </c>
      <c r="N620">
        <f t="shared" si="46"/>
        <v>318141</v>
      </c>
      <c r="O620">
        <f t="shared" si="47"/>
        <v>318141</v>
      </c>
      <c r="P620">
        <f>I620*IFERROR(_xlfn.XLOOKUP(F620,Lookup_Tables!Product,Cost),0)</f>
        <v>25992</v>
      </c>
      <c r="Q620">
        <f t="shared" si="48"/>
        <v>292149</v>
      </c>
      <c r="R620" s="2">
        <f t="shared" si="49"/>
        <v>0.91830037624826732</v>
      </c>
    </row>
    <row r="621" spans="1:18" x14ac:dyDescent="0.3">
      <c r="A621" t="s">
        <v>678</v>
      </c>
      <c r="B621" s="1">
        <v>45504</v>
      </c>
      <c r="C621" t="s">
        <v>3</v>
      </c>
      <c r="D621" t="s">
        <v>69</v>
      </c>
      <c r="E621" t="s">
        <v>26</v>
      </c>
      <c r="F621" t="s">
        <v>22</v>
      </c>
      <c r="G621" t="str">
        <f>INDEX(Lookup_Tables!$B$1:$B$7,MATCH(Cleaned_Data!F621,Lookup_Tables!$A$1:$A$7,0))</f>
        <v>Furniture</v>
      </c>
      <c r="H621" t="s">
        <v>51</v>
      </c>
      <c r="I621">
        <v>3</v>
      </c>
      <c r="J621">
        <v>25830</v>
      </c>
      <c r="K621">
        <v>0.05</v>
      </c>
      <c r="L621">
        <f t="shared" si="45"/>
        <v>0.05</v>
      </c>
      <c r="M621">
        <v>1462</v>
      </c>
      <c r="N621">
        <f t="shared" si="46"/>
        <v>77490</v>
      </c>
      <c r="O621">
        <f t="shared" si="47"/>
        <v>73615.5</v>
      </c>
      <c r="P621">
        <f>I621*IFERROR(_xlfn.XLOOKUP(F621,Lookup_Tables!Product,Cost),0)</f>
        <v>39120</v>
      </c>
      <c r="Q621">
        <f t="shared" si="48"/>
        <v>34495.5</v>
      </c>
      <c r="R621" s="2">
        <f t="shared" si="49"/>
        <v>0.46859017462355074</v>
      </c>
    </row>
    <row r="622" spans="1:18" x14ac:dyDescent="0.3">
      <c r="A622" t="s">
        <v>679</v>
      </c>
      <c r="B622" s="1">
        <v>45573</v>
      </c>
      <c r="C622" t="s">
        <v>3</v>
      </c>
      <c r="D622" t="s">
        <v>56</v>
      </c>
      <c r="E622" t="s">
        <v>25</v>
      </c>
      <c r="F622" t="s">
        <v>22</v>
      </c>
      <c r="G622" t="str">
        <f>INDEX(Lookup_Tables!$B$1:$B$7,MATCH(Cleaned_Data!F622,Lookup_Tables!$A$1:$A$7,0))</f>
        <v>Furniture</v>
      </c>
      <c r="H622" t="s">
        <v>51</v>
      </c>
      <c r="I622">
        <v>6</v>
      </c>
      <c r="J622">
        <v>22052</v>
      </c>
      <c r="K622">
        <v>0</v>
      </c>
      <c r="L622">
        <f t="shared" si="45"/>
        <v>0</v>
      </c>
      <c r="M622">
        <v>28958</v>
      </c>
      <c r="N622">
        <f t="shared" si="46"/>
        <v>132312</v>
      </c>
      <c r="O622">
        <f t="shared" si="47"/>
        <v>132312</v>
      </c>
      <c r="P622">
        <f>I622*IFERROR(_xlfn.XLOOKUP(F622,Lookup_Tables!Product,Cost),0)</f>
        <v>78240</v>
      </c>
      <c r="Q622">
        <f t="shared" si="48"/>
        <v>54072</v>
      </c>
      <c r="R622" s="2">
        <f t="shared" si="49"/>
        <v>0.4086704153818248</v>
      </c>
    </row>
    <row r="623" spans="1:18" x14ac:dyDescent="0.3">
      <c r="A623" t="s">
        <v>680</v>
      </c>
      <c r="B623" s="1">
        <v>45549</v>
      </c>
      <c r="C623" t="s">
        <v>4</v>
      </c>
      <c r="D623" t="s">
        <v>56</v>
      </c>
      <c r="E623" t="s">
        <v>26</v>
      </c>
      <c r="F623" t="s">
        <v>22</v>
      </c>
      <c r="G623" t="str">
        <f>INDEX(Lookup_Tables!$B$1:$B$7,MATCH(Cleaned_Data!F623,Lookup_Tables!$A$1:$A$7,0))</f>
        <v>Furniture</v>
      </c>
      <c r="H623" t="s">
        <v>51</v>
      </c>
      <c r="I623">
        <v>3</v>
      </c>
      <c r="J623">
        <v>758</v>
      </c>
      <c r="K623">
        <v>0.1</v>
      </c>
      <c r="L623">
        <f t="shared" si="45"/>
        <v>0.1</v>
      </c>
      <c r="M623">
        <v>17818</v>
      </c>
      <c r="N623">
        <f t="shared" si="46"/>
        <v>2274</v>
      </c>
      <c r="O623">
        <f t="shared" si="47"/>
        <v>2046.6</v>
      </c>
      <c r="P623">
        <f>I623*IFERROR(_xlfn.XLOOKUP(F623,Lookup_Tables!Product,Cost),0)</f>
        <v>39120</v>
      </c>
      <c r="Q623">
        <f t="shared" si="48"/>
        <v>-37073.4</v>
      </c>
      <c r="R623" s="2">
        <f t="shared" si="49"/>
        <v>-18.114629141014365</v>
      </c>
    </row>
    <row r="624" spans="1:18" x14ac:dyDescent="0.3">
      <c r="A624" t="s">
        <v>681</v>
      </c>
      <c r="B624" s="1">
        <v>45601</v>
      </c>
      <c r="C624" t="s">
        <v>5</v>
      </c>
      <c r="D624" t="s">
        <v>49</v>
      </c>
      <c r="E624" t="s">
        <v>25</v>
      </c>
      <c r="F624" t="s">
        <v>50</v>
      </c>
      <c r="G624" t="str">
        <f>INDEX(Lookup_Tables!$B$1:$B$7,MATCH(Cleaned_Data!F624,Lookup_Tables!$A$1:$A$7,0))</f>
        <v>Furniture</v>
      </c>
      <c r="H624" t="s">
        <v>51</v>
      </c>
      <c r="I624">
        <v>7</v>
      </c>
      <c r="J624">
        <v>38917</v>
      </c>
      <c r="K624">
        <v>0.1</v>
      </c>
      <c r="L624">
        <f t="shared" si="45"/>
        <v>0.1</v>
      </c>
      <c r="M624">
        <v>18377</v>
      </c>
      <c r="N624">
        <f t="shared" si="46"/>
        <v>272419</v>
      </c>
      <c r="O624">
        <f t="shared" si="47"/>
        <v>245177.1</v>
      </c>
      <c r="P624">
        <f>I624*IFERROR(_xlfn.XLOOKUP(F624,Lookup_Tables!Product,Cost),0)</f>
        <v>92897</v>
      </c>
      <c r="Q624">
        <f t="shared" si="48"/>
        <v>152280.1</v>
      </c>
      <c r="R624" s="2">
        <f t="shared" si="49"/>
        <v>0.6211024602216112</v>
      </c>
    </row>
    <row r="625" spans="1:18" x14ac:dyDescent="0.3">
      <c r="A625" t="s">
        <v>682</v>
      </c>
      <c r="B625" s="1">
        <v>45422</v>
      </c>
      <c r="C625" t="s">
        <v>6</v>
      </c>
      <c r="D625" t="s">
        <v>64</v>
      </c>
      <c r="E625" t="s">
        <v>29</v>
      </c>
      <c r="F625" t="s">
        <v>58</v>
      </c>
      <c r="G625" t="str">
        <f>INDEX(Lookup_Tables!$B$1:$B$7,MATCH(Cleaned_Data!F625,Lookup_Tables!$A$1:$A$7,0))</f>
        <v>Electronics</v>
      </c>
      <c r="H625" t="s">
        <v>54</v>
      </c>
      <c r="I625">
        <v>6</v>
      </c>
      <c r="J625">
        <v>36716</v>
      </c>
      <c r="L625">
        <f t="shared" si="45"/>
        <v>0</v>
      </c>
      <c r="M625">
        <v>2153</v>
      </c>
      <c r="N625">
        <f t="shared" si="46"/>
        <v>220296</v>
      </c>
      <c r="O625">
        <f t="shared" si="47"/>
        <v>220296</v>
      </c>
      <c r="P625">
        <f>I625*IFERROR(_xlfn.XLOOKUP(F625,Lookup_Tables!Product,Cost),0)</f>
        <v>17328</v>
      </c>
      <c r="Q625">
        <f t="shared" si="48"/>
        <v>202968</v>
      </c>
      <c r="R625" s="2">
        <f t="shared" si="49"/>
        <v>0.92134219413879503</v>
      </c>
    </row>
    <row r="626" spans="1:18" x14ac:dyDescent="0.3">
      <c r="A626" t="s">
        <v>683</v>
      </c>
      <c r="B626" s="1">
        <v>45377</v>
      </c>
      <c r="C626" t="s">
        <v>4</v>
      </c>
      <c r="D626" t="s">
        <v>53</v>
      </c>
      <c r="E626" t="s">
        <v>27</v>
      </c>
      <c r="F626" t="s">
        <v>61</v>
      </c>
      <c r="G626" t="str">
        <f>INDEX(Lookup_Tables!$B$1:$B$7,MATCH(Cleaned_Data!F626,Lookup_Tables!$A$1:$A$7,0))</f>
        <v>Electronics</v>
      </c>
      <c r="H626" t="s">
        <v>54</v>
      </c>
      <c r="I626">
        <v>10</v>
      </c>
      <c r="J626">
        <v>34387</v>
      </c>
      <c r="L626">
        <f t="shared" si="45"/>
        <v>0</v>
      </c>
      <c r="M626">
        <v>8369</v>
      </c>
      <c r="N626">
        <f t="shared" si="46"/>
        <v>343870</v>
      </c>
      <c r="O626">
        <f t="shared" si="47"/>
        <v>343870</v>
      </c>
      <c r="P626">
        <f>I626*IFERROR(_xlfn.XLOOKUP(F626,Lookup_Tables!Product,Cost),0)</f>
        <v>73840</v>
      </c>
      <c r="Q626">
        <f t="shared" si="48"/>
        <v>270030</v>
      </c>
      <c r="R626" s="2">
        <f t="shared" si="49"/>
        <v>0.78526768837060512</v>
      </c>
    </row>
    <row r="627" spans="1:18" x14ac:dyDescent="0.3">
      <c r="A627" t="s">
        <v>684</v>
      </c>
      <c r="B627" s="1">
        <v>45404</v>
      </c>
      <c r="C627" t="s">
        <v>3</v>
      </c>
      <c r="D627" t="s">
        <v>56</v>
      </c>
      <c r="E627" t="s">
        <v>26</v>
      </c>
      <c r="F627" t="s">
        <v>58</v>
      </c>
      <c r="G627" t="str">
        <f>INDEX(Lookup_Tables!$B$1:$B$7,MATCH(Cleaned_Data!F627,Lookup_Tables!$A$1:$A$7,0))</f>
        <v>Electronics</v>
      </c>
      <c r="H627" t="s">
        <v>54</v>
      </c>
      <c r="I627">
        <v>1</v>
      </c>
      <c r="J627">
        <v>47038</v>
      </c>
      <c r="K627">
        <v>0</v>
      </c>
      <c r="L627">
        <f t="shared" si="45"/>
        <v>0</v>
      </c>
      <c r="N627">
        <f t="shared" si="46"/>
        <v>47038</v>
      </c>
      <c r="O627">
        <f t="shared" si="47"/>
        <v>47038</v>
      </c>
      <c r="P627">
        <f>I627*IFERROR(_xlfn.XLOOKUP(F627,Lookup_Tables!Product,Cost),0)</f>
        <v>2888</v>
      </c>
      <c r="Q627">
        <f t="shared" si="48"/>
        <v>44150</v>
      </c>
      <c r="R627" s="2">
        <f t="shared" si="49"/>
        <v>0.9386028317530507</v>
      </c>
    </row>
    <row r="628" spans="1:18" x14ac:dyDescent="0.3">
      <c r="A628" t="s">
        <v>685</v>
      </c>
      <c r="B628" s="1">
        <v>45602</v>
      </c>
      <c r="C628" t="s">
        <v>5</v>
      </c>
      <c r="D628" t="s">
        <v>56</v>
      </c>
      <c r="E628" t="s">
        <v>27</v>
      </c>
      <c r="F628" t="s">
        <v>22</v>
      </c>
      <c r="G628" t="str">
        <f>INDEX(Lookup_Tables!$B$1:$B$7,MATCH(Cleaned_Data!F628,Lookup_Tables!$A$1:$A$7,0))</f>
        <v>Furniture</v>
      </c>
      <c r="H628" t="s">
        <v>51</v>
      </c>
      <c r="I628">
        <v>3</v>
      </c>
      <c r="J628">
        <v>35065</v>
      </c>
      <c r="L628">
        <f t="shared" si="45"/>
        <v>0</v>
      </c>
      <c r="N628">
        <f t="shared" si="46"/>
        <v>105195</v>
      </c>
      <c r="O628">
        <f t="shared" si="47"/>
        <v>105195</v>
      </c>
      <c r="P628">
        <f>I628*IFERROR(_xlfn.XLOOKUP(F628,Lookup_Tables!Product,Cost),0)</f>
        <v>39120</v>
      </c>
      <c r="Q628">
        <f t="shared" si="48"/>
        <v>66075</v>
      </c>
      <c r="R628" s="2">
        <f t="shared" si="49"/>
        <v>0.62811920718665337</v>
      </c>
    </row>
    <row r="629" spans="1:18" x14ac:dyDescent="0.3">
      <c r="A629" t="s">
        <v>686</v>
      </c>
      <c r="B629" s="1">
        <v>45300</v>
      </c>
      <c r="C629" t="s">
        <v>6</v>
      </c>
      <c r="D629" t="s">
        <v>49</v>
      </c>
      <c r="E629" t="s">
        <v>26</v>
      </c>
      <c r="F629" t="s">
        <v>24</v>
      </c>
      <c r="G629" t="str">
        <f>INDEX(Lookup_Tables!$B$1:$B$7,MATCH(Cleaned_Data!F629,Lookup_Tables!$A$1:$A$7,0))</f>
        <v>Electronics</v>
      </c>
      <c r="H629" t="s">
        <v>54</v>
      </c>
      <c r="I629">
        <v>8</v>
      </c>
      <c r="J629">
        <v>11913</v>
      </c>
      <c r="K629">
        <v>0.1</v>
      </c>
      <c r="L629">
        <f t="shared" si="45"/>
        <v>0.1</v>
      </c>
      <c r="M629">
        <v>4451</v>
      </c>
      <c r="N629">
        <f t="shared" si="46"/>
        <v>95304</v>
      </c>
      <c r="O629">
        <f t="shared" si="47"/>
        <v>85773.6</v>
      </c>
      <c r="P629">
        <f>I629*IFERROR(_xlfn.XLOOKUP(F629,Lookup_Tables!Product,Cost),0)</f>
        <v>224368</v>
      </c>
      <c r="Q629">
        <f t="shared" si="48"/>
        <v>-138594.4</v>
      </c>
      <c r="R629" s="2">
        <f t="shared" si="49"/>
        <v>-1.6158165216336959</v>
      </c>
    </row>
    <row r="630" spans="1:18" x14ac:dyDescent="0.3">
      <c r="A630" t="s">
        <v>687</v>
      </c>
      <c r="B630" s="1">
        <v>45568</v>
      </c>
      <c r="C630" t="s">
        <v>4</v>
      </c>
      <c r="D630" t="s">
        <v>69</v>
      </c>
      <c r="E630" t="s">
        <v>29</v>
      </c>
      <c r="F630" t="s">
        <v>22</v>
      </c>
      <c r="G630" t="str">
        <f>INDEX(Lookup_Tables!$B$1:$B$7,MATCH(Cleaned_Data!F630,Lookup_Tables!$A$1:$A$7,0))</f>
        <v>Furniture</v>
      </c>
      <c r="H630" t="s">
        <v>51</v>
      </c>
      <c r="I630">
        <v>8</v>
      </c>
      <c r="J630">
        <v>42115</v>
      </c>
      <c r="K630">
        <v>0</v>
      </c>
      <c r="L630">
        <f t="shared" si="45"/>
        <v>0</v>
      </c>
      <c r="M630">
        <v>15430</v>
      </c>
      <c r="N630">
        <f t="shared" si="46"/>
        <v>336920</v>
      </c>
      <c r="O630">
        <f t="shared" si="47"/>
        <v>336920</v>
      </c>
      <c r="P630">
        <f>I630*IFERROR(_xlfn.XLOOKUP(F630,Lookup_Tables!Product,Cost),0)</f>
        <v>104320</v>
      </c>
      <c r="Q630">
        <f t="shared" si="48"/>
        <v>232600</v>
      </c>
      <c r="R630" s="2">
        <f t="shared" si="49"/>
        <v>0.69037160156713762</v>
      </c>
    </row>
    <row r="631" spans="1:18" x14ac:dyDescent="0.3">
      <c r="A631" t="s">
        <v>688</v>
      </c>
      <c r="B631" s="1">
        <v>45308</v>
      </c>
      <c r="C631" t="s">
        <v>3</v>
      </c>
      <c r="D631" t="s">
        <v>56</v>
      </c>
      <c r="E631" t="s">
        <v>25</v>
      </c>
      <c r="F631" t="s">
        <v>58</v>
      </c>
      <c r="G631" t="str">
        <f>INDEX(Lookup_Tables!$B$1:$B$7,MATCH(Cleaned_Data!F631,Lookup_Tables!$A$1:$A$7,0))</f>
        <v>Electronics</v>
      </c>
      <c r="H631" t="s">
        <v>54</v>
      </c>
      <c r="I631">
        <v>1</v>
      </c>
      <c r="J631">
        <v>41528</v>
      </c>
      <c r="K631">
        <v>0.1</v>
      </c>
      <c r="L631">
        <f t="shared" si="45"/>
        <v>0.1</v>
      </c>
      <c r="M631">
        <v>10061</v>
      </c>
      <c r="N631">
        <f t="shared" si="46"/>
        <v>41528</v>
      </c>
      <c r="O631">
        <f t="shared" si="47"/>
        <v>37375.199999999997</v>
      </c>
      <c r="P631">
        <f>I631*IFERROR(_xlfn.XLOOKUP(F631,Lookup_Tables!Product,Cost),0)</f>
        <v>2888</v>
      </c>
      <c r="Q631">
        <f t="shared" si="48"/>
        <v>34487.199999999997</v>
      </c>
      <c r="R631" s="2">
        <f t="shared" si="49"/>
        <v>0.92272951047753593</v>
      </c>
    </row>
    <row r="632" spans="1:18" x14ac:dyDescent="0.3">
      <c r="A632" t="s">
        <v>689</v>
      </c>
      <c r="B632" s="1">
        <v>45402</v>
      </c>
      <c r="C632" t="s">
        <v>5</v>
      </c>
      <c r="D632" t="s">
        <v>69</v>
      </c>
      <c r="E632" t="s">
        <v>29</v>
      </c>
      <c r="F632" t="s">
        <v>24</v>
      </c>
      <c r="G632" t="str">
        <f>INDEX(Lookup_Tables!$B$1:$B$7,MATCH(Cleaned_Data!F632,Lookup_Tables!$A$1:$A$7,0))</f>
        <v>Electronics</v>
      </c>
      <c r="H632" t="s">
        <v>54</v>
      </c>
      <c r="I632">
        <v>10</v>
      </c>
      <c r="J632">
        <v>4446</v>
      </c>
      <c r="K632">
        <v>0.05</v>
      </c>
      <c r="L632">
        <f t="shared" si="45"/>
        <v>0.05</v>
      </c>
      <c r="M632">
        <v>3843</v>
      </c>
      <c r="N632">
        <f t="shared" si="46"/>
        <v>44460</v>
      </c>
      <c r="O632">
        <f t="shared" si="47"/>
        <v>42237</v>
      </c>
      <c r="P632">
        <f>I632*IFERROR(_xlfn.XLOOKUP(F632,Lookup_Tables!Product,Cost),0)</f>
        <v>280460</v>
      </c>
      <c r="Q632">
        <f t="shared" si="48"/>
        <v>-238223</v>
      </c>
      <c r="R632" s="2">
        <f t="shared" si="49"/>
        <v>-5.6401496318393827</v>
      </c>
    </row>
    <row r="633" spans="1:18" x14ac:dyDescent="0.3">
      <c r="A633" t="s">
        <v>690</v>
      </c>
      <c r="B633" s="1">
        <v>45314</v>
      </c>
      <c r="C633" t="s">
        <v>4</v>
      </c>
      <c r="D633" t="s">
        <v>76</v>
      </c>
      <c r="E633" t="s">
        <v>25</v>
      </c>
      <c r="F633" t="s">
        <v>24</v>
      </c>
      <c r="G633" t="str">
        <f>INDEX(Lookup_Tables!$B$1:$B$7,MATCH(Cleaned_Data!F633,Lookup_Tables!$A$1:$A$7,0))</f>
        <v>Electronics</v>
      </c>
      <c r="H633" t="s">
        <v>54</v>
      </c>
      <c r="I633">
        <v>7</v>
      </c>
      <c r="J633">
        <v>34200</v>
      </c>
      <c r="K633">
        <v>0.1</v>
      </c>
      <c r="L633">
        <f t="shared" si="45"/>
        <v>0.1</v>
      </c>
      <c r="N633">
        <f t="shared" si="46"/>
        <v>239400</v>
      </c>
      <c r="O633">
        <f t="shared" si="47"/>
        <v>215460</v>
      </c>
      <c r="P633">
        <f>I633*IFERROR(_xlfn.XLOOKUP(F633,Lookup_Tables!Product,Cost),0)</f>
        <v>196322</v>
      </c>
      <c r="Q633">
        <f t="shared" si="48"/>
        <v>19138</v>
      </c>
      <c r="R633" s="2">
        <f t="shared" si="49"/>
        <v>8.8823911630929175E-2</v>
      </c>
    </row>
    <row r="634" spans="1:18" x14ac:dyDescent="0.3">
      <c r="A634" t="s">
        <v>691</v>
      </c>
      <c r="B634" s="1">
        <v>45626</v>
      </c>
      <c r="C634" t="s">
        <v>4</v>
      </c>
      <c r="D634" t="s">
        <v>64</v>
      </c>
      <c r="E634" t="s">
        <v>28</v>
      </c>
      <c r="F634" t="s">
        <v>22</v>
      </c>
      <c r="G634" t="str">
        <f>INDEX(Lookup_Tables!$B$1:$B$7,MATCH(Cleaned_Data!F634,Lookup_Tables!$A$1:$A$7,0))</f>
        <v>Furniture</v>
      </c>
      <c r="H634" t="s">
        <v>51</v>
      </c>
      <c r="I634">
        <v>7</v>
      </c>
      <c r="J634">
        <v>2491</v>
      </c>
      <c r="K634">
        <v>0.05</v>
      </c>
      <c r="L634">
        <f t="shared" si="45"/>
        <v>0.05</v>
      </c>
      <c r="M634">
        <v>29734</v>
      </c>
      <c r="N634">
        <f t="shared" si="46"/>
        <v>17437</v>
      </c>
      <c r="O634">
        <f t="shared" si="47"/>
        <v>16565.150000000001</v>
      </c>
      <c r="P634">
        <f>I634*IFERROR(_xlfn.XLOOKUP(F634,Lookup_Tables!Product,Cost),0)</f>
        <v>91280</v>
      </c>
      <c r="Q634">
        <f t="shared" si="48"/>
        <v>-74714.850000000006</v>
      </c>
      <c r="R634" s="2">
        <f t="shared" si="49"/>
        <v>-4.5103636248388934</v>
      </c>
    </row>
    <row r="635" spans="1:18" x14ac:dyDescent="0.3">
      <c r="A635" t="s">
        <v>692</v>
      </c>
      <c r="B635" s="1">
        <v>45514</v>
      </c>
      <c r="C635" t="s">
        <v>5</v>
      </c>
      <c r="D635" t="s">
        <v>53</v>
      </c>
      <c r="E635" t="s">
        <v>26</v>
      </c>
      <c r="F635" t="s">
        <v>23</v>
      </c>
      <c r="G635" t="str">
        <f>INDEX(Lookup_Tables!$B$1:$B$7,MATCH(Cleaned_Data!F635,Lookup_Tables!$A$1:$A$7,0))</f>
        <v>Electronics</v>
      </c>
      <c r="H635" t="s">
        <v>54</v>
      </c>
      <c r="I635">
        <v>10</v>
      </c>
      <c r="J635">
        <v>46148</v>
      </c>
      <c r="K635">
        <v>0.1</v>
      </c>
      <c r="L635">
        <f t="shared" si="45"/>
        <v>0.1</v>
      </c>
      <c r="M635">
        <v>6210</v>
      </c>
      <c r="N635">
        <f t="shared" si="46"/>
        <v>461480</v>
      </c>
      <c r="O635">
        <f t="shared" si="47"/>
        <v>415332</v>
      </c>
      <c r="P635">
        <f>I635*IFERROR(_xlfn.XLOOKUP(F635,Lookup_Tables!Product,Cost),0)</f>
        <v>192650</v>
      </c>
      <c r="Q635">
        <f t="shared" si="48"/>
        <v>222682</v>
      </c>
      <c r="R635" s="2">
        <f t="shared" si="49"/>
        <v>0.53615420916279022</v>
      </c>
    </row>
    <row r="636" spans="1:18" x14ac:dyDescent="0.3">
      <c r="A636" t="s">
        <v>693</v>
      </c>
      <c r="B636" s="1">
        <v>45374</v>
      </c>
      <c r="C636" t="s">
        <v>6</v>
      </c>
      <c r="D636" t="s">
        <v>76</v>
      </c>
      <c r="E636" t="s">
        <v>29</v>
      </c>
      <c r="F636" t="s">
        <v>24</v>
      </c>
      <c r="G636" t="str">
        <f>INDEX(Lookup_Tables!$B$1:$B$7,MATCH(Cleaned_Data!F636,Lookup_Tables!$A$1:$A$7,0))</f>
        <v>Electronics</v>
      </c>
      <c r="H636" t="s">
        <v>54</v>
      </c>
      <c r="I636">
        <v>5</v>
      </c>
      <c r="J636">
        <v>19018</v>
      </c>
      <c r="K636">
        <v>0.1</v>
      </c>
      <c r="L636">
        <f t="shared" si="45"/>
        <v>0.1</v>
      </c>
      <c r="M636">
        <v>10074</v>
      </c>
      <c r="N636">
        <f t="shared" si="46"/>
        <v>95090</v>
      </c>
      <c r="O636">
        <f t="shared" si="47"/>
        <v>85581</v>
      </c>
      <c r="P636">
        <f>I636*IFERROR(_xlfn.XLOOKUP(F636,Lookup_Tables!Product,Cost),0)</f>
        <v>140230</v>
      </c>
      <c r="Q636">
        <f t="shared" si="48"/>
        <v>-54649</v>
      </c>
      <c r="R636" s="2">
        <f t="shared" si="49"/>
        <v>-0.63856463467358404</v>
      </c>
    </row>
    <row r="637" spans="1:18" x14ac:dyDescent="0.3">
      <c r="A637" t="s">
        <v>694</v>
      </c>
      <c r="B637" s="1">
        <v>45438</v>
      </c>
      <c r="C637" t="s">
        <v>3</v>
      </c>
      <c r="D637" t="s">
        <v>49</v>
      </c>
      <c r="E637" t="s">
        <v>25</v>
      </c>
      <c r="F637" t="s">
        <v>61</v>
      </c>
      <c r="G637" t="str">
        <f>INDEX(Lookup_Tables!$B$1:$B$7,MATCH(Cleaned_Data!F637,Lookup_Tables!$A$1:$A$7,0))</f>
        <v>Electronics</v>
      </c>
      <c r="H637" t="s">
        <v>54</v>
      </c>
      <c r="I637">
        <v>9</v>
      </c>
      <c r="J637">
        <v>35260</v>
      </c>
      <c r="K637">
        <v>0.05</v>
      </c>
      <c r="L637">
        <f t="shared" si="45"/>
        <v>0.05</v>
      </c>
      <c r="M637">
        <v>24855</v>
      </c>
      <c r="N637">
        <f t="shared" si="46"/>
        <v>317340</v>
      </c>
      <c r="O637">
        <f t="shared" si="47"/>
        <v>301473</v>
      </c>
      <c r="P637">
        <f>I637*IFERROR(_xlfn.XLOOKUP(F637,Lookup_Tables!Product,Cost),0)</f>
        <v>66456</v>
      </c>
      <c r="Q637">
        <f t="shared" si="48"/>
        <v>235017</v>
      </c>
      <c r="R637" s="2">
        <f t="shared" si="49"/>
        <v>0.77956234886706277</v>
      </c>
    </row>
    <row r="638" spans="1:18" x14ac:dyDescent="0.3">
      <c r="A638" t="s">
        <v>695</v>
      </c>
      <c r="B638" s="1">
        <v>45550</v>
      </c>
      <c r="C638" t="s">
        <v>4</v>
      </c>
      <c r="D638" t="s">
        <v>49</v>
      </c>
      <c r="E638" t="s">
        <v>29</v>
      </c>
      <c r="F638" t="s">
        <v>50</v>
      </c>
      <c r="G638" t="str">
        <f>INDEX(Lookup_Tables!$B$1:$B$7,MATCH(Cleaned_Data!F638,Lookup_Tables!$A$1:$A$7,0))</f>
        <v>Furniture</v>
      </c>
      <c r="H638" t="s">
        <v>51</v>
      </c>
      <c r="I638">
        <v>2</v>
      </c>
      <c r="J638">
        <v>20597</v>
      </c>
      <c r="L638">
        <f t="shared" si="45"/>
        <v>0</v>
      </c>
      <c r="N638">
        <f t="shared" si="46"/>
        <v>41194</v>
      </c>
      <c r="O638">
        <f t="shared" si="47"/>
        <v>41194</v>
      </c>
      <c r="P638">
        <f>I638*IFERROR(_xlfn.XLOOKUP(F638,Lookup_Tables!Product,Cost),0)</f>
        <v>26542</v>
      </c>
      <c r="Q638">
        <f t="shared" si="48"/>
        <v>14652</v>
      </c>
      <c r="R638" s="2">
        <f t="shared" si="49"/>
        <v>0.35568286643685976</v>
      </c>
    </row>
    <row r="639" spans="1:18" x14ac:dyDescent="0.3">
      <c r="A639" t="s">
        <v>696</v>
      </c>
      <c r="B639" s="1">
        <v>45629</v>
      </c>
      <c r="C639" t="s">
        <v>4</v>
      </c>
      <c r="D639" t="s">
        <v>53</v>
      </c>
      <c r="E639" t="s">
        <v>29</v>
      </c>
      <c r="F639" t="s">
        <v>50</v>
      </c>
      <c r="G639" t="str">
        <f>INDEX(Lookup_Tables!$B$1:$B$7,MATCH(Cleaned_Data!F639,Lookup_Tables!$A$1:$A$7,0))</f>
        <v>Furniture</v>
      </c>
      <c r="H639" t="s">
        <v>51</v>
      </c>
      <c r="I639">
        <v>3</v>
      </c>
      <c r="J639">
        <v>43736</v>
      </c>
      <c r="L639">
        <f t="shared" si="45"/>
        <v>0</v>
      </c>
      <c r="N639">
        <f t="shared" si="46"/>
        <v>131208</v>
      </c>
      <c r="O639">
        <f t="shared" si="47"/>
        <v>131208</v>
      </c>
      <c r="P639">
        <f>I639*IFERROR(_xlfn.XLOOKUP(F639,Lookup_Tables!Product,Cost),0)</f>
        <v>39813</v>
      </c>
      <c r="Q639">
        <f t="shared" si="48"/>
        <v>91395</v>
      </c>
      <c r="R639" s="2">
        <f t="shared" si="49"/>
        <v>0.6965657581854765</v>
      </c>
    </row>
    <row r="640" spans="1:18" x14ac:dyDescent="0.3">
      <c r="A640" t="s">
        <v>697</v>
      </c>
      <c r="B640" s="1">
        <v>45447</v>
      </c>
      <c r="C640" t="s">
        <v>5</v>
      </c>
      <c r="D640" t="s">
        <v>76</v>
      </c>
      <c r="E640" t="s">
        <v>25</v>
      </c>
      <c r="F640" t="s">
        <v>24</v>
      </c>
      <c r="G640" t="str">
        <f>INDEX(Lookup_Tables!$B$1:$B$7,MATCH(Cleaned_Data!F640,Lookup_Tables!$A$1:$A$7,0))</f>
        <v>Electronics</v>
      </c>
      <c r="H640" t="s">
        <v>54</v>
      </c>
      <c r="I640">
        <v>8</v>
      </c>
      <c r="J640">
        <v>12034</v>
      </c>
      <c r="K640">
        <v>0</v>
      </c>
      <c r="L640">
        <f t="shared" si="45"/>
        <v>0</v>
      </c>
      <c r="M640">
        <v>25624</v>
      </c>
      <c r="N640">
        <f t="shared" si="46"/>
        <v>96272</v>
      </c>
      <c r="O640">
        <f t="shared" si="47"/>
        <v>96272</v>
      </c>
      <c r="P640">
        <f>I640*IFERROR(_xlfn.XLOOKUP(F640,Lookup_Tables!Product,Cost),0)</f>
        <v>224368</v>
      </c>
      <c r="Q640">
        <f t="shared" si="48"/>
        <v>-128096</v>
      </c>
      <c r="R640" s="2">
        <f t="shared" si="49"/>
        <v>-1.3305634036895462</v>
      </c>
    </row>
    <row r="641" spans="1:18" x14ac:dyDescent="0.3">
      <c r="A641" t="s">
        <v>698</v>
      </c>
      <c r="B641" s="1">
        <v>45520</v>
      </c>
      <c r="C641" t="s">
        <v>6</v>
      </c>
      <c r="D641" t="s">
        <v>53</v>
      </c>
      <c r="E641" t="s">
        <v>29</v>
      </c>
      <c r="F641" t="s">
        <v>61</v>
      </c>
      <c r="G641" t="str">
        <f>INDEX(Lookup_Tables!$B$1:$B$7,MATCH(Cleaned_Data!F641,Lookup_Tables!$A$1:$A$7,0))</f>
        <v>Electronics</v>
      </c>
      <c r="H641" t="s">
        <v>54</v>
      </c>
      <c r="I641">
        <v>10</v>
      </c>
      <c r="J641">
        <v>18702</v>
      </c>
      <c r="K641">
        <v>0.1</v>
      </c>
      <c r="L641">
        <f t="shared" si="45"/>
        <v>0.1</v>
      </c>
      <c r="M641">
        <v>27276</v>
      </c>
      <c r="N641">
        <f t="shared" si="46"/>
        <v>187020</v>
      </c>
      <c r="O641">
        <f t="shared" si="47"/>
        <v>168318</v>
      </c>
      <c r="P641">
        <f>I641*IFERROR(_xlfn.XLOOKUP(F641,Lookup_Tables!Product,Cost),0)</f>
        <v>73840</v>
      </c>
      <c r="Q641">
        <f t="shared" si="48"/>
        <v>94478</v>
      </c>
      <c r="R641" s="2">
        <f t="shared" si="49"/>
        <v>0.5613065744602479</v>
      </c>
    </row>
    <row r="642" spans="1:18" x14ac:dyDescent="0.3">
      <c r="A642" t="s">
        <v>699</v>
      </c>
      <c r="B642" s="1">
        <v>45373</v>
      </c>
      <c r="C642" t="s">
        <v>5</v>
      </c>
      <c r="D642" t="s">
        <v>49</v>
      </c>
      <c r="E642" t="s">
        <v>26</v>
      </c>
      <c r="F642" t="s">
        <v>23</v>
      </c>
      <c r="G642" t="str">
        <f>INDEX(Lookup_Tables!$B$1:$B$7,MATCH(Cleaned_Data!F642,Lookup_Tables!$A$1:$A$7,0))</f>
        <v>Electronics</v>
      </c>
      <c r="H642" t="s">
        <v>54</v>
      </c>
      <c r="I642">
        <v>10</v>
      </c>
      <c r="J642">
        <v>44730</v>
      </c>
      <c r="K642">
        <v>0</v>
      </c>
      <c r="L642">
        <f t="shared" si="45"/>
        <v>0</v>
      </c>
      <c r="N642">
        <f t="shared" si="46"/>
        <v>447300</v>
      </c>
      <c r="O642">
        <f t="shared" si="47"/>
        <v>447300</v>
      </c>
      <c r="P642">
        <f>I642*IFERROR(_xlfn.XLOOKUP(F642,Lookup_Tables!Product,Cost),0)</f>
        <v>192650</v>
      </c>
      <c r="Q642">
        <f t="shared" si="48"/>
        <v>254650</v>
      </c>
      <c r="R642" s="2">
        <f t="shared" si="49"/>
        <v>0.56930471719204112</v>
      </c>
    </row>
    <row r="643" spans="1:18" x14ac:dyDescent="0.3">
      <c r="A643" t="s">
        <v>700</v>
      </c>
      <c r="B643" s="1">
        <v>45539</v>
      </c>
      <c r="C643" t="s">
        <v>5</v>
      </c>
      <c r="D643" t="s">
        <v>76</v>
      </c>
      <c r="E643" t="s">
        <v>27</v>
      </c>
      <c r="F643" t="s">
        <v>61</v>
      </c>
      <c r="G643" t="str">
        <f>INDEX(Lookup_Tables!$B$1:$B$7,MATCH(Cleaned_Data!F643,Lookup_Tables!$A$1:$A$7,0))</f>
        <v>Electronics</v>
      </c>
      <c r="H643" t="s">
        <v>54</v>
      </c>
      <c r="I643">
        <v>1</v>
      </c>
      <c r="J643">
        <v>16000</v>
      </c>
      <c r="K643">
        <v>0.1</v>
      </c>
      <c r="L643">
        <f t="shared" ref="L643:L706" si="50">IF(ISBLANK(K643),0,K643)</f>
        <v>0.1</v>
      </c>
      <c r="N643">
        <f t="shared" ref="N643:N706" si="51">I643*J643</f>
        <v>16000</v>
      </c>
      <c r="O643">
        <f t="shared" ref="O643:O706" si="52">N643-(N643*L643)</f>
        <v>14400</v>
      </c>
      <c r="P643">
        <f>I643*IFERROR(_xlfn.XLOOKUP(F643,Lookup_Tables!Product,Cost),0)</f>
        <v>7384</v>
      </c>
      <c r="Q643">
        <f t="shared" ref="Q643:Q706" si="53">O643-P643</f>
        <v>7016</v>
      </c>
      <c r="R643" s="2">
        <f t="shared" ref="R643:R706" si="54">Q643/O643</f>
        <v>0.48722222222222222</v>
      </c>
    </row>
    <row r="644" spans="1:18" x14ac:dyDescent="0.3">
      <c r="A644" t="s">
        <v>701</v>
      </c>
      <c r="B644" s="1">
        <v>45516</v>
      </c>
      <c r="C644" t="s">
        <v>6</v>
      </c>
      <c r="D644" t="s">
        <v>49</v>
      </c>
      <c r="E644" t="s">
        <v>25</v>
      </c>
      <c r="F644" t="s">
        <v>61</v>
      </c>
      <c r="G644" t="str">
        <f>INDEX(Lookup_Tables!$B$1:$B$7,MATCH(Cleaned_Data!F644,Lookup_Tables!$A$1:$A$7,0))</f>
        <v>Electronics</v>
      </c>
      <c r="H644" t="s">
        <v>54</v>
      </c>
      <c r="I644">
        <v>5</v>
      </c>
      <c r="J644">
        <v>34048</v>
      </c>
      <c r="L644">
        <f t="shared" si="50"/>
        <v>0</v>
      </c>
      <c r="M644">
        <v>18205</v>
      </c>
      <c r="N644">
        <f t="shared" si="51"/>
        <v>170240</v>
      </c>
      <c r="O644">
        <f t="shared" si="52"/>
        <v>170240</v>
      </c>
      <c r="P644">
        <f>I644*IFERROR(_xlfn.XLOOKUP(F644,Lookup_Tables!Product,Cost),0)</f>
        <v>36920</v>
      </c>
      <c r="Q644">
        <f t="shared" si="53"/>
        <v>133320</v>
      </c>
      <c r="R644" s="2">
        <f t="shared" si="54"/>
        <v>0.78312969924812026</v>
      </c>
    </row>
    <row r="645" spans="1:18" x14ac:dyDescent="0.3">
      <c r="A645" t="s">
        <v>702</v>
      </c>
      <c r="B645" s="1">
        <v>45475</v>
      </c>
      <c r="C645" t="s">
        <v>5</v>
      </c>
      <c r="D645" t="s">
        <v>69</v>
      </c>
      <c r="E645" t="s">
        <v>26</v>
      </c>
      <c r="F645" t="s">
        <v>24</v>
      </c>
      <c r="G645" t="str">
        <f>INDEX(Lookup_Tables!$B$1:$B$7,MATCH(Cleaned_Data!F645,Lookup_Tables!$A$1:$A$7,0))</f>
        <v>Electronics</v>
      </c>
      <c r="H645" t="s">
        <v>54</v>
      </c>
      <c r="I645">
        <v>9</v>
      </c>
      <c r="J645">
        <v>15524</v>
      </c>
      <c r="K645">
        <v>0</v>
      </c>
      <c r="L645">
        <f t="shared" si="50"/>
        <v>0</v>
      </c>
      <c r="M645">
        <v>2462</v>
      </c>
      <c r="N645">
        <f t="shared" si="51"/>
        <v>139716</v>
      </c>
      <c r="O645">
        <f t="shared" si="52"/>
        <v>139716</v>
      </c>
      <c r="P645">
        <f>I645*IFERROR(_xlfn.XLOOKUP(F645,Lookup_Tables!Product,Cost),0)</f>
        <v>252414</v>
      </c>
      <c r="Q645">
        <f t="shared" si="53"/>
        <v>-112698</v>
      </c>
      <c r="R645" s="2">
        <f t="shared" si="54"/>
        <v>-0.80662200463797995</v>
      </c>
    </row>
    <row r="646" spans="1:18" x14ac:dyDescent="0.3">
      <c r="A646" t="s">
        <v>703</v>
      </c>
      <c r="B646" s="1">
        <v>45367</v>
      </c>
      <c r="C646" t="s">
        <v>4</v>
      </c>
      <c r="D646" t="s">
        <v>56</v>
      </c>
      <c r="E646" t="s">
        <v>29</v>
      </c>
      <c r="F646" t="s">
        <v>24</v>
      </c>
      <c r="G646" t="str">
        <f>INDEX(Lookup_Tables!$B$1:$B$7,MATCH(Cleaned_Data!F646,Lookup_Tables!$A$1:$A$7,0))</f>
        <v>Electronics</v>
      </c>
      <c r="H646" t="s">
        <v>54</v>
      </c>
      <c r="I646">
        <v>1</v>
      </c>
      <c r="J646">
        <v>47529</v>
      </c>
      <c r="L646">
        <f t="shared" si="50"/>
        <v>0</v>
      </c>
      <c r="M646">
        <v>220</v>
      </c>
      <c r="N646">
        <f t="shared" si="51"/>
        <v>47529</v>
      </c>
      <c r="O646">
        <f t="shared" si="52"/>
        <v>47529</v>
      </c>
      <c r="P646">
        <f>I646*IFERROR(_xlfn.XLOOKUP(F646,Lookup_Tables!Product,Cost),0)</f>
        <v>28046</v>
      </c>
      <c r="Q646">
        <f t="shared" si="53"/>
        <v>19483</v>
      </c>
      <c r="R646" s="2">
        <f t="shared" si="54"/>
        <v>0.40991815523154285</v>
      </c>
    </row>
    <row r="647" spans="1:18" x14ac:dyDescent="0.3">
      <c r="A647" t="s">
        <v>704</v>
      </c>
      <c r="B647" s="1">
        <v>45651</v>
      </c>
      <c r="C647" t="s">
        <v>3</v>
      </c>
      <c r="D647" t="s">
        <v>64</v>
      </c>
      <c r="E647" t="s">
        <v>25</v>
      </c>
      <c r="F647" t="s">
        <v>50</v>
      </c>
      <c r="G647" t="str">
        <f>INDEX(Lookup_Tables!$B$1:$B$7,MATCH(Cleaned_Data!F647,Lookup_Tables!$A$1:$A$7,0))</f>
        <v>Furniture</v>
      </c>
      <c r="H647" t="s">
        <v>51</v>
      </c>
      <c r="I647">
        <v>9</v>
      </c>
      <c r="J647">
        <v>41869</v>
      </c>
      <c r="K647">
        <v>0</v>
      </c>
      <c r="L647">
        <f t="shared" si="50"/>
        <v>0</v>
      </c>
      <c r="M647">
        <v>4623</v>
      </c>
      <c r="N647">
        <f t="shared" si="51"/>
        <v>376821</v>
      </c>
      <c r="O647">
        <f t="shared" si="52"/>
        <v>376821</v>
      </c>
      <c r="P647">
        <f>I647*IFERROR(_xlfn.XLOOKUP(F647,Lookup_Tables!Product,Cost),0)</f>
        <v>119439</v>
      </c>
      <c r="Q647">
        <f t="shared" si="53"/>
        <v>257382</v>
      </c>
      <c r="R647" s="2">
        <f t="shared" si="54"/>
        <v>0.68303518116028561</v>
      </c>
    </row>
    <row r="648" spans="1:18" x14ac:dyDescent="0.3">
      <c r="A648" t="s">
        <v>705</v>
      </c>
      <c r="B648" s="1">
        <v>45397</v>
      </c>
      <c r="C648" t="s">
        <v>4</v>
      </c>
      <c r="D648" t="s">
        <v>64</v>
      </c>
      <c r="E648" t="s">
        <v>28</v>
      </c>
      <c r="F648" t="s">
        <v>22</v>
      </c>
      <c r="G648" t="str">
        <f>INDEX(Lookup_Tables!$B$1:$B$7,MATCH(Cleaned_Data!F648,Lookup_Tables!$A$1:$A$7,0))</f>
        <v>Furniture</v>
      </c>
      <c r="H648" t="s">
        <v>51</v>
      </c>
      <c r="I648">
        <v>10</v>
      </c>
      <c r="J648">
        <v>41985</v>
      </c>
      <c r="K648">
        <v>0.1</v>
      </c>
      <c r="L648">
        <f t="shared" si="50"/>
        <v>0.1</v>
      </c>
      <c r="N648">
        <f t="shared" si="51"/>
        <v>419850</v>
      </c>
      <c r="O648">
        <f t="shared" si="52"/>
        <v>377865</v>
      </c>
      <c r="P648">
        <f>I648*IFERROR(_xlfn.XLOOKUP(F648,Lookup_Tables!Product,Cost),0)</f>
        <v>130400</v>
      </c>
      <c r="Q648">
        <f t="shared" si="53"/>
        <v>247465</v>
      </c>
      <c r="R648" s="2">
        <f t="shared" si="54"/>
        <v>0.65490320617151632</v>
      </c>
    </row>
    <row r="649" spans="1:18" x14ac:dyDescent="0.3">
      <c r="A649" t="s">
        <v>706</v>
      </c>
      <c r="B649" s="1">
        <v>45462</v>
      </c>
      <c r="C649" t="s">
        <v>6</v>
      </c>
      <c r="D649" t="s">
        <v>64</v>
      </c>
      <c r="E649" t="s">
        <v>28</v>
      </c>
      <c r="F649" t="s">
        <v>58</v>
      </c>
      <c r="G649" t="str">
        <f>INDEX(Lookup_Tables!$B$1:$B$7,MATCH(Cleaned_Data!F649,Lookup_Tables!$A$1:$A$7,0))</f>
        <v>Electronics</v>
      </c>
      <c r="H649" t="s">
        <v>54</v>
      </c>
      <c r="I649">
        <v>7</v>
      </c>
      <c r="J649">
        <v>38872</v>
      </c>
      <c r="K649">
        <v>0.1</v>
      </c>
      <c r="L649">
        <f t="shared" si="50"/>
        <v>0.1</v>
      </c>
      <c r="N649">
        <f t="shared" si="51"/>
        <v>272104</v>
      </c>
      <c r="O649">
        <f t="shared" si="52"/>
        <v>244893.6</v>
      </c>
      <c r="P649">
        <f>I649*IFERROR(_xlfn.XLOOKUP(F649,Lookup_Tables!Product,Cost),0)</f>
        <v>20216</v>
      </c>
      <c r="Q649">
        <f t="shared" si="53"/>
        <v>224677.6</v>
      </c>
      <c r="R649" s="2">
        <f t="shared" si="54"/>
        <v>0.91744986394091144</v>
      </c>
    </row>
    <row r="650" spans="1:18" x14ac:dyDescent="0.3">
      <c r="A650" t="s">
        <v>707</v>
      </c>
      <c r="B650" s="1">
        <v>45391</v>
      </c>
      <c r="C650" t="s">
        <v>4</v>
      </c>
      <c r="D650" t="s">
        <v>69</v>
      </c>
      <c r="E650" t="s">
        <v>25</v>
      </c>
      <c r="F650" t="s">
        <v>50</v>
      </c>
      <c r="G650" t="str">
        <f>INDEX(Lookup_Tables!$B$1:$B$7,MATCH(Cleaned_Data!F650,Lookup_Tables!$A$1:$A$7,0))</f>
        <v>Furniture</v>
      </c>
      <c r="H650" t="s">
        <v>51</v>
      </c>
      <c r="I650">
        <v>9</v>
      </c>
      <c r="J650">
        <v>2209</v>
      </c>
      <c r="L650">
        <f t="shared" si="50"/>
        <v>0</v>
      </c>
      <c r="M650">
        <v>18635</v>
      </c>
      <c r="N650">
        <f t="shared" si="51"/>
        <v>19881</v>
      </c>
      <c r="O650">
        <f t="shared" si="52"/>
        <v>19881</v>
      </c>
      <c r="P650">
        <f>I650*IFERROR(_xlfn.XLOOKUP(F650,Lookup_Tables!Product,Cost),0)</f>
        <v>119439</v>
      </c>
      <c r="Q650">
        <f t="shared" si="53"/>
        <v>-99558</v>
      </c>
      <c r="R650" s="2">
        <f t="shared" si="54"/>
        <v>-5.0076957899502039</v>
      </c>
    </row>
    <row r="651" spans="1:18" x14ac:dyDescent="0.3">
      <c r="A651" t="s">
        <v>708</v>
      </c>
      <c r="B651" s="1">
        <v>45453</v>
      </c>
      <c r="C651" t="s">
        <v>6</v>
      </c>
      <c r="D651" t="s">
        <v>56</v>
      </c>
      <c r="E651" t="s">
        <v>28</v>
      </c>
      <c r="F651" t="s">
        <v>61</v>
      </c>
      <c r="G651" t="str">
        <f>INDEX(Lookup_Tables!$B$1:$B$7,MATCH(Cleaned_Data!F651,Lookup_Tables!$A$1:$A$7,0))</f>
        <v>Electronics</v>
      </c>
      <c r="H651" t="s">
        <v>54</v>
      </c>
      <c r="I651">
        <v>6</v>
      </c>
      <c r="J651">
        <v>18059</v>
      </c>
      <c r="L651">
        <f t="shared" si="50"/>
        <v>0</v>
      </c>
      <c r="N651">
        <f t="shared" si="51"/>
        <v>108354</v>
      </c>
      <c r="O651">
        <f t="shared" si="52"/>
        <v>108354</v>
      </c>
      <c r="P651">
        <f>I651*IFERROR(_xlfn.XLOOKUP(F651,Lookup_Tables!Product,Cost),0)</f>
        <v>44304</v>
      </c>
      <c r="Q651">
        <f t="shared" si="53"/>
        <v>64050</v>
      </c>
      <c r="R651" s="2">
        <f t="shared" si="54"/>
        <v>0.59111800210421395</v>
      </c>
    </row>
    <row r="652" spans="1:18" x14ac:dyDescent="0.3">
      <c r="A652" t="s">
        <v>709</v>
      </c>
      <c r="B652" s="1">
        <v>45438</v>
      </c>
      <c r="C652" t="s">
        <v>6</v>
      </c>
      <c r="D652" t="s">
        <v>64</v>
      </c>
      <c r="E652" t="s">
        <v>26</v>
      </c>
      <c r="F652" t="s">
        <v>58</v>
      </c>
      <c r="G652" t="str">
        <f>INDEX(Lookup_Tables!$B$1:$B$7,MATCH(Cleaned_Data!F652,Lookup_Tables!$A$1:$A$7,0))</f>
        <v>Electronics</v>
      </c>
      <c r="H652" t="s">
        <v>54</v>
      </c>
      <c r="I652">
        <v>7</v>
      </c>
      <c r="J652">
        <v>49514</v>
      </c>
      <c r="K652">
        <v>0.05</v>
      </c>
      <c r="L652">
        <f t="shared" si="50"/>
        <v>0.05</v>
      </c>
      <c r="M652">
        <v>920</v>
      </c>
      <c r="N652">
        <f t="shared" si="51"/>
        <v>346598</v>
      </c>
      <c r="O652">
        <f t="shared" si="52"/>
        <v>329268.09999999998</v>
      </c>
      <c r="P652">
        <f>I652*IFERROR(_xlfn.XLOOKUP(F652,Lookup_Tables!Product,Cost),0)</f>
        <v>20216</v>
      </c>
      <c r="Q652">
        <f t="shared" si="53"/>
        <v>309052.09999999998</v>
      </c>
      <c r="R652" s="2">
        <f t="shared" si="54"/>
        <v>0.93860322333077517</v>
      </c>
    </row>
    <row r="653" spans="1:18" x14ac:dyDescent="0.3">
      <c r="A653" t="s">
        <v>710</v>
      </c>
      <c r="B653" s="1">
        <v>45383</v>
      </c>
      <c r="C653" t="s">
        <v>4</v>
      </c>
      <c r="D653" t="s">
        <v>69</v>
      </c>
      <c r="E653" t="s">
        <v>28</v>
      </c>
      <c r="F653" t="s">
        <v>23</v>
      </c>
      <c r="G653" t="str">
        <f>INDEX(Lookup_Tables!$B$1:$B$7,MATCH(Cleaned_Data!F653,Lookup_Tables!$A$1:$A$7,0))</f>
        <v>Electronics</v>
      </c>
      <c r="H653" t="s">
        <v>54</v>
      </c>
      <c r="I653">
        <v>2</v>
      </c>
      <c r="J653">
        <v>6010</v>
      </c>
      <c r="K653">
        <v>0.05</v>
      </c>
      <c r="L653">
        <f t="shared" si="50"/>
        <v>0.05</v>
      </c>
      <c r="M653">
        <v>16740</v>
      </c>
      <c r="N653">
        <f t="shared" si="51"/>
        <v>12020</v>
      </c>
      <c r="O653">
        <f t="shared" si="52"/>
        <v>11419</v>
      </c>
      <c r="P653">
        <f>I653*IFERROR(_xlfn.XLOOKUP(F653,Lookup_Tables!Product,Cost),0)</f>
        <v>38530</v>
      </c>
      <c r="Q653">
        <f t="shared" si="53"/>
        <v>-27111</v>
      </c>
      <c r="R653" s="2">
        <f t="shared" si="54"/>
        <v>-2.3742008932480951</v>
      </c>
    </row>
    <row r="654" spans="1:18" x14ac:dyDescent="0.3">
      <c r="A654" t="s">
        <v>711</v>
      </c>
      <c r="B654" s="1">
        <v>45398</v>
      </c>
      <c r="C654" t="s">
        <v>6</v>
      </c>
      <c r="D654" t="s">
        <v>76</v>
      </c>
      <c r="E654" t="s">
        <v>29</v>
      </c>
      <c r="F654" t="s">
        <v>22</v>
      </c>
      <c r="G654" t="str">
        <f>INDEX(Lookup_Tables!$B$1:$B$7,MATCH(Cleaned_Data!F654,Lookup_Tables!$A$1:$A$7,0))</f>
        <v>Furniture</v>
      </c>
      <c r="H654" t="s">
        <v>51</v>
      </c>
      <c r="I654">
        <v>6</v>
      </c>
      <c r="J654">
        <v>12179</v>
      </c>
      <c r="K654">
        <v>0.1</v>
      </c>
      <c r="L654">
        <f t="shared" si="50"/>
        <v>0.1</v>
      </c>
      <c r="N654">
        <f t="shared" si="51"/>
        <v>73074</v>
      </c>
      <c r="O654">
        <f t="shared" si="52"/>
        <v>65766.600000000006</v>
      </c>
      <c r="P654">
        <f>I654*IFERROR(_xlfn.XLOOKUP(F654,Lookup_Tables!Product,Cost),0)</f>
        <v>78240</v>
      </c>
      <c r="Q654">
        <f t="shared" si="53"/>
        <v>-12473.399999999994</v>
      </c>
      <c r="R654" s="2">
        <f t="shared" si="54"/>
        <v>-0.18966162155258129</v>
      </c>
    </row>
    <row r="655" spans="1:18" x14ac:dyDescent="0.3">
      <c r="A655" t="s">
        <v>712</v>
      </c>
      <c r="B655" s="1">
        <v>45503</v>
      </c>
      <c r="C655" t="s">
        <v>5</v>
      </c>
      <c r="D655" t="s">
        <v>56</v>
      </c>
      <c r="E655" t="s">
        <v>25</v>
      </c>
      <c r="F655" t="s">
        <v>50</v>
      </c>
      <c r="G655" t="str">
        <f>INDEX(Lookup_Tables!$B$1:$B$7,MATCH(Cleaned_Data!F655,Lookup_Tables!$A$1:$A$7,0))</f>
        <v>Furniture</v>
      </c>
      <c r="H655" t="s">
        <v>51</v>
      </c>
      <c r="I655">
        <v>1</v>
      </c>
      <c r="J655">
        <v>35993</v>
      </c>
      <c r="K655">
        <v>0.05</v>
      </c>
      <c r="L655">
        <f t="shared" si="50"/>
        <v>0.05</v>
      </c>
      <c r="M655">
        <v>9193</v>
      </c>
      <c r="N655">
        <f t="shared" si="51"/>
        <v>35993</v>
      </c>
      <c r="O655">
        <f t="shared" si="52"/>
        <v>34193.35</v>
      </c>
      <c r="P655">
        <f>I655*IFERROR(_xlfn.XLOOKUP(F655,Lookup_Tables!Product,Cost),0)</f>
        <v>13271</v>
      </c>
      <c r="Q655">
        <f t="shared" si="53"/>
        <v>20922.349999999999</v>
      </c>
      <c r="R655" s="2">
        <f t="shared" si="54"/>
        <v>0.61188359724917274</v>
      </c>
    </row>
    <row r="656" spans="1:18" x14ac:dyDescent="0.3">
      <c r="A656" t="s">
        <v>713</v>
      </c>
      <c r="B656" s="1">
        <v>45416</v>
      </c>
      <c r="C656" t="s">
        <v>4</v>
      </c>
      <c r="D656" t="s">
        <v>64</v>
      </c>
      <c r="E656" t="s">
        <v>25</v>
      </c>
      <c r="F656" t="s">
        <v>61</v>
      </c>
      <c r="G656" t="str">
        <f>INDEX(Lookup_Tables!$B$1:$B$7,MATCH(Cleaned_Data!F656,Lookup_Tables!$A$1:$A$7,0))</f>
        <v>Electronics</v>
      </c>
      <c r="H656" t="s">
        <v>54</v>
      </c>
      <c r="I656">
        <v>1</v>
      </c>
      <c r="J656">
        <v>23160</v>
      </c>
      <c r="K656">
        <v>0</v>
      </c>
      <c r="L656">
        <f t="shared" si="50"/>
        <v>0</v>
      </c>
      <c r="N656">
        <f t="shared" si="51"/>
        <v>23160</v>
      </c>
      <c r="O656">
        <f t="shared" si="52"/>
        <v>23160</v>
      </c>
      <c r="P656">
        <f>I656*IFERROR(_xlfn.XLOOKUP(F656,Lookup_Tables!Product,Cost),0)</f>
        <v>7384</v>
      </c>
      <c r="Q656">
        <f t="shared" si="53"/>
        <v>15776</v>
      </c>
      <c r="R656" s="2">
        <f t="shared" si="54"/>
        <v>0.68117443868739203</v>
      </c>
    </row>
    <row r="657" spans="1:18" x14ac:dyDescent="0.3">
      <c r="A657" t="s">
        <v>714</v>
      </c>
      <c r="B657" s="1">
        <v>45609</v>
      </c>
      <c r="C657" t="s">
        <v>4</v>
      </c>
      <c r="D657" t="s">
        <v>56</v>
      </c>
      <c r="E657" t="s">
        <v>27</v>
      </c>
      <c r="F657" t="s">
        <v>23</v>
      </c>
      <c r="G657" t="str">
        <f>INDEX(Lookup_Tables!$B$1:$B$7,MATCH(Cleaned_Data!F657,Lookup_Tables!$A$1:$A$7,0))</f>
        <v>Electronics</v>
      </c>
      <c r="H657" t="s">
        <v>54</v>
      </c>
      <c r="I657">
        <v>3</v>
      </c>
      <c r="J657">
        <v>32595</v>
      </c>
      <c r="K657">
        <v>0.1</v>
      </c>
      <c r="L657">
        <f t="shared" si="50"/>
        <v>0.1</v>
      </c>
      <c r="M657">
        <v>23054</v>
      </c>
      <c r="N657">
        <f t="shared" si="51"/>
        <v>97785</v>
      </c>
      <c r="O657">
        <f t="shared" si="52"/>
        <v>88006.5</v>
      </c>
      <c r="P657">
        <f>I657*IFERROR(_xlfn.XLOOKUP(F657,Lookup_Tables!Product,Cost),0)</f>
        <v>57795</v>
      </c>
      <c r="Q657">
        <f t="shared" si="53"/>
        <v>30211.5</v>
      </c>
      <c r="R657" s="2">
        <f t="shared" si="54"/>
        <v>0.34328714356325951</v>
      </c>
    </row>
    <row r="658" spans="1:18" x14ac:dyDescent="0.3">
      <c r="A658" t="s">
        <v>715</v>
      </c>
      <c r="B658" s="1">
        <v>45562</v>
      </c>
      <c r="C658" t="s">
        <v>5</v>
      </c>
      <c r="D658" t="s">
        <v>64</v>
      </c>
      <c r="E658" t="s">
        <v>26</v>
      </c>
      <c r="F658" t="s">
        <v>58</v>
      </c>
      <c r="G658" t="str">
        <f>INDEX(Lookup_Tables!$B$1:$B$7,MATCH(Cleaned_Data!F658,Lookup_Tables!$A$1:$A$7,0))</f>
        <v>Electronics</v>
      </c>
      <c r="H658" t="s">
        <v>54</v>
      </c>
      <c r="I658">
        <v>5</v>
      </c>
      <c r="J658">
        <v>4042</v>
      </c>
      <c r="L658">
        <f t="shared" si="50"/>
        <v>0</v>
      </c>
      <c r="M658">
        <v>4476</v>
      </c>
      <c r="N658">
        <f t="shared" si="51"/>
        <v>20210</v>
      </c>
      <c r="O658">
        <f t="shared" si="52"/>
        <v>20210</v>
      </c>
      <c r="P658">
        <f>I658*IFERROR(_xlfn.XLOOKUP(F658,Lookup_Tables!Product,Cost),0)</f>
        <v>14440</v>
      </c>
      <c r="Q658">
        <f t="shared" si="53"/>
        <v>5770</v>
      </c>
      <c r="R658" s="2">
        <f t="shared" si="54"/>
        <v>0.28550222662048491</v>
      </c>
    </row>
    <row r="659" spans="1:18" x14ac:dyDescent="0.3">
      <c r="A659" t="s">
        <v>716</v>
      </c>
      <c r="B659" s="1">
        <v>45537</v>
      </c>
      <c r="C659" t="s">
        <v>6</v>
      </c>
      <c r="D659" t="s">
        <v>56</v>
      </c>
      <c r="E659" t="s">
        <v>26</v>
      </c>
      <c r="F659" t="s">
        <v>61</v>
      </c>
      <c r="G659" t="str">
        <f>INDEX(Lookup_Tables!$B$1:$B$7,MATCH(Cleaned_Data!F659,Lookup_Tables!$A$1:$A$7,0))</f>
        <v>Electronics</v>
      </c>
      <c r="H659" t="s">
        <v>54</v>
      </c>
      <c r="I659">
        <v>5</v>
      </c>
      <c r="J659">
        <v>44980</v>
      </c>
      <c r="L659">
        <f t="shared" si="50"/>
        <v>0</v>
      </c>
      <c r="N659">
        <f t="shared" si="51"/>
        <v>224900</v>
      </c>
      <c r="O659">
        <f t="shared" si="52"/>
        <v>224900</v>
      </c>
      <c r="P659">
        <f>I659*IFERROR(_xlfn.XLOOKUP(F659,Lookup_Tables!Product,Cost),0)</f>
        <v>36920</v>
      </c>
      <c r="Q659">
        <f t="shared" si="53"/>
        <v>187980</v>
      </c>
      <c r="R659" s="2">
        <f t="shared" si="54"/>
        <v>0.83583815028901731</v>
      </c>
    </row>
    <row r="660" spans="1:18" x14ac:dyDescent="0.3">
      <c r="A660" t="s">
        <v>717</v>
      </c>
      <c r="B660" s="1">
        <v>45348</v>
      </c>
      <c r="C660" t="s">
        <v>3</v>
      </c>
      <c r="D660" t="s">
        <v>76</v>
      </c>
      <c r="E660" t="s">
        <v>27</v>
      </c>
      <c r="F660" t="s">
        <v>24</v>
      </c>
      <c r="G660" t="str">
        <f>INDEX(Lookup_Tables!$B$1:$B$7,MATCH(Cleaned_Data!F660,Lookup_Tables!$A$1:$A$7,0))</f>
        <v>Electronics</v>
      </c>
      <c r="H660" t="s">
        <v>54</v>
      </c>
      <c r="I660">
        <v>3</v>
      </c>
      <c r="J660">
        <v>8437</v>
      </c>
      <c r="K660">
        <v>0</v>
      </c>
      <c r="L660">
        <f t="shared" si="50"/>
        <v>0</v>
      </c>
      <c r="N660">
        <f t="shared" si="51"/>
        <v>25311</v>
      </c>
      <c r="O660">
        <f t="shared" si="52"/>
        <v>25311</v>
      </c>
      <c r="P660">
        <f>I660*IFERROR(_xlfn.XLOOKUP(F660,Lookup_Tables!Product,Cost),0)</f>
        <v>84138</v>
      </c>
      <c r="Q660">
        <f t="shared" si="53"/>
        <v>-58827</v>
      </c>
      <c r="R660" s="2">
        <f t="shared" si="54"/>
        <v>-2.324167358065663</v>
      </c>
    </row>
    <row r="661" spans="1:18" x14ac:dyDescent="0.3">
      <c r="A661" t="s">
        <v>718</v>
      </c>
      <c r="B661" s="1">
        <v>45332</v>
      </c>
      <c r="C661" t="s">
        <v>3</v>
      </c>
      <c r="D661" t="s">
        <v>56</v>
      </c>
      <c r="E661" t="s">
        <v>25</v>
      </c>
      <c r="F661" t="s">
        <v>61</v>
      </c>
      <c r="G661" t="str">
        <f>INDEX(Lookup_Tables!$B$1:$B$7,MATCH(Cleaned_Data!F661,Lookup_Tables!$A$1:$A$7,0))</f>
        <v>Electronics</v>
      </c>
      <c r="H661" t="s">
        <v>54</v>
      </c>
      <c r="I661">
        <v>9</v>
      </c>
      <c r="J661">
        <v>23526</v>
      </c>
      <c r="K661">
        <v>0.1</v>
      </c>
      <c r="L661">
        <f t="shared" si="50"/>
        <v>0.1</v>
      </c>
      <c r="N661">
        <f t="shared" si="51"/>
        <v>211734</v>
      </c>
      <c r="O661">
        <f t="shared" si="52"/>
        <v>190560.6</v>
      </c>
      <c r="P661">
        <f>I661*IFERROR(_xlfn.XLOOKUP(F661,Lookup_Tables!Product,Cost),0)</f>
        <v>66456</v>
      </c>
      <c r="Q661">
        <f t="shared" si="53"/>
        <v>124104.6</v>
      </c>
      <c r="R661" s="2">
        <f t="shared" si="54"/>
        <v>0.65126054388997512</v>
      </c>
    </row>
    <row r="662" spans="1:18" x14ac:dyDescent="0.3">
      <c r="A662" t="s">
        <v>719</v>
      </c>
      <c r="B662" s="1">
        <v>45647</v>
      </c>
      <c r="C662" t="s">
        <v>4</v>
      </c>
      <c r="D662" t="s">
        <v>69</v>
      </c>
      <c r="E662" t="s">
        <v>25</v>
      </c>
      <c r="F662" t="s">
        <v>50</v>
      </c>
      <c r="G662" t="str">
        <f>INDEX(Lookup_Tables!$B$1:$B$7,MATCH(Cleaned_Data!F662,Lookup_Tables!$A$1:$A$7,0))</f>
        <v>Furniture</v>
      </c>
      <c r="H662" t="s">
        <v>51</v>
      </c>
      <c r="I662">
        <v>9</v>
      </c>
      <c r="J662">
        <v>19065</v>
      </c>
      <c r="K662">
        <v>0.05</v>
      </c>
      <c r="L662">
        <f t="shared" si="50"/>
        <v>0.05</v>
      </c>
      <c r="N662">
        <f t="shared" si="51"/>
        <v>171585</v>
      </c>
      <c r="O662">
        <f t="shared" si="52"/>
        <v>163005.75</v>
      </c>
      <c r="P662">
        <f>I662*IFERROR(_xlfn.XLOOKUP(F662,Lookup_Tables!Product,Cost),0)</f>
        <v>119439</v>
      </c>
      <c r="Q662">
        <f t="shared" si="53"/>
        <v>43566.75</v>
      </c>
      <c r="R662" s="2">
        <f t="shared" si="54"/>
        <v>0.26727124656645546</v>
      </c>
    </row>
    <row r="663" spans="1:18" x14ac:dyDescent="0.3">
      <c r="A663" t="s">
        <v>720</v>
      </c>
      <c r="B663" s="1">
        <v>45327</v>
      </c>
      <c r="C663" t="s">
        <v>3</v>
      </c>
      <c r="D663" t="s">
        <v>49</v>
      </c>
      <c r="E663" t="s">
        <v>25</v>
      </c>
      <c r="F663" t="s">
        <v>24</v>
      </c>
      <c r="G663" t="str">
        <f>INDEX(Lookup_Tables!$B$1:$B$7,MATCH(Cleaned_Data!F663,Lookup_Tables!$A$1:$A$7,0))</f>
        <v>Electronics</v>
      </c>
      <c r="H663" t="s">
        <v>54</v>
      </c>
      <c r="I663">
        <v>8</v>
      </c>
      <c r="J663">
        <v>43535</v>
      </c>
      <c r="K663">
        <v>0.05</v>
      </c>
      <c r="L663">
        <f t="shared" si="50"/>
        <v>0.05</v>
      </c>
      <c r="N663">
        <f t="shared" si="51"/>
        <v>348280</v>
      </c>
      <c r="O663">
        <f t="shared" si="52"/>
        <v>330866</v>
      </c>
      <c r="P663">
        <f>I663*IFERROR(_xlfn.XLOOKUP(F663,Lookup_Tables!Product,Cost),0)</f>
        <v>224368</v>
      </c>
      <c r="Q663">
        <f t="shared" si="53"/>
        <v>106498</v>
      </c>
      <c r="R663" s="2">
        <f t="shared" si="54"/>
        <v>0.32187653007561973</v>
      </c>
    </row>
    <row r="664" spans="1:18" x14ac:dyDescent="0.3">
      <c r="A664" t="s">
        <v>721</v>
      </c>
      <c r="B664" s="1">
        <v>45368</v>
      </c>
      <c r="C664" t="s">
        <v>4</v>
      </c>
      <c r="D664" t="s">
        <v>76</v>
      </c>
      <c r="E664" t="s">
        <v>27</v>
      </c>
      <c r="F664" t="s">
        <v>50</v>
      </c>
      <c r="G664" t="str">
        <f>INDEX(Lookup_Tables!$B$1:$B$7,MATCH(Cleaned_Data!F664,Lookup_Tables!$A$1:$A$7,0))</f>
        <v>Furniture</v>
      </c>
      <c r="H664" t="s">
        <v>51</v>
      </c>
      <c r="I664">
        <v>1</v>
      </c>
      <c r="J664">
        <v>7472</v>
      </c>
      <c r="K664">
        <v>0.1</v>
      </c>
      <c r="L664">
        <f t="shared" si="50"/>
        <v>0.1</v>
      </c>
      <c r="N664">
        <f t="shared" si="51"/>
        <v>7472</v>
      </c>
      <c r="O664">
        <f t="shared" si="52"/>
        <v>6724.8</v>
      </c>
      <c r="P664">
        <f>I664*IFERROR(_xlfn.XLOOKUP(F664,Lookup_Tables!Product,Cost),0)</f>
        <v>13271</v>
      </c>
      <c r="Q664">
        <f t="shared" si="53"/>
        <v>-6546.2</v>
      </c>
      <c r="R664" s="2">
        <f t="shared" si="54"/>
        <v>-0.97344158934094693</v>
      </c>
    </row>
    <row r="665" spans="1:18" x14ac:dyDescent="0.3">
      <c r="A665" t="s">
        <v>722</v>
      </c>
      <c r="B665" s="1">
        <v>45390</v>
      </c>
      <c r="C665" t="s">
        <v>3</v>
      </c>
      <c r="D665" t="s">
        <v>56</v>
      </c>
      <c r="E665" t="s">
        <v>28</v>
      </c>
      <c r="F665" t="s">
        <v>24</v>
      </c>
      <c r="G665" t="str">
        <f>INDEX(Lookup_Tables!$B$1:$B$7,MATCH(Cleaned_Data!F665,Lookup_Tables!$A$1:$A$7,0))</f>
        <v>Electronics</v>
      </c>
      <c r="H665" t="s">
        <v>54</v>
      </c>
      <c r="I665">
        <v>2</v>
      </c>
      <c r="J665">
        <v>19558</v>
      </c>
      <c r="K665">
        <v>0.1</v>
      </c>
      <c r="L665">
        <f t="shared" si="50"/>
        <v>0.1</v>
      </c>
      <c r="M665">
        <v>12634</v>
      </c>
      <c r="N665">
        <f t="shared" si="51"/>
        <v>39116</v>
      </c>
      <c r="O665">
        <f t="shared" si="52"/>
        <v>35204.400000000001</v>
      </c>
      <c r="P665">
        <f>I665*IFERROR(_xlfn.XLOOKUP(F665,Lookup_Tables!Product,Cost),0)</f>
        <v>56092</v>
      </c>
      <c r="Q665">
        <f t="shared" si="53"/>
        <v>-20887.599999999999</v>
      </c>
      <c r="R665" s="2">
        <f t="shared" si="54"/>
        <v>-0.59332356182749879</v>
      </c>
    </row>
    <row r="666" spans="1:18" x14ac:dyDescent="0.3">
      <c r="A666" t="s">
        <v>723</v>
      </c>
      <c r="B666" s="1">
        <v>45312</v>
      </c>
      <c r="C666" t="s">
        <v>4</v>
      </c>
      <c r="D666" t="s">
        <v>76</v>
      </c>
      <c r="E666" t="s">
        <v>25</v>
      </c>
      <c r="F666" t="s">
        <v>50</v>
      </c>
      <c r="G666" t="str">
        <f>INDEX(Lookup_Tables!$B$1:$B$7,MATCH(Cleaned_Data!F666,Lookup_Tables!$A$1:$A$7,0))</f>
        <v>Furniture</v>
      </c>
      <c r="H666" t="s">
        <v>51</v>
      </c>
      <c r="I666">
        <v>9</v>
      </c>
      <c r="J666">
        <v>42899</v>
      </c>
      <c r="L666">
        <f t="shared" si="50"/>
        <v>0</v>
      </c>
      <c r="N666">
        <f t="shared" si="51"/>
        <v>386091</v>
      </c>
      <c r="O666">
        <f t="shared" si="52"/>
        <v>386091</v>
      </c>
      <c r="P666">
        <f>I666*IFERROR(_xlfn.XLOOKUP(F666,Lookup_Tables!Product,Cost),0)</f>
        <v>119439</v>
      </c>
      <c r="Q666">
        <f t="shared" si="53"/>
        <v>266652</v>
      </c>
      <c r="R666" s="2">
        <f t="shared" si="54"/>
        <v>0.69064546959136575</v>
      </c>
    </row>
    <row r="667" spans="1:18" x14ac:dyDescent="0.3">
      <c r="A667" t="s">
        <v>724</v>
      </c>
      <c r="B667" s="1">
        <v>45641</v>
      </c>
      <c r="C667" t="s">
        <v>5</v>
      </c>
      <c r="D667" t="s">
        <v>53</v>
      </c>
      <c r="E667" t="s">
        <v>28</v>
      </c>
      <c r="F667" t="s">
        <v>58</v>
      </c>
      <c r="G667" t="str">
        <f>INDEX(Lookup_Tables!$B$1:$B$7,MATCH(Cleaned_Data!F667,Lookup_Tables!$A$1:$A$7,0))</f>
        <v>Electronics</v>
      </c>
      <c r="H667" t="s">
        <v>54</v>
      </c>
      <c r="I667">
        <v>7</v>
      </c>
      <c r="J667">
        <v>43661</v>
      </c>
      <c r="K667">
        <v>0.05</v>
      </c>
      <c r="L667">
        <f t="shared" si="50"/>
        <v>0.05</v>
      </c>
      <c r="N667">
        <f t="shared" si="51"/>
        <v>305627</v>
      </c>
      <c r="O667">
        <f t="shared" si="52"/>
        <v>290345.65000000002</v>
      </c>
      <c r="P667">
        <f>I667*IFERROR(_xlfn.XLOOKUP(F667,Lookup_Tables!Product,Cost),0)</f>
        <v>20216</v>
      </c>
      <c r="Q667">
        <f t="shared" si="53"/>
        <v>270129.65000000002</v>
      </c>
      <c r="R667" s="2">
        <f t="shared" si="54"/>
        <v>0.93037264377820028</v>
      </c>
    </row>
    <row r="668" spans="1:18" x14ac:dyDescent="0.3">
      <c r="A668" t="s">
        <v>725</v>
      </c>
      <c r="B668" s="1">
        <v>45391</v>
      </c>
      <c r="C668" t="s">
        <v>4</v>
      </c>
      <c r="D668" t="s">
        <v>76</v>
      </c>
      <c r="E668" t="s">
        <v>26</v>
      </c>
      <c r="F668" t="s">
        <v>24</v>
      </c>
      <c r="G668" t="str">
        <f>INDEX(Lookup_Tables!$B$1:$B$7,MATCH(Cleaned_Data!F668,Lookup_Tables!$A$1:$A$7,0))</f>
        <v>Electronics</v>
      </c>
      <c r="H668" t="s">
        <v>54</v>
      </c>
      <c r="I668">
        <v>7</v>
      </c>
      <c r="J668">
        <v>36190</v>
      </c>
      <c r="K668">
        <v>0.1</v>
      </c>
      <c r="L668">
        <f t="shared" si="50"/>
        <v>0.1</v>
      </c>
      <c r="M668">
        <v>4048</v>
      </c>
      <c r="N668">
        <f t="shared" si="51"/>
        <v>253330</v>
      </c>
      <c r="O668">
        <f t="shared" si="52"/>
        <v>227997</v>
      </c>
      <c r="P668">
        <f>I668*IFERROR(_xlfn.XLOOKUP(F668,Lookup_Tables!Product,Cost),0)</f>
        <v>196322</v>
      </c>
      <c r="Q668">
        <f t="shared" si="53"/>
        <v>31675</v>
      </c>
      <c r="R668" s="2">
        <f t="shared" si="54"/>
        <v>0.13892726658684104</v>
      </c>
    </row>
    <row r="669" spans="1:18" x14ac:dyDescent="0.3">
      <c r="A669" t="s">
        <v>726</v>
      </c>
      <c r="B669" s="1">
        <v>45378</v>
      </c>
      <c r="C669" t="s">
        <v>4</v>
      </c>
      <c r="D669" t="s">
        <v>56</v>
      </c>
      <c r="E669" t="s">
        <v>29</v>
      </c>
      <c r="F669" t="s">
        <v>23</v>
      </c>
      <c r="G669" t="str">
        <f>INDEX(Lookup_Tables!$B$1:$B$7,MATCH(Cleaned_Data!F669,Lookup_Tables!$A$1:$A$7,0))</f>
        <v>Electronics</v>
      </c>
      <c r="H669" t="s">
        <v>54</v>
      </c>
      <c r="I669">
        <v>8</v>
      </c>
      <c r="J669">
        <v>34983</v>
      </c>
      <c r="K669">
        <v>0</v>
      </c>
      <c r="L669">
        <f t="shared" si="50"/>
        <v>0</v>
      </c>
      <c r="M669">
        <v>17797</v>
      </c>
      <c r="N669">
        <f t="shared" si="51"/>
        <v>279864</v>
      </c>
      <c r="O669">
        <f t="shared" si="52"/>
        <v>279864</v>
      </c>
      <c r="P669">
        <f>I669*IFERROR(_xlfn.XLOOKUP(F669,Lookup_Tables!Product,Cost),0)</f>
        <v>154120</v>
      </c>
      <c r="Q669">
        <f t="shared" si="53"/>
        <v>125744</v>
      </c>
      <c r="R669" s="2">
        <f t="shared" si="54"/>
        <v>0.44930394763170683</v>
      </c>
    </row>
    <row r="670" spans="1:18" x14ac:dyDescent="0.3">
      <c r="A670" t="s">
        <v>727</v>
      </c>
      <c r="B670" s="1">
        <v>45602</v>
      </c>
      <c r="C670" t="s">
        <v>6</v>
      </c>
      <c r="D670" t="s">
        <v>53</v>
      </c>
      <c r="E670" t="s">
        <v>29</v>
      </c>
      <c r="F670" t="s">
        <v>58</v>
      </c>
      <c r="G670" t="str">
        <f>INDEX(Lookup_Tables!$B$1:$B$7,MATCH(Cleaned_Data!F670,Lookup_Tables!$A$1:$A$7,0))</f>
        <v>Electronics</v>
      </c>
      <c r="H670" t="s">
        <v>54</v>
      </c>
      <c r="I670">
        <v>1</v>
      </c>
      <c r="J670">
        <v>29692</v>
      </c>
      <c r="L670">
        <f t="shared" si="50"/>
        <v>0</v>
      </c>
      <c r="M670">
        <v>20806</v>
      </c>
      <c r="N670">
        <f t="shared" si="51"/>
        <v>29692</v>
      </c>
      <c r="O670">
        <f t="shared" si="52"/>
        <v>29692</v>
      </c>
      <c r="P670">
        <f>I670*IFERROR(_xlfn.XLOOKUP(F670,Lookup_Tables!Product,Cost),0)</f>
        <v>2888</v>
      </c>
      <c r="Q670">
        <f t="shared" si="53"/>
        <v>26804</v>
      </c>
      <c r="R670" s="2">
        <f t="shared" si="54"/>
        <v>0.9027347433652162</v>
      </c>
    </row>
    <row r="671" spans="1:18" x14ac:dyDescent="0.3">
      <c r="A671" t="s">
        <v>728</v>
      </c>
      <c r="B671" s="1">
        <v>45339</v>
      </c>
      <c r="C671" t="s">
        <v>4</v>
      </c>
      <c r="D671" t="s">
        <v>76</v>
      </c>
      <c r="E671" t="s">
        <v>28</v>
      </c>
      <c r="F671" t="s">
        <v>24</v>
      </c>
      <c r="G671" t="str">
        <f>INDEX(Lookup_Tables!$B$1:$B$7,MATCH(Cleaned_Data!F671,Lookup_Tables!$A$1:$A$7,0))</f>
        <v>Electronics</v>
      </c>
      <c r="H671" t="s">
        <v>54</v>
      </c>
      <c r="I671">
        <v>8</v>
      </c>
      <c r="J671">
        <v>38788</v>
      </c>
      <c r="L671">
        <f t="shared" si="50"/>
        <v>0</v>
      </c>
      <c r="N671">
        <f t="shared" si="51"/>
        <v>310304</v>
      </c>
      <c r="O671">
        <f t="shared" si="52"/>
        <v>310304</v>
      </c>
      <c r="P671">
        <f>I671*IFERROR(_xlfn.XLOOKUP(F671,Lookup_Tables!Product,Cost),0)</f>
        <v>224368</v>
      </c>
      <c r="Q671">
        <f t="shared" si="53"/>
        <v>85936</v>
      </c>
      <c r="R671" s="2">
        <f t="shared" si="54"/>
        <v>0.27694132205836858</v>
      </c>
    </row>
    <row r="672" spans="1:18" x14ac:dyDescent="0.3">
      <c r="A672" t="s">
        <v>729</v>
      </c>
      <c r="B672" s="1">
        <v>45410</v>
      </c>
      <c r="C672" t="s">
        <v>6</v>
      </c>
      <c r="D672" t="s">
        <v>76</v>
      </c>
      <c r="E672" t="s">
        <v>25</v>
      </c>
      <c r="F672" t="s">
        <v>61</v>
      </c>
      <c r="G672" t="str">
        <f>INDEX(Lookup_Tables!$B$1:$B$7,MATCH(Cleaned_Data!F672,Lookup_Tables!$A$1:$A$7,0))</f>
        <v>Electronics</v>
      </c>
      <c r="H672" t="s">
        <v>54</v>
      </c>
      <c r="I672">
        <v>6</v>
      </c>
      <c r="J672">
        <v>3488</v>
      </c>
      <c r="K672">
        <v>0.05</v>
      </c>
      <c r="L672">
        <f t="shared" si="50"/>
        <v>0.05</v>
      </c>
      <c r="N672">
        <f t="shared" si="51"/>
        <v>20928</v>
      </c>
      <c r="O672">
        <f t="shared" si="52"/>
        <v>19881.599999999999</v>
      </c>
      <c r="P672">
        <f>I672*IFERROR(_xlfn.XLOOKUP(F672,Lookup_Tables!Product,Cost),0)</f>
        <v>44304</v>
      </c>
      <c r="Q672">
        <f t="shared" si="53"/>
        <v>-24422.400000000001</v>
      </c>
      <c r="R672" s="2">
        <f t="shared" si="54"/>
        <v>-1.228392081120232</v>
      </c>
    </row>
    <row r="673" spans="1:18" x14ac:dyDescent="0.3">
      <c r="A673" t="s">
        <v>730</v>
      </c>
      <c r="B673" s="1">
        <v>45450</v>
      </c>
      <c r="C673" t="s">
        <v>4</v>
      </c>
      <c r="D673" t="s">
        <v>76</v>
      </c>
      <c r="E673" t="s">
        <v>25</v>
      </c>
      <c r="F673" t="s">
        <v>23</v>
      </c>
      <c r="G673" t="str">
        <f>INDEX(Lookup_Tables!$B$1:$B$7,MATCH(Cleaned_Data!F673,Lookup_Tables!$A$1:$A$7,0))</f>
        <v>Electronics</v>
      </c>
      <c r="H673" t="s">
        <v>54</v>
      </c>
      <c r="I673">
        <v>8</v>
      </c>
      <c r="J673">
        <v>44250</v>
      </c>
      <c r="K673">
        <v>0.05</v>
      </c>
      <c r="L673">
        <f t="shared" si="50"/>
        <v>0.05</v>
      </c>
      <c r="N673">
        <f t="shared" si="51"/>
        <v>354000</v>
      </c>
      <c r="O673">
        <f t="shared" si="52"/>
        <v>336300</v>
      </c>
      <c r="P673">
        <f>I673*IFERROR(_xlfn.XLOOKUP(F673,Lookup_Tables!Product,Cost),0)</f>
        <v>154120</v>
      </c>
      <c r="Q673">
        <f t="shared" si="53"/>
        <v>182180</v>
      </c>
      <c r="R673" s="2">
        <f t="shared" si="54"/>
        <v>0.54171870353850726</v>
      </c>
    </row>
    <row r="674" spans="1:18" x14ac:dyDescent="0.3">
      <c r="A674" t="s">
        <v>731</v>
      </c>
      <c r="B674" s="1">
        <v>45417</v>
      </c>
      <c r="C674" t="s">
        <v>6</v>
      </c>
      <c r="D674" t="s">
        <v>56</v>
      </c>
      <c r="E674" t="s">
        <v>28</v>
      </c>
      <c r="F674" t="s">
        <v>61</v>
      </c>
      <c r="G674" t="str">
        <f>INDEX(Lookup_Tables!$B$1:$B$7,MATCH(Cleaned_Data!F674,Lookup_Tables!$A$1:$A$7,0))</f>
        <v>Electronics</v>
      </c>
      <c r="H674" t="s">
        <v>54</v>
      </c>
      <c r="I674">
        <v>8</v>
      </c>
      <c r="J674">
        <v>18843</v>
      </c>
      <c r="K674">
        <v>0.05</v>
      </c>
      <c r="L674">
        <f t="shared" si="50"/>
        <v>0.05</v>
      </c>
      <c r="N674">
        <f t="shared" si="51"/>
        <v>150744</v>
      </c>
      <c r="O674">
        <f t="shared" si="52"/>
        <v>143206.79999999999</v>
      </c>
      <c r="P674">
        <f>I674*IFERROR(_xlfn.XLOOKUP(F674,Lookup_Tables!Product,Cost),0)</f>
        <v>59072</v>
      </c>
      <c r="Q674">
        <f t="shared" si="53"/>
        <v>84134.799999999988</v>
      </c>
      <c r="R674" s="2">
        <f t="shared" si="54"/>
        <v>0.58750562124144945</v>
      </c>
    </row>
    <row r="675" spans="1:18" x14ac:dyDescent="0.3">
      <c r="A675" t="s">
        <v>732</v>
      </c>
      <c r="B675" s="1">
        <v>45332</v>
      </c>
      <c r="C675" t="s">
        <v>5</v>
      </c>
      <c r="D675" t="s">
        <v>53</v>
      </c>
      <c r="E675" t="s">
        <v>29</v>
      </c>
      <c r="F675" t="s">
        <v>23</v>
      </c>
      <c r="G675" t="str">
        <f>INDEX(Lookup_Tables!$B$1:$B$7,MATCH(Cleaned_Data!F675,Lookup_Tables!$A$1:$A$7,0))</f>
        <v>Electronics</v>
      </c>
      <c r="H675" t="s">
        <v>54</v>
      </c>
      <c r="I675">
        <v>2</v>
      </c>
      <c r="J675">
        <v>28149</v>
      </c>
      <c r="K675">
        <v>0.05</v>
      </c>
      <c r="L675">
        <f t="shared" si="50"/>
        <v>0.05</v>
      </c>
      <c r="N675">
        <f t="shared" si="51"/>
        <v>56298</v>
      </c>
      <c r="O675">
        <f t="shared" si="52"/>
        <v>53483.1</v>
      </c>
      <c r="P675">
        <f>I675*IFERROR(_xlfn.XLOOKUP(F675,Lookup_Tables!Product,Cost),0)</f>
        <v>38530</v>
      </c>
      <c r="Q675">
        <f t="shared" si="53"/>
        <v>14953.099999999999</v>
      </c>
      <c r="R675" s="2">
        <f t="shared" si="54"/>
        <v>0.27958551392869896</v>
      </c>
    </row>
    <row r="676" spans="1:18" x14ac:dyDescent="0.3">
      <c r="A676" t="s">
        <v>733</v>
      </c>
      <c r="B676" s="1">
        <v>45389</v>
      </c>
      <c r="C676" t="s">
        <v>5</v>
      </c>
      <c r="D676" t="s">
        <v>76</v>
      </c>
      <c r="E676" t="s">
        <v>27</v>
      </c>
      <c r="F676" t="s">
        <v>50</v>
      </c>
      <c r="G676" t="str">
        <f>INDEX(Lookup_Tables!$B$1:$B$7,MATCH(Cleaned_Data!F676,Lookup_Tables!$A$1:$A$7,0))</f>
        <v>Furniture</v>
      </c>
      <c r="H676" t="s">
        <v>51</v>
      </c>
      <c r="I676">
        <v>4</v>
      </c>
      <c r="J676">
        <v>49259</v>
      </c>
      <c r="K676">
        <v>0.1</v>
      </c>
      <c r="L676">
        <f t="shared" si="50"/>
        <v>0.1</v>
      </c>
      <c r="N676">
        <f t="shared" si="51"/>
        <v>197036</v>
      </c>
      <c r="O676">
        <f t="shared" si="52"/>
        <v>177332.4</v>
      </c>
      <c r="P676">
        <f>I676*IFERROR(_xlfn.XLOOKUP(F676,Lookup_Tables!Product,Cost),0)</f>
        <v>53084</v>
      </c>
      <c r="Q676">
        <f t="shared" si="53"/>
        <v>124248.4</v>
      </c>
      <c r="R676" s="2">
        <f t="shared" si="54"/>
        <v>0.70065255982550279</v>
      </c>
    </row>
    <row r="677" spans="1:18" x14ac:dyDescent="0.3">
      <c r="A677" t="s">
        <v>734</v>
      </c>
      <c r="B677" s="1">
        <v>45377</v>
      </c>
      <c r="C677" t="s">
        <v>4</v>
      </c>
      <c r="D677" t="s">
        <v>76</v>
      </c>
      <c r="E677" t="s">
        <v>29</v>
      </c>
      <c r="F677" t="s">
        <v>58</v>
      </c>
      <c r="G677" t="str">
        <f>INDEX(Lookup_Tables!$B$1:$B$7,MATCH(Cleaned_Data!F677,Lookup_Tables!$A$1:$A$7,0))</f>
        <v>Electronics</v>
      </c>
      <c r="H677" t="s">
        <v>54</v>
      </c>
      <c r="I677">
        <v>9</v>
      </c>
      <c r="J677">
        <v>4369</v>
      </c>
      <c r="L677">
        <f t="shared" si="50"/>
        <v>0</v>
      </c>
      <c r="N677">
        <f t="shared" si="51"/>
        <v>39321</v>
      </c>
      <c r="O677">
        <f t="shared" si="52"/>
        <v>39321</v>
      </c>
      <c r="P677">
        <f>I677*IFERROR(_xlfn.XLOOKUP(F677,Lookup_Tables!Product,Cost),0)</f>
        <v>25992</v>
      </c>
      <c r="Q677">
        <f t="shared" si="53"/>
        <v>13329</v>
      </c>
      <c r="R677" s="2">
        <f t="shared" si="54"/>
        <v>0.33897917143511103</v>
      </c>
    </row>
    <row r="678" spans="1:18" x14ac:dyDescent="0.3">
      <c r="A678" t="s">
        <v>735</v>
      </c>
      <c r="B678" s="1">
        <v>45470</v>
      </c>
      <c r="C678" t="s">
        <v>4</v>
      </c>
      <c r="D678" t="s">
        <v>64</v>
      </c>
      <c r="E678" t="s">
        <v>27</v>
      </c>
      <c r="F678" t="s">
        <v>58</v>
      </c>
      <c r="G678" t="str">
        <f>INDEX(Lookup_Tables!$B$1:$B$7,MATCH(Cleaned_Data!F678,Lookup_Tables!$A$1:$A$7,0))</f>
        <v>Electronics</v>
      </c>
      <c r="H678" t="s">
        <v>54</v>
      </c>
      <c r="I678">
        <v>10</v>
      </c>
      <c r="J678">
        <v>31979</v>
      </c>
      <c r="K678">
        <v>0.05</v>
      </c>
      <c r="L678">
        <f t="shared" si="50"/>
        <v>0.05</v>
      </c>
      <c r="N678">
        <f t="shared" si="51"/>
        <v>319790</v>
      </c>
      <c r="O678">
        <f t="shared" si="52"/>
        <v>303800.5</v>
      </c>
      <c r="P678">
        <f>I678*IFERROR(_xlfn.XLOOKUP(F678,Lookup_Tables!Product,Cost),0)</f>
        <v>28880</v>
      </c>
      <c r="Q678">
        <f t="shared" si="53"/>
        <v>274920.5</v>
      </c>
      <c r="R678" s="2">
        <f t="shared" si="54"/>
        <v>0.90493761531004724</v>
      </c>
    </row>
    <row r="679" spans="1:18" x14ac:dyDescent="0.3">
      <c r="A679" t="s">
        <v>736</v>
      </c>
      <c r="B679" s="1">
        <v>45591</v>
      </c>
      <c r="C679" t="s">
        <v>3</v>
      </c>
      <c r="D679" t="s">
        <v>49</v>
      </c>
      <c r="E679" t="s">
        <v>25</v>
      </c>
      <c r="F679" t="s">
        <v>22</v>
      </c>
      <c r="G679" t="str">
        <f>INDEX(Lookup_Tables!$B$1:$B$7,MATCH(Cleaned_Data!F679,Lookup_Tables!$A$1:$A$7,0))</f>
        <v>Furniture</v>
      </c>
      <c r="H679" t="s">
        <v>51</v>
      </c>
      <c r="I679">
        <v>7</v>
      </c>
      <c r="J679">
        <v>6059</v>
      </c>
      <c r="L679">
        <f t="shared" si="50"/>
        <v>0</v>
      </c>
      <c r="N679">
        <f t="shared" si="51"/>
        <v>42413</v>
      </c>
      <c r="O679">
        <f t="shared" si="52"/>
        <v>42413</v>
      </c>
      <c r="P679">
        <f>I679*IFERROR(_xlfn.XLOOKUP(F679,Lookup_Tables!Product,Cost),0)</f>
        <v>91280</v>
      </c>
      <c r="Q679">
        <f t="shared" si="53"/>
        <v>-48867</v>
      </c>
      <c r="R679" s="2">
        <f t="shared" si="54"/>
        <v>-1.152170325136161</v>
      </c>
    </row>
    <row r="680" spans="1:18" x14ac:dyDescent="0.3">
      <c r="A680" t="s">
        <v>737</v>
      </c>
      <c r="B680" s="1">
        <v>45434</v>
      </c>
      <c r="C680" t="s">
        <v>4</v>
      </c>
      <c r="D680" t="s">
        <v>69</v>
      </c>
      <c r="E680" t="s">
        <v>27</v>
      </c>
      <c r="F680" t="s">
        <v>58</v>
      </c>
      <c r="G680" t="str">
        <f>INDEX(Lookup_Tables!$B$1:$B$7,MATCH(Cleaned_Data!F680,Lookup_Tables!$A$1:$A$7,0))</f>
        <v>Electronics</v>
      </c>
      <c r="H680" t="s">
        <v>54</v>
      </c>
      <c r="I680">
        <v>10</v>
      </c>
      <c r="J680">
        <v>9719</v>
      </c>
      <c r="K680">
        <v>0</v>
      </c>
      <c r="L680">
        <f t="shared" si="50"/>
        <v>0</v>
      </c>
      <c r="M680">
        <v>3475</v>
      </c>
      <c r="N680">
        <f t="shared" si="51"/>
        <v>97190</v>
      </c>
      <c r="O680">
        <f t="shared" si="52"/>
        <v>97190</v>
      </c>
      <c r="P680">
        <f>I680*IFERROR(_xlfn.XLOOKUP(F680,Lookup_Tables!Product,Cost),0)</f>
        <v>28880</v>
      </c>
      <c r="Q680">
        <f t="shared" si="53"/>
        <v>68310</v>
      </c>
      <c r="R680" s="2">
        <f t="shared" si="54"/>
        <v>0.70285008745755739</v>
      </c>
    </row>
    <row r="681" spans="1:18" x14ac:dyDescent="0.3">
      <c r="A681" t="s">
        <v>738</v>
      </c>
      <c r="B681" s="1">
        <v>45433</v>
      </c>
      <c r="C681" t="s">
        <v>3</v>
      </c>
      <c r="D681" t="s">
        <v>69</v>
      </c>
      <c r="E681" t="s">
        <v>29</v>
      </c>
      <c r="F681" t="s">
        <v>50</v>
      </c>
      <c r="G681" t="str">
        <f>INDEX(Lookup_Tables!$B$1:$B$7,MATCH(Cleaned_Data!F681,Lookup_Tables!$A$1:$A$7,0))</f>
        <v>Furniture</v>
      </c>
      <c r="H681" t="s">
        <v>51</v>
      </c>
      <c r="I681">
        <v>5</v>
      </c>
      <c r="J681">
        <v>15993</v>
      </c>
      <c r="K681">
        <v>0</v>
      </c>
      <c r="L681">
        <f t="shared" si="50"/>
        <v>0</v>
      </c>
      <c r="M681">
        <v>23580</v>
      </c>
      <c r="N681">
        <f t="shared" si="51"/>
        <v>79965</v>
      </c>
      <c r="O681">
        <f t="shared" si="52"/>
        <v>79965</v>
      </c>
      <c r="P681">
        <f>I681*IFERROR(_xlfn.XLOOKUP(F681,Lookup_Tables!Product,Cost),0)</f>
        <v>66355</v>
      </c>
      <c r="Q681">
        <f t="shared" si="53"/>
        <v>13610</v>
      </c>
      <c r="R681" s="2">
        <f t="shared" si="54"/>
        <v>0.17019946226474084</v>
      </c>
    </row>
    <row r="682" spans="1:18" x14ac:dyDescent="0.3">
      <c r="A682" t="s">
        <v>739</v>
      </c>
      <c r="B682" s="1">
        <v>45342</v>
      </c>
      <c r="C682" t="s">
        <v>5</v>
      </c>
      <c r="D682" t="s">
        <v>49</v>
      </c>
      <c r="E682" t="s">
        <v>29</v>
      </c>
      <c r="F682" t="s">
        <v>24</v>
      </c>
      <c r="G682" t="str">
        <f>INDEX(Lookup_Tables!$B$1:$B$7,MATCH(Cleaned_Data!F682,Lookup_Tables!$A$1:$A$7,0))</f>
        <v>Electronics</v>
      </c>
      <c r="H682" t="s">
        <v>54</v>
      </c>
      <c r="I682">
        <v>6</v>
      </c>
      <c r="J682">
        <v>17953</v>
      </c>
      <c r="K682">
        <v>0.05</v>
      </c>
      <c r="L682">
        <f t="shared" si="50"/>
        <v>0.05</v>
      </c>
      <c r="M682">
        <v>1257</v>
      </c>
      <c r="N682">
        <f t="shared" si="51"/>
        <v>107718</v>
      </c>
      <c r="O682">
        <f t="shared" si="52"/>
        <v>102332.1</v>
      </c>
      <c r="P682">
        <f>I682*IFERROR(_xlfn.XLOOKUP(F682,Lookup_Tables!Product,Cost),0)</f>
        <v>168276</v>
      </c>
      <c r="Q682">
        <f t="shared" si="53"/>
        <v>-65943.899999999994</v>
      </c>
      <c r="R682" s="2">
        <f t="shared" si="54"/>
        <v>-0.64441069810939078</v>
      </c>
    </row>
    <row r="683" spans="1:18" x14ac:dyDescent="0.3">
      <c r="A683" t="s">
        <v>740</v>
      </c>
      <c r="B683" s="1">
        <v>45528</v>
      </c>
      <c r="C683" t="s">
        <v>3</v>
      </c>
      <c r="D683" t="s">
        <v>53</v>
      </c>
      <c r="E683" t="s">
        <v>28</v>
      </c>
      <c r="F683" t="s">
        <v>58</v>
      </c>
      <c r="G683" t="str">
        <f>INDEX(Lookup_Tables!$B$1:$B$7,MATCH(Cleaned_Data!F683,Lookup_Tables!$A$1:$A$7,0))</f>
        <v>Electronics</v>
      </c>
      <c r="H683" t="s">
        <v>54</v>
      </c>
      <c r="I683">
        <v>9</v>
      </c>
      <c r="J683">
        <v>6758</v>
      </c>
      <c r="K683">
        <v>0</v>
      </c>
      <c r="L683">
        <f t="shared" si="50"/>
        <v>0</v>
      </c>
      <c r="M683">
        <v>7489</v>
      </c>
      <c r="N683">
        <f t="shared" si="51"/>
        <v>60822</v>
      </c>
      <c r="O683">
        <f t="shared" si="52"/>
        <v>60822</v>
      </c>
      <c r="P683">
        <f>I683*IFERROR(_xlfn.XLOOKUP(F683,Lookup_Tables!Product,Cost),0)</f>
        <v>25992</v>
      </c>
      <c r="Q683">
        <f t="shared" si="53"/>
        <v>34830</v>
      </c>
      <c r="R683" s="2">
        <f t="shared" si="54"/>
        <v>0.57265463154779517</v>
      </c>
    </row>
    <row r="684" spans="1:18" x14ac:dyDescent="0.3">
      <c r="A684" t="s">
        <v>741</v>
      </c>
      <c r="B684" s="1">
        <v>45556</v>
      </c>
      <c r="C684" t="s">
        <v>3</v>
      </c>
      <c r="D684" t="s">
        <v>49</v>
      </c>
      <c r="E684" t="s">
        <v>26</v>
      </c>
      <c r="F684" t="s">
        <v>24</v>
      </c>
      <c r="G684" t="str">
        <f>INDEX(Lookup_Tables!$B$1:$B$7,MATCH(Cleaned_Data!F684,Lookup_Tables!$A$1:$A$7,0))</f>
        <v>Electronics</v>
      </c>
      <c r="H684" t="s">
        <v>54</v>
      </c>
      <c r="I684">
        <v>9</v>
      </c>
      <c r="J684">
        <v>26636</v>
      </c>
      <c r="K684">
        <v>0.1</v>
      </c>
      <c r="L684">
        <f t="shared" si="50"/>
        <v>0.1</v>
      </c>
      <c r="N684">
        <f t="shared" si="51"/>
        <v>239724</v>
      </c>
      <c r="O684">
        <f t="shared" si="52"/>
        <v>215751.6</v>
      </c>
      <c r="P684">
        <f>I684*IFERROR(_xlfn.XLOOKUP(F684,Lookup_Tables!Product,Cost),0)</f>
        <v>252414</v>
      </c>
      <c r="Q684">
        <f t="shared" si="53"/>
        <v>-36662.399999999994</v>
      </c>
      <c r="R684" s="2">
        <f t="shared" si="54"/>
        <v>-0.16992875139744035</v>
      </c>
    </row>
    <row r="685" spans="1:18" x14ac:dyDescent="0.3">
      <c r="A685" t="s">
        <v>742</v>
      </c>
      <c r="B685" s="1">
        <v>45424</v>
      </c>
      <c r="C685" t="s">
        <v>6</v>
      </c>
      <c r="D685" t="s">
        <v>69</v>
      </c>
      <c r="E685" t="s">
        <v>25</v>
      </c>
      <c r="F685" t="s">
        <v>24</v>
      </c>
      <c r="G685" t="str">
        <f>INDEX(Lookup_Tables!$B$1:$B$7,MATCH(Cleaned_Data!F685,Lookup_Tables!$A$1:$A$7,0))</f>
        <v>Electronics</v>
      </c>
      <c r="H685" t="s">
        <v>54</v>
      </c>
      <c r="I685">
        <v>4</v>
      </c>
      <c r="J685">
        <v>34128</v>
      </c>
      <c r="L685">
        <f t="shared" si="50"/>
        <v>0</v>
      </c>
      <c r="M685">
        <v>15614</v>
      </c>
      <c r="N685">
        <f t="shared" si="51"/>
        <v>136512</v>
      </c>
      <c r="O685">
        <f t="shared" si="52"/>
        <v>136512</v>
      </c>
      <c r="P685">
        <f>I685*IFERROR(_xlfn.XLOOKUP(F685,Lookup_Tables!Product,Cost),0)</f>
        <v>112184</v>
      </c>
      <c r="Q685">
        <f t="shared" si="53"/>
        <v>24328</v>
      </c>
      <c r="R685" s="2">
        <f t="shared" si="54"/>
        <v>0.17821143928738867</v>
      </c>
    </row>
    <row r="686" spans="1:18" x14ac:dyDescent="0.3">
      <c r="A686" t="s">
        <v>743</v>
      </c>
      <c r="B686" s="1">
        <v>45450</v>
      </c>
      <c r="C686" t="s">
        <v>5</v>
      </c>
      <c r="D686" t="s">
        <v>76</v>
      </c>
      <c r="E686" t="s">
        <v>28</v>
      </c>
      <c r="F686" t="s">
        <v>50</v>
      </c>
      <c r="G686" t="str">
        <f>INDEX(Lookup_Tables!$B$1:$B$7,MATCH(Cleaned_Data!F686,Lookup_Tables!$A$1:$A$7,0))</f>
        <v>Furniture</v>
      </c>
      <c r="H686" t="s">
        <v>51</v>
      </c>
      <c r="I686">
        <v>9</v>
      </c>
      <c r="J686">
        <v>48730</v>
      </c>
      <c r="K686">
        <v>0.1</v>
      </c>
      <c r="L686">
        <f t="shared" si="50"/>
        <v>0.1</v>
      </c>
      <c r="M686">
        <v>27728</v>
      </c>
      <c r="N686">
        <f t="shared" si="51"/>
        <v>438570</v>
      </c>
      <c r="O686">
        <f t="shared" si="52"/>
        <v>394713</v>
      </c>
      <c r="P686">
        <f>I686*IFERROR(_xlfn.XLOOKUP(F686,Lookup_Tables!Product,Cost),0)</f>
        <v>119439</v>
      </c>
      <c r="Q686">
        <f t="shared" si="53"/>
        <v>275274</v>
      </c>
      <c r="R686" s="2">
        <f t="shared" si="54"/>
        <v>0.6974029231365575</v>
      </c>
    </row>
    <row r="687" spans="1:18" x14ac:dyDescent="0.3">
      <c r="A687" t="s">
        <v>744</v>
      </c>
      <c r="B687" s="1">
        <v>45568</v>
      </c>
      <c r="C687" t="s">
        <v>4</v>
      </c>
      <c r="D687" t="s">
        <v>69</v>
      </c>
      <c r="E687" t="s">
        <v>26</v>
      </c>
      <c r="F687" t="s">
        <v>23</v>
      </c>
      <c r="G687" t="str">
        <f>INDEX(Lookup_Tables!$B$1:$B$7,MATCH(Cleaned_Data!F687,Lookup_Tables!$A$1:$A$7,0))</f>
        <v>Electronics</v>
      </c>
      <c r="H687" t="s">
        <v>54</v>
      </c>
      <c r="I687">
        <v>4</v>
      </c>
      <c r="J687">
        <v>46807</v>
      </c>
      <c r="K687">
        <v>0.05</v>
      </c>
      <c r="L687">
        <f t="shared" si="50"/>
        <v>0.05</v>
      </c>
      <c r="N687">
        <f t="shared" si="51"/>
        <v>187228</v>
      </c>
      <c r="O687">
        <f t="shared" si="52"/>
        <v>177866.6</v>
      </c>
      <c r="P687">
        <f>I687*IFERROR(_xlfn.XLOOKUP(F687,Lookup_Tables!Product,Cost),0)</f>
        <v>77060</v>
      </c>
      <c r="Q687">
        <f t="shared" si="53"/>
        <v>100806.6</v>
      </c>
      <c r="R687" s="2">
        <f t="shared" si="54"/>
        <v>0.56675396055245897</v>
      </c>
    </row>
    <row r="688" spans="1:18" x14ac:dyDescent="0.3">
      <c r="A688" t="s">
        <v>745</v>
      </c>
      <c r="B688" s="1">
        <v>45570</v>
      </c>
      <c r="C688" t="s">
        <v>6</v>
      </c>
      <c r="D688" t="s">
        <v>53</v>
      </c>
      <c r="E688" t="s">
        <v>29</v>
      </c>
      <c r="F688" t="s">
        <v>58</v>
      </c>
      <c r="G688" t="str">
        <f>INDEX(Lookup_Tables!$B$1:$B$7,MATCH(Cleaned_Data!F688,Lookup_Tables!$A$1:$A$7,0))</f>
        <v>Electronics</v>
      </c>
      <c r="H688" t="s">
        <v>54</v>
      </c>
      <c r="I688">
        <v>6</v>
      </c>
      <c r="J688">
        <v>14767</v>
      </c>
      <c r="K688">
        <v>0.05</v>
      </c>
      <c r="L688">
        <f t="shared" si="50"/>
        <v>0.05</v>
      </c>
      <c r="M688">
        <v>6820</v>
      </c>
      <c r="N688">
        <f t="shared" si="51"/>
        <v>88602</v>
      </c>
      <c r="O688">
        <f t="shared" si="52"/>
        <v>84171.9</v>
      </c>
      <c r="P688">
        <f>I688*IFERROR(_xlfn.XLOOKUP(F688,Lookup_Tables!Product,Cost),0)</f>
        <v>17328</v>
      </c>
      <c r="Q688">
        <f t="shared" si="53"/>
        <v>66843.899999999994</v>
      </c>
      <c r="R688" s="2">
        <f t="shared" si="54"/>
        <v>0.79413557256043876</v>
      </c>
    </row>
    <row r="689" spans="1:18" x14ac:dyDescent="0.3">
      <c r="A689" t="s">
        <v>746</v>
      </c>
      <c r="B689" s="1">
        <v>45578</v>
      </c>
      <c r="C689" t="s">
        <v>4</v>
      </c>
      <c r="D689" t="s">
        <v>69</v>
      </c>
      <c r="E689" t="s">
        <v>26</v>
      </c>
      <c r="F689" t="s">
        <v>61</v>
      </c>
      <c r="G689" t="str">
        <f>INDEX(Lookup_Tables!$B$1:$B$7,MATCH(Cleaned_Data!F689,Lookup_Tables!$A$1:$A$7,0))</f>
        <v>Electronics</v>
      </c>
      <c r="H689" t="s">
        <v>54</v>
      </c>
      <c r="I689">
        <v>8</v>
      </c>
      <c r="J689">
        <v>27672</v>
      </c>
      <c r="K689">
        <v>0</v>
      </c>
      <c r="L689">
        <f t="shared" si="50"/>
        <v>0</v>
      </c>
      <c r="M689">
        <v>16345</v>
      </c>
      <c r="N689">
        <f t="shared" si="51"/>
        <v>221376</v>
      </c>
      <c r="O689">
        <f t="shared" si="52"/>
        <v>221376</v>
      </c>
      <c r="P689">
        <f>I689*IFERROR(_xlfn.XLOOKUP(F689,Lookup_Tables!Product,Cost),0)</f>
        <v>59072</v>
      </c>
      <c r="Q689">
        <f t="shared" si="53"/>
        <v>162304</v>
      </c>
      <c r="R689" s="2">
        <f t="shared" si="54"/>
        <v>0.73315987279560568</v>
      </c>
    </row>
    <row r="690" spans="1:18" x14ac:dyDescent="0.3">
      <c r="A690" t="s">
        <v>747</v>
      </c>
      <c r="B690" s="1">
        <v>45311</v>
      </c>
      <c r="C690" t="s">
        <v>4</v>
      </c>
      <c r="D690" t="s">
        <v>64</v>
      </c>
      <c r="E690" t="s">
        <v>29</v>
      </c>
      <c r="F690" t="s">
        <v>58</v>
      </c>
      <c r="G690" t="str">
        <f>INDEX(Lookup_Tables!$B$1:$B$7,MATCH(Cleaned_Data!F690,Lookup_Tables!$A$1:$A$7,0))</f>
        <v>Electronics</v>
      </c>
      <c r="H690" t="s">
        <v>54</v>
      </c>
      <c r="I690">
        <v>2</v>
      </c>
      <c r="J690">
        <v>6334</v>
      </c>
      <c r="L690">
        <f t="shared" si="50"/>
        <v>0</v>
      </c>
      <c r="N690">
        <f t="shared" si="51"/>
        <v>12668</v>
      </c>
      <c r="O690">
        <f t="shared" si="52"/>
        <v>12668</v>
      </c>
      <c r="P690">
        <f>I690*IFERROR(_xlfn.XLOOKUP(F690,Lookup_Tables!Product,Cost),0)</f>
        <v>5776</v>
      </c>
      <c r="Q690">
        <f t="shared" si="53"/>
        <v>6892</v>
      </c>
      <c r="R690" s="2">
        <f t="shared" si="54"/>
        <v>0.54404799494790024</v>
      </c>
    </row>
    <row r="691" spans="1:18" x14ac:dyDescent="0.3">
      <c r="A691" t="s">
        <v>748</v>
      </c>
      <c r="B691" s="1">
        <v>45474</v>
      </c>
      <c r="C691" t="s">
        <v>3</v>
      </c>
      <c r="D691" t="s">
        <v>64</v>
      </c>
      <c r="E691" t="s">
        <v>25</v>
      </c>
      <c r="F691" t="s">
        <v>61</v>
      </c>
      <c r="G691" t="str">
        <f>INDEX(Lookup_Tables!$B$1:$B$7,MATCH(Cleaned_Data!F691,Lookup_Tables!$A$1:$A$7,0))</f>
        <v>Electronics</v>
      </c>
      <c r="H691" t="s">
        <v>54</v>
      </c>
      <c r="I691">
        <v>5</v>
      </c>
      <c r="J691">
        <v>34095</v>
      </c>
      <c r="L691">
        <f t="shared" si="50"/>
        <v>0</v>
      </c>
      <c r="M691">
        <v>6452</v>
      </c>
      <c r="N691">
        <f t="shared" si="51"/>
        <v>170475</v>
      </c>
      <c r="O691">
        <f t="shared" si="52"/>
        <v>170475</v>
      </c>
      <c r="P691">
        <f>I691*IFERROR(_xlfn.XLOOKUP(F691,Lookup_Tables!Product,Cost),0)</f>
        <v>36920</v>
      </c>
      <c r="Q691">
        <f t="shared" si="53"/>
        <v>133555</v>
      </c>
      <c r="R691" s="2">
        <f t="shared" si="54"/>
        <v>0.78342865522803928</v>
      </c>
    </row>
    <row r="692" spans="1:18" x14ac:dyDescent="0.3">
      <c r="A692" t="s">
        <v>749</v>
      </c>
      <c r="B692" s="1">
        <v>45340</v>
      </c>
      <c r="C692" t="s">
        <v>5</v>
      </c>
      <c r="D692" t="s">
        <v>64</v>
      </c>
      <c r="E692" t="s">
        <v>27</v>
      </c>
      <c r="F692" t="s">
        <v>22</v>
      </c>
      <c r="G692" t="str">
        <f>INDEX(Lookup_Tables!$B$1:$B$7,MATCH(Cleaned_Data!F692,Lookup_Tables!$A$1:$A$7,0))</f>
        <v>Furniture</v>
      </c>
      <c r="H692" t="s">
        <v>51</v>
      </c>
      <c r="I692">
        <v>5</v>
      </c>
      <c r="J692">
        <v>17438</v>
      </c>
      <c r="K692">
        <v>0.05</v>
      </c>
      <c r="L692">
        <f t="shared" si="50"/>
        <v>0.05</v>
      </c>
      <c r="M692">
        <v>7877</v>
      </c>
      <c r="N692">
        <f t="shared" si="51"/>
        <v>87190</v>
      </c>
      <c r="O692">
        <f t="shared" si="52"/>
        <v>82830.5</v>
      </c>
      <c r="P692">
        <f>I692*IFERROR(_xlfn.XLOOKUP(F692,Lookup_Tables!Product,Cost),0)</f>
        <v>65200</v>
      </c>
      <c r="Q692">
        <f t="shared" si="53"/>
        <v>17630.5</v>
      </c>
      <c r="R692" s="2">
        <f t="shared" si="54"/>
        <v>0.21285033894519531</v>
      </c>
    </row>
    <row r="693" spans="1:18" x14ac:dyDescent="0.3">
      <c r="A693" t="s">
        <v>750</v>
      </c>
      <c r="B693" s="1">
        <v>45442</v>
      </c>
      <c r="C693" t="s">
        <v>6</v>
      </c>
      <c r="D693" t="s">
        <v>69</v>
      </c>
      <c r="E693" t="s">
        <v>26</v>
      </c>
      <c r="F693" t="s">
        <v>61</v>
      </c>
      <c r="G693" t="str">
        <f>INDEX(Lookup_Tables!$B$1:$B$7,MATCH(Cleaned_Data!F693,Lookup_Tables!$A$1:$A$7,0))</f>
        <v>Electronics</v>
      </c>
      <c r="H693" t="s">
        <v>54</v>
      </c>
      <c r="I693">
        <v>6</v>
      </c>
      <c r="J693">
        <v>17236</v>
      </c>
      <c r="K693">
        <v>0.1</v>
      </c>
      <c r="L693">
        <f t="shared" si="50"/>
        <v>0.1</v>
      </c>
      <c r="M693">
        <v>22011</v>
      </c>
      <c r="N693">
        <f t="shared" si="51"/>
        <v>103416</v>
      </c>
      <c r="O693">
        <f t="shared" si="52"/>
        <v>93074.4</v>
      </c>
      <c r="P693">
        <f>I693*IFERROR(_xlfn.XLOOKUP(F693,Lookup_Tables!Product,Cost),0)</f>
        <v>44304</v>
      </c>
      <c r="Q693">
        <f t="shared" si="53"/>
        <v>48770.399999999994</v>
      </c>
      <c r="R693" s="2">
        <f t="shared" si="54"/>
        <v>0.52399370825919911</v>
      </c>
    </row>
    <row r="694" spans="1:18" x14ac:dyDescent="0.3">
      <c r="A694" t="s">
        <v>751</v>
      </c>
      <c r="B694" s="1">
        <v>45518</v>
      </c>
      <c r="C694" t="s">
        <v>6</v>
      </c>
      <c r="D694" t="s">
        <v>53</v>
      </c>
      <c r="E694" t="s">
        <v>25</v>
      </c>
      <c r="F694" t="s">
        <v>50</v>
      </c>
      <c r="G694" t="str">
        <f>INDEX(Lookup_Tables!$B$1:$B$7,MATCH(Cleaned_Data!F694,Lookup_Tables!$A$1:$A$7,0))</f>
        <v>Furniture</v>
      </c>
      <c r="H694" t="s">
        <v>51</v>
      </c>
      <c r="I694">
        <v>10</v>
      </c>
      <c r="J694">
        <v>22469</v>
      </c>
      <c r="L694">
        <f t="shared" si="50"/>
        <v>0</v>
      </c>
      <c r="M694">
        <v>22091</v>
      </c>
      <c r="N694">
        <f t="shared" si="51"/>
        <v>224690</v>
      </c>
      <c r="O694">
        <f t="shared" si="52"/>
        <v>224690</v>
      </c>
      <c r="P694">
        <f>I694*IFERROR(_xlfn.XLOOKUP(F694,Lookup_Tables!Product,Cost),0)</f>
        <v>132710</v>
      </c>
      <c r="Q694">
        <f t="shared" si="53"/>
        <v>91980</v>
      </c>
      <c r="R694" s="2">
        <f t="shared" si="54"/>
        <v>0.40936401263963684</v>
      </c>
    </row>
    <row r="695" spans="1:18" x14ac:dyDescent="0.3">
      <c r="A695" t="s">
        <v>752</v>
      </c>
      <c r="B695" s="1">
        <v>45655</v>
      </c>
      <c r="C695" t="s">
        <v>5</v>
      </c>
      <c r="D695" t="s">
        <v>53</v>
      </c>
      <c r="E695" t="s">
        <v>27</v>
      </c>
      <c r="F695" t="s">
        <v>50</v>
      </c>
      <c r="G695" t="str">
        <f>INDEX(Lookup_Tables!$B$1:$B$7,MATCH(Cleaned_Data!F695,Lookup_Tables!$A$1:$A$7,0))</f>
        <v>Furniture</v>
      </c>
      <c r="H695" t="s">
        <v>51</v>
      </c>
      <c r="I695">
        <v>9</v>
      </c>
      <c r="J695">
        <v>37581</v>
      </c>
      <c r="L695">
        <f t="shared" si="50"/>
        <v>0</v>
      </c>
      <c r="N695">
        <f t="shared" si="51"/>
        <v>338229</v>
      </c>
      <c r="O695">
        <f t="shared" si="52"/>
        <v>338229</v>
      </c>
      <c r="P695">
        <f>I695*IFERROR(_xlfn.XLOOKUP(F695,Lookup_Tables!Product,Cost),0)</f>
        <v>119439</v>
      </c>
      <c r="Q695">
        <f t="shared" si="53"/>
        <v>218790</v>
      </c>
      <c r="R695" s="2">
        <f t="shared" si="54"/>
        <v>0.64686942870067321</v>
      </c>
    </row>
    <row r="696" spans="1:18" x14ac:dyDescent="0.3">
      <c r="A696" t="s">
        <v>753</v>
      </c>
      <c r="B696" s="1">
        <v>45471</v>
      </c>
      <c r="C696" t="s">
        <v>5</v>
      </c>
      <c r="D696" t="s">
        <v>69</v>
      </c>
      <c r="E696" t="s">
        <v>29</v>
      </c>
      <c r="F696" t="s">
        <v>22</v>
      </c>
      <c r="G696" t="str">
        <f>INDEX(Lookup_Tables!$B$1:$B$7,MATCH(Cleaned_Data!F696,Lookup_Tables!$A$1:$A$7,0))</f>
        <v>Furniture</v>
      </c>
      <c r="H696" t="s">
        <v>51</v>
      </c>
      <c r="I696">
        <v>10</v>
      </c>
      <c r="J696">
        <v>32506</v>
      </c>
      <c r="L696">
        <f t="shared" si="50"/>
        <v>0</v>
      </c>
      <c r="M696">
        <v>26273</v>
      </c>
      <c r="N696">
        <f t="shared" si="51"/>
        <v>325060</v>
      </c>
      <c r="O696">
        <f t="shared" si="52"/>
        <v>325060</v>
      </c>
      <c r="P696">
        <f>I696*IFERROR(_xlfn.XLOOKUP(F696,Lookup_Tables!Product,Cost),0)</f>
        <v>130400</v>
      </c>
      <c r="Q696">
        <f t="shared" si="53"/>
        <v>194660</v>
      </c>
      <c r="R696" s="2">
        <f t="shared" si="54"/>
        <v>0.59884329046945184</v>
      </c>
    </row>
    <row r="697" spans="1:18" x14ac:dyDescent="0.3">
      <c r="A697" t="s">
        <v>754</v>
      </c>
      <c r="B697" s="1">
        <v>45611</v>
      </c>
      <c r="C697" t="s">
        <v>4</v>
      </c>
      <c r="D697" t="s">
        <v>64</v>
      </c>
      <c r="E697" t="s">
        <v>27</v>
      </c>
      <c r="F697" t="s">
        <v>61</v>
      </c>
      <c r="G697" t="str">
        <f>INDEX(Lookup_Tables!$B$1:$B$7,MATCH(Cleaned_Data!F697,Lookup_Tables!$A$1:$A$7,0))</f>
        <v>Electronics</v>
      </c>
      <c r="H697" t="s">
        <v>54</v>
      </c>
      <c r="I697">
        <v>6</v>
      </c>
      <c r="J697">
        <v>45144</v>
      </c>
      <c r="L697">
        <f t="shared" si="50"/>
        <v>0</v>
      </c>
      <c r="M697">
        <v>1792</v>
      </c>
      <c r="N697">
        <f t="shared" si="51"/>
        <v>270864</v>
      </c>
      <c r="O697">
        <f t="shared" si="52"/>
        <v>270864</v>
      </c>
      <c r="P697">
        <f>I697*IFERROR(_xlfn.XLOOKUP(F697,Lookup_Tables!Product,Cost),0)</f>
        <v>44304</v>
      </c>
      <c r="Q697">
        <f t="shared" si="53"/>
        <v>226560</v>
      </c>
      <c r="R697" s="2">
        <f t="shared" si="54"/>
        <v>0.83643452064504697</v>
      </c>
    </row>
    <row r="698" spans="1:18" x14ac:dyDescent="0.3">
      <c r="A698" t="s">
        <v>755</v>
      </c>
      <c r="B698" s="1">
        <v>45656</v>
      </c>
      <c r="C698" t="s">
        <v>5</v>
      </c>
      <c r="D698" t="s">
        <v>64</v>
      </c>
      <c r="E698" t="s">
        <v>27</v>
      </c>
      <c r="F698" t="s">
        <v>61</v>
      </c>
      <c r="G698" t="str">
        <f>INDEX(Lookup_Tables!$B$1:$B$7,MATCH(Cleaned_Data!F698,Lookup_Tables!$A$1:$A$7,0))</f>
        <v>Electronics</v>
      </c>
      <c r="H698" t="s">
        <v>54</v>
      </c>
      <c r="I698">
        <v>1</v>
      </c>
      <c r="J698">
        <v>46238</v>
      </c>
      <c r="K698">
        <v>0</v>
      </c>
      <c r="L698">
        <f t="shared" si="50"/>
        <v>0</v>
      </c>
      <c r="M698">
        <v>287</v>
      </c>
      <c r="N698">
        <f t="shared" si="51"/>
        <v>46238</v>
      </c>
      <c r="O698">
        <f t="shared" si="52"/>
        <v>46238</v>
      </c>
      <c r="P698">
        <f>I698*IFERROR(_xlfn.XLOOKUP(F698,Lookup_Tables!Product,Cost),0)</f>
        <v>7384</v>
      </c>
      <c r="Q698">
        <f t="shared" si="53"/>
        <v>38854</v>
      </c>
      <c r="R698" s="2">
        <f t="shared" si="54"/>
        <v>0.84030451144080631</v>
      </c>
    </row>
    <row r="699" spans="1:18" x14ac:dyDescent="0.3">
      <c r="A699" t="s">
        <v>756</v>
      </c>
      <c r="B699" s="1">
        <v>45426</v>
      </c>
      <c r="C699" t="s">
        <v>4</v>
      </c>
      <c r="D699" t="s">
        <v>49</v>
      </c>
      <c r="E699" t="s">
        <v>26</v>
      </c>
      <c r="F699" t="s">
        <v>24</v>
      </c>
      <c r="G699" t="str">
        <f>INDEX(Lookup_Tables!$B$1:$B$7,MATCH(Cleaned_Data!F699,Lookup_Tables!$A$1:$A$7,0))</f>
        <v>Electronics</v>
      </c>
      <c r="H699" t="s">
        <v>54</v>
      </c>
      <c r="I699">
        <v>8</v>
      </c>
      <c r="J699">
        <v>45974</v>
      </c>
      <c r="K699">
        <v>0.05</v>
      </c>
      <c r="L699">
        <f t="shared" si="50"/>
        <v>0.05</v>
      </c>
      <c r="M699">
        <v>26925</v>
      </c>
      <c r="N699">
        <f t="shared" si="51"/>
        <v>367792</v>
      </c>
      <c r="O699">
        <f t="shared" si="52"/>
        <v>349402.4</v>
      </c>
      <c r="P699">
        <f>I699*IFERROR(_xlfn.XLOOKUP(F699,Lookup_Tables!Product,Cost),0)</f>
        <v>224368</v>
      </c>
      <c r="Q699">
        <f t="shared" si="53"/>
        <v>125034.40000000002</v>
      </c>
      <c r="R699" s="2">
        <f t="shared" si="54"/>
        <v>0.35785214984213048</v>
      </c>
    </row>
    <row r="700" spans="1:18" x14ac:dyDescent="0.3">
      <c r="A700" t="s">
        <v>757</v>
      </c>
      <c r="B700" s="1">
        <v>45313</v>
      </c>
      <c r="C700" t="s">
        <v>6</v>
      </c>
      <c r="D700" t="s">
        <v>69</v>
      </c>
      <c r="E700" t="s">
        <v>25</v>
      </c>
      <c r="F700" t="s">
        <v>24</v>
      </c>
      <c r="G700" t="str">
        <f>INDEX(Lookup_Tables!$B$1:$B$7,MATCH(Cleaned_Data!F700,Lookup_Tables!$A$1:$A$7,0))</f>
        <v>Electronics</v>
      </c>
      <c r="H700" t="s">
        <v>54</v>
      </c>
      <c r="I700">
        <v>8</v>
      </c>
      <c r="J700">
        <v>7517</v>
      </c>
      <c r="K700">
        <v>0.05</v>
      </c>
      <c r="L700">
        <f t="shared" si="50"/>
        <v>0.05</v>
      </c>
      <c r="N700">
        <f t="shared" si="51"/>
        <v>60136</v>
      </c>
      <c r="O700">
        <f t="shared" si="52"/>
        <v>57129.2</v>
      </c>
      <c r="P700">
        <f>I700*IFERROR(_xlfn.XLOOKUP(F700,Lookup_Tables!Product,Cost),0)</f>
        <v>224368</v>
      </c>
      <c r="Q700">
        <f t="shared" si="53"/>
        <v>-167238.79999999999</v>
      </c>
      <c r="R700" s="2">
        <f t="shared" si="54"/>
        <v>-2.9273786434957954</v>
      </c>
    </row>
    <row r="701" spans="1:18" x14ac:dyDescent="0.3">
      <c r="A701" t="s">
        <v>758</v>
      </c>
      <c r="B701" s="1">
        <v>45464</v>
      </c>
      <c r="C701" t="s">
        <v>3</v>
      </c>
      <c r="D701" t="s">
        <v>76</v>
      </c>
      <c r="E701" t="s">
        <v>25</v>
      </c>
      <c r="F701" t="s">
        <v>22</v>
      </c>
      <c r="G701" t="str">
        <f>INDEX(Lookup_Tables!$B$1:$B$7,MATCH(Cleaned_Data!F701,Lookup_Tables!$A$1:$A$7,0))</f>
        <v>Furniture</v>
      </c>
      <c r="H701" t="s">
        <v>51</v>
      </c>
      <c r="I701">
        <v>7</v>
      </c>
      <c r="J701">
        <v>31262</v>
      </c>
      <c r="L701">
        <f t="shared" si="50"/>
        <v>0</v>
      </c>
      <c r="M701">
        <v>10397</v>
      </c>
      <c r="N701">
        <f t="shared" si="51"/>
        <v>218834</v>
      </c>
      <c r="O701">
        <f t="shared" si="52"/>
        <v>218834</v>
      </c>
      <c r="P701">
        <f>I701*IFERROR(_xlfn.XLOOKUP(F701,Lookup_Tables!Product,Cost),0)</f>
        <v>91280</v>
      </c>
      <c r="Q701">
        <f t="shared" si="53"/>
        <v>127554</v>
      </c>
      <c r="R701" s="2">
        <f t="shared" si="54"/>
        <v>0.58288017401317893</v>
      </c>
    </row>
    <row r="702" spans="1:18" x14ac:dyDescent="0.3">
      <c r="A702" t="s">
        <v>759</v>
      </c>
      <c r="B702" s="1">
        <v>45522</v>
      </c>
      <c r="C702" t="s">
        <v>5</v>
      </c>
      <c r="D702" t="s">
        <v>69</v>
      </c>
      <c r="E702" t="s">
        <v>26</v>
      </c>
      <c r="F702" t="s">
        <v>24</v>
      </c>
      <c r="G702" t="str">
        <f>INDEX(Lookup_Tables!$B$1:$B$7,MATCH(Cleaned_Data!F702,Lookup_Tables!$A$1:$A$7,0))</f>
        <v>Electronics</v>
      </c>
      <c r="H702" t="s">
        <v>54</v>
      </c>
      <c r="I702">
        <v>4</v>
      </c>
      <c r="J702">
        <v>28211</v>
      </c>
      <c r="L702">
        <f t="shared" si="50"/>
        <v>0</v>
      </c>
      <c r="M702">
        <v>24400</v>
      </c>
      <c r="N702">
        <f t="shared" si="51"/>
        <v>112844</v>
      </c>
      <c r="O702">
        <f t="shared" si="52"/>
        <v>112844</v>
      </c>
      <c r="P702">
        <f>I702*IFERROR(_xlfn.XLOOKUP(F702,Lookup_Tables!Product,Cost),0)</f>
        <v>112184</v>
      </c>
      <c r="Q702">
        <f t="shared" si="53"/>
        <v>660</v>
      </c>
      <c r="R702" s="2">
        <f t="shared" si="54"/>
        <v>5.848782389847932E-3</v>
      </c>
    </row>
    <row r="703" spans="1:18" x14ac:dyDescent="0.3">
      <c r="A703" t="s">
        <v>760</v>
      </c>
      <c r="B703" s="1">
        <v>45611</v>
      </c>
      <c r="C703" t="s">
        <v>4</v>
      </c>
      <c r="D703" t="s">
        <v>76</v>
      </c>
      <c r="E703" t="s">
        <v>29</v>
      </c>
      <c r="F703" t="s">
        <v>50</v>
      </c>
      <c r="G703" t="str">
        <f>INDEX(Lookup_Tables!$B$1:$B$7,MATCH(Cleaned_Data!F703,Lookup_Tables!$A$1:$A$7,0))</f>
        <v>Furniture</v>
      </c>
      <c r="H703" t="s">
        <v>51</v>
      </c>
      <c r="I703">
        <v>6</v>
      </c>
      <c r="J703">
        <v>38479</v>
      </c>
      <c r="K703">
        <v>0.05</v>
      </c>
      <c r="L703">
        <f t="shared" si="50"/>
        <v>0.05</v>
      </c>
      <c r="N703">
        <f t="shared" si="51"/>
        <v>230874</v>
      </c>
      <c r="O703">
        <f t="shared" si="52"/>
        <v>219330.3</v>
      </c>
      <c r="P703">
        <f>I703*IFERROR(_xlfn.XLOOKUP(F703,Lookup_Tables!Product,Cost),0)</f>
        <v>79626</v>
      </c>
      <c r="Q703">
        <f t="shared" si="53"/>
        <v>139704.29999999999</v>
      </c>
      <c r="R703" s="2">
        <f t="shared" si="54"/>
        <v>0.6369585050492339</v>
      </c>
    </row>
    <row r="704" spans="1:18" x14ac:dyDescent="0.3">
      <c r="A704" t="s">
        <v>761</v>
      </c>
      <c r="B704" s="1">
        <v>45628</v>
      </c>
      <c r="C704" t="s">
        <v>6</v>
      </c>
      <c r="D704" t="s">
        <v>76</v>
      </c>
      <c r="E704" t="s">
        <v>29</v>
      </c>
      <c r="F704" t="s">
        <v>58</v>
      </c>
      <c r="G704" t="str">
        <f>INDEX(Lookup_Tables!$B$1:$B$7,MATCH(Cleaned_Data!F704,Lookup_Tables!$A$1:$A$7,0))</f>
        <v>Electronics</v>
      </c>
      <c r="H704" t="s">
        <v>54</v>
      </c>
      <c r="I704">
        <v>9</v>
      </c>
      <c r="J704">
        <v>14005</v>
      </c>
      <c r="L704">
        <f t="shared" si="50"/>
        <v>0</v>
      </c>
      <c r="N704">
        <f t="shared" si="51"/>
        <v>126045</v>
      </c>
      <c r="O704">
        <f t="shared" si="52"/>
        <v>126045</v>
      </c>
      <c r="P704">
        <f>I704*IFERROR(_xlfn.XLOOKUP(F704,Lookup_Tables!Product,Cost),0)</f>
        <v>25992</v>
      </c>
      <c r="Q704">
        <f t="shared" si="53"/>
        <v>100053</v>
      </c>
      <c r="R704" s="2">
        <f t="shared" si="54"/>
        <v>0.79378793288111393</v>
      </c>
    </row>
    <row r="705" spans="1:18" x14ac:dyDescent="0.3">
      <c r="A705" t="s">
        <v>762</v>
      </c>
      <c r="B705" s="1">
        <v>45349</v>
      </c>
      <c r="C705" t="s">
        <v>6</v>
      </c>
      <c r="D705" t="s">
        <v>64</v>
      </c>
      <c r="E705" t="s">
        <v>29</v>
      </c>
      <c r="F705" t="s">
        <v>24</v>
      </c>
      <c r="G705" t="str">
        <f>INDEX(Lookup_Tables!$B$1:$B$7,MATCH(Cleaned_Data!F705,Lookup_Tables!$A$1:$A$7,0))</f>
        <v>Electronics</v>
      </c>
      <c r="H705" t="s">
        <v>54</v>
      </c>
      <c r="I705">
        <v>7</v>
      </c>
      <c r="J705">
        <v>37424</v>
      </c>
      <c r="K705">
        <v>0.1</v>
      </c>
      <c r="L705">
        <f t="shared" si="50"/>
        <v>0.1</v>
      </c>
      <c r="M705">
        <v>10441</v>
      </c>
      <c r="N705">
        <f t="shared" si="51"/>
        <v>261968</v>
      </c>
      <c r="O705">
        <f t="shared" si="52"/>
        <v>235771.2</v>
      </c>
      <c r="P705">
        <f>I705*IFERROR(_xlfn.XLOOKUP(F705,Lookup_Tables!Product,Cost),0)</f>
        <v>196322</v>
      </c>
      <c r="Q705">
        <f t="shared" si="53"/>
        <v>39449.200000000012</v>
      </c>
      <c r="R705" s="2">
        <f t="shared" si="54"/>
        <v>0.16731984228777735</v>
      </c>
    </row>
    <row r="706" spans="1:18" x14ac:dyDescent="0.3">
      <c r="A706" t="s">
        <v>763</v>
      </c>
      <c r="B706" s="1">
        <v>45356</v>
      </c>
      <c r="C706" t="s">
        <v>4</v>
      </c>
      <c r="D706" t="s">
        <v>49</v>
      </c>
      <c r="E706" t="s">
        <v>25</v>
      </c>
      <c r="F706" t="s">
        <v>61</v>
      </c>
      <c r="G706" t="str">
        <f>INDEX(Lookup_Tables!$B$1:$B$7,MATCH(Cleaned_Data!F706,Lookup_Tables!$A$1:$A$7,0))</f>
        <v>Electronics</v>
      </c>
      <c r="H706" t="s">
        <v>54</v>
      </c>
      <c r="I706">
        <v>9</v>
      </c>
      <c r="J706">
        <v>27340</v>
      </c>
      <c r="K706">
        <v>0.05</v>
      </c>
      <c r="L706">
        <f t="shared" si="50"/>
        <v>0.05</v>
      </c>
      <c r="M706">
        <v>28882</v>
      </c>
      <c r="N706">
        <f t="shared" si="51"/>
        <v>246060</v>
      </c>
      <c r="O706">
        <f t="shared" si="52"/>
        <v>233757</v>
      </c>
      <c r="P706">
        <f>I706*IFERROR(_xlfn.XLOOKUP(F706,Lookup_Tables!Product,Cost),0)</f>
        <v>66456</v>
      </c>
      <c r="Q706">
        <f t="shared" si="53"/>
        <v>167301</v>
      </c>
      <c r="R706" s="2">
        <f t="shared" si="54"/>
        <v>0.71570477033842839</v>
      </c>
    </row>
    <row r="707" spans="1:18" x14ac:dyDescent="0.3">
      <c r="A707" t="s">
        <v>764</v>
      </c>
      <c r="B707" s="1">
        <v>45434</v>
      </c>
      <c r="C707" t="s">
        <v>6</v>
      </c>
      <c r="D707" t="s">
        <v>49</v>
      </c>
      <c r="E707" t="s">
        <v>26</v>
      </c>
      <c r="F707" t="s">
        <v>23</v>
      </c>
      <c r="G707" t="str">
        <f>INDEX(Lookup_Tables!$B$1:$B$7,MATCH(Cleaned_Data!F707,Lookup_Tables!$A$1:$A$7,0))</f>
        <v>Electronics</v>
      </c>
      <c r="H707" t="s">
        <v>54</v>
      </c>
      <c r="I707">
        <v>5</v>
      </c>
      <c r="J707">
        <v>28075</v>
      </c>
      <c r="K707">
        <v>0</v>
      </c>
      <c r="L707">
        <f t="shared" ref="L707:L770" si="55">IF(ISBLANK(K707),0,K707)</f>
        <v>0</v>
      </c>
      <c r="M707">
        <v>7707</v>
      </c>
      <c r="N707">
        <f t="shared" ref="N707:N770" si="56">I707*J707</f>
        <v>140375</v>
      </c>
      <c r="O707">
        <f t="shared" ref="O707:O770" si="57">N707-(N707*L707)</f>
        <v>140375</v>
      </c>
      <c r="P707">
        <f>I707*IFERROR(_xlfn.XLOOKUP(F707,Lookup_Tables!Product,Cost),0)</f>
        <v>96325</v>
      </c>
      <c r="Q707">
        <f t="shared" ref="Q707:Q770" si="58">O707-P707</f>
        <v>44050</v>
      </c>
      <c r="R707" s="2">
        <f t="shared" ref="R707:R770" si="59">Q707/O707</f>
        <v>0.31380231522707036</v>
      </c>
    </row>
    <row r="708" spans="1:18" x14ac:dyDescent="0.3">
      <c r="A708" t="s">
        <v>765</v>
      </c>
      <c r="B708" s="1">
        <v>45461</v>
      </c>
      <c r="C708" t="s">
        <v>3</v>
      </c>
      <c r="D708" t="s">
        <v>53</v>
      </c>
      <c r="E708" t="s">
        <v>27</v>
      </c>
      <c r="F708" t="s">
        <v>58</v>
      </c>
      <c r="G708" t="str">
        <f>INDEX(Lookup_Tables!$B$1:$B$7,MATCH(Cleaned_Data!F708,Lookup_Tables!$A$1:$A$7,0))</f>
        <v>Electronics</v>
      </c>
      <c r="H708" t="s">
        <v>54</v>
      </c>
      <c r="I708">
        <v>8</v>
      </c>
      <c r="J708">
        <v>45451</v>
      </c>
      <c r="L708">
        <f t="shared" si="55"/>
        <v>0</v>
      </c>
      <c r="N708">
        <f t="shared" si="56"/>
        <v>363608</v>
      </c>
      <c r="O708">
        <f t="shared" si="57"/>
        <v>363608</v>
      </c>
      <c r="P708">
        <f>I708*IFERROR(_xlfn.XLOOKUP(F708,Lookup_Tables!Product,Cost),0)</f>
        <v>23104</v>
      </c>
      <c r="Q708">
        <f t="shared" si="58"/>
        <v>340504</v>
      </c>
      <c r="R708" s="2">
        <f t="shared" si="59"/>
        <v>0.93645904380541678</v>
      </c>
    </row>
    <row r="709" spans="1:18" x14ac:dyDescent="0.3">
      <c r="A709" t="s">
        <v>766</v>
      </c>
      <c r="B709" s="1">
        <v>45613</v>
      </c>
      <c r="C709" t="s">
        <v>5</v>
      </c>
      <c r="D709" t="s">
        <v>49</v>
      </c>
      <c r="E709" t="s">
        <v>26</v>
      </c>
      <c r="F709" t="s">
        <v>58</v>
      </c>
      <c r="G709" t="str">
        <f>INDEX(Lookup_Tables!$B$1:$B$7,MATCH(Cleaned_Data!F709,Lookup_Tables!$A$1:$A$7,0))</f>
        <v>Electronics</v>
      </c>
      <c r="H709" t="s">
        <v>54</v>
      </c>
      <c r="I709">
        <v>4</v>
      </c>
      <c r="J709">
        <v>43914</v>
      </c>
      <c r="K709">
        <v>0</v>
      </c>
      <c r="L709">
        <f t="shared" si="55"/>
        <v>0</v>
      </c>
      <c r="M709">
        <v>2490</v>
      </c>
      <c r="N709">
        <f t="shared" si="56"/>
        <v>175656</v>
      </c>
      <c r="O709">
        <f t="shared" si="57"/>
        <v>175656</v>
      </c>
      <c r="P709">
        <f>I709*IFERROR(_xlfn.XLOOKUP(F709,Lookup_Tables!Product,Cost),0)</f>
        <v>11552</v>
      </c>
      <c r="Q709">
        <f t="shared" si="58"/>
        <v>164104</v>
      </c>
      <c r="R709" s="2">
        <f t="shared" si="59"/>
        <v>0.93423509586919884</v>
      </c>
    </row>
    <row r="710" spans="1:18" x14ac:dyDescent="0.3">
      <c r="A710" t="s">
        <v>767</v>
      </c>
      <c r="B710" s="1">
        <v>45505</v>
      </c>
      <c r="C710" t="s">
        <v>4</v>
      </c>
      <c r="D710" t="s">
        <v>64</v>
      </c>
      <c r="E710" t="s">
        <v>26</v>
      </c>
      <c r="F710" t="s">
        <v>58</v>
      </c>
      <c r="G710" t="str">
        <f>INDEX(Lookup_Tables!$B$1:$B$7,MATCH(Cleaned_Data!F710,Lookup_Tables!$A$1:$A$7,0))</f>
        <v>Electronics</v>
      </c>
      <c r="H710" t="s">
        <v>54</v>
      </c>
      <c r="I710">
        <v>10</v>
      </c>
      <c r="J710">
        <v>48039</v>
      </c>
      <c r="K710">
        <v>0.05</v>
      </c>
      <c r="L710">
        <f t="shared" si="55"/>
        <v>0.05</v>
      </c>
      <c r="M710">
        <v>13142</v>
      </c>
      <c r="N710">
        <f t="shared" si="56"/>
        <v>480390</v>
      </c>
      <c r="O710">
        <f t="shared" si="57"/>
        <v>456370.5</v>
      </c>
      <c r="P710">
        <f>I710*IFERROR(_xlfn.XLOOKUP(F710,Lookup_Tables!Product,Cost),0)</f>
        <v>28880</v>
      </c>
      <c r="Q710">
        <f t="shared" si="58"/>
        <v>427490.5</v>
      </c>
      <c r="R710" s="2">
        <f t="shared" si="59"/>
        <v>0.93671808322404715</v>
      </c>
    </row>
    <row r="711" spans="1:18" x14ac:dyDescent="0.3">
      <c r="A711" t="s">
        <v>768</v>
      </c>
      <c r="B711" s="1">
        <v>45389</v>
      </c>
      <c r="C711" t="s">
        <v>6</v>
      </c>
      <c r="D711" t="s">
        <v>76</v>
      </c>
      <c r="E711" t="s">
        <v>27</v>
      </c>
      <c r="F711" t="s">
        <v>24</v>
      </c>
      <c r="G711" t="str">
        <f>INDEX(Lookup_Tables!$B$1:$B$7,MATCH(Cleaned_Data!F711,Lookup_Tables!$A$1:$A$7,0))</f>
        <v>Electronics</v>
      </c>
      <c r="H711" t="s">
        <v>54</v>
      </c>
      <c r="I711">
        <v>1</v>
      </c>
      <c r="J711">
        <v>8580</v>
      </c>
      <c r="K711">
        <v>0.05</v>
      </c>
      <c r="L711">
        <f t="shared" si="55"/>
        <v>0.05</v>
      </c>
      <c r="M711">
        <v>876</v>
      </c>
      <c r="N711">
        <f t="shared" si="56"/>
        <v>8580</v>
      </c>
      <c r="O711">
        <f t="shared" si="57"/>
        <v>8151</v>
      </c>
      <c r="P711">
        <f>I711*IFERROR(_xlfn.XLOOKUP(F711,Lookup_Tables!Product,Cost),0)</f>
        <v>28046</v>
      </c>
      <c r="Q711">
        <f t="shared" si="58"/>
        <v>-19895</v>
      </c>
      <c r="R711" s="2">
        <f t="shared" si="59"/>
        <v>-2.4408048092258618</v>
      </c>
    </row>
    <row r="712" spans="1:18" x14ac:dyDescent="0.3">
      <c r="A712" t="s">
        <v>769</v>
      </c>
      <c r="B712" s="1">
        <v>45619</v>
      </c>
      <c r="C712" t="s">
        <v>4</v>
      </c>
      <c r="D712" t="s">
        <v>64</v>
      </c>
      <c r="E712" t="s">
        <v>27</v>
      </c>
      <c r="F712" t="s">
        <v>22</v>
      </c>
      <c r="G712" t="str">
        <f>INDEX(Lookup_Tables!$B$1:$B$7,MATCH(Cleaned_Data!F712,Lookup_Tables!$A$1:$A$7,0))</f>
        <v>Furniture</v>
      </c>
      <c r="H712" t="s">
        <v>51</v>
      </c>
      <c r="I712">
        <v>9</v>
      </c>
      <c r="J712">
        <v>49110</v>
      </c>
      <c r="L712">
        <f t="shared" si="55"/>
        <v>0</v>
      </c>
      <c r="M712">
        <v>21880</v>
      </c>
      <c r="N712">
        <f t="shared" si="56"/>
        <v>441990</v>
      </c>
      <c r="O712">
        <f t="shared" si="57"/>
        <v>441990</v>
      </c>
      <c r="P712">
        <f>I712*IFERROR(_xlfn.XLOOKUP(F712,Lookup_Tables!Product,Cost),0)</f>
        <v>117360</v>
      </c>
      <c r="Q712">
        <f t="shared" si="58"/>
        <v>324630</v>
      </c>
      <c r="R712" s="2">
        <f t="shared" si="59"/>
        <v>0.73447363062512727</v>
      </c>
    </row>
    <row r="713" spans="1:18" x14ac:dyDescent="0.3">
      <c r="A713" t="s">
        <v>770</v>
      </c>
      <c r="B713" s="1">
        <v>45503</v>
      </c>
      <c r="C713" t="s">
        <v>4</v>
      </c>
      <c r="D713" t="s">
        <v>64</v>
      </c>
      <c r="E713" t="s">
        <v>26</v>
      </c>
      <c r="F713" t="s">
        <v>24</v>
      </c>
      <c r="G713" t="str">
        <f>INDEX(Lookup_Tables!$B$1:$B$7,MATCH(Cleaned_Data!F713,Lookup_Tables!$A$1:$A$7,0))</f>
        <v>Electronics</v>
      </c>
      <c r="H713" t="s">
        <v>54</v>
      </c>
      <c r="I713">
        <v>3</v>
      </c>
      <c r="J713">
        <v>22762</v>
      </c>
      <c r="K713">
        <v>0.1</v>
      </c>
      <c r="L713">
        <f t="shared" si="55"/>
        <v>0.1</v>
      </c>
      <c r="M713">
        <v>4883</v>
      </c>
      <c r="N713">
        <f t="shared" si="56"/>
        <v>68286</v>
      </c>
      <c r="O713">
        <f t="shared" si="57"/>
        <v>61457.4</v>
      </c>
      <c r="P713">
        <f>I713*IFERROR(_xlfn.XLOOKUP(F713,Lookup_Tables!Product,Cost),0)</f>
        <v>84138</v>
      </c>
      <c r="Q713">
        <f t="shared" si="58"/>
        <v>-22680.6</v>
      </c>
      <c r="R713" s="2">
        <f t="shared" si="59"/>
        <v>-0.36904587567973912</v>
      </c>
    </row>
    <row r="714" spans="1:18" x14ac:dyDescent="0.3">
      <c r="A714" t="s">
        <v>771</v>
      </c>
      <c r="B714" s="1">
        <v>45447</v>
      </c>
      <c r="C714" t="s">
        <v>4</v>
      </c>
      <c r="D714" t="s">
        <v>76</v>
      </c>
      <c r="E714" t="s">
        <v>29</v>
      </c>
      <c r="F714" t="s">
        <v>50</v>
      </c>
      <c r="G714" t="str">
        <f>INDEX(Lookup_Tables!$B$1:$B$7,MATCH(Cleaned_Data!F714,Lookup_Tables!$A$1:$A$7,0))</f>
        <v>Furniture</v>
      </c>
      <c r="H714" t="s">
        <v>51</v>
      </c>
      <c r="I714">
        <v>1</v>
      </c>
      <c r="J714">
        <v>14124</v>
      </c>
      <c r="L714">
        <f t="shared" si="55"/>
        <v>0</v>
      </c>
      <c r="N714">
        <f t="shared" si="56"/>
        <v>14124</v>
      </c>
      <c r="O714">
        <f t="shared" si="57"/>
        <v>14124</v>
      </c>
      <c r="P714">
        <f>I714*IFERROR(_xlfn.XLOOKUP(F714,Lookup_Tables!Product,Cost),0)</f>
        <v>13271</v>
      </c>
      <c r="Q714">
        <f t="shared" si="58"/>
        <v>853</v>
      </c>
      <c r="R714" s="2">
        <f t="shared" si="59"/>
        <v>6.0393656188048712E-2</v>
      </c>
    </row>
    <row r="715" spans="1:18" x14ac:dyDescent="0.3">
      <c r="A715" t="s">
        <v>772</v>
      </c>
      <c r="B715" s="1">
        <v>45581</v>
      </c>
      <c r="C715" t="s">
        <v>4</v>
      </c>
      <c r="D715" t="s">
        <v>53</v>
      </c>
      <c r="E715" t="s">
        <v>27</v>
      </c>
      <c r="F715" t="s">
        <v>61</v>
      </c>
      <c r="G715" t="str">
        <f>INDEX(Lookup_Tables!$B$1:$B$7,MATCH(Cleaned_Data!F715,Lookup_Tables!$A$1:$A$7,0))</f>
        <v>Electronics</v>
      </c>
      <c r="H715" t="s">
        <v>54</v>
      </c>
      <c r="I715">
        <v>7</v>
      </c>
      <c r="J715">
        <v>31096</v>
      </c>
      <c r="K715">
        <v>0.05</v>
      </c>
      <c r="L715">
        <f t="shared" si="55"/>
        <v>0.05</v>
      </c>
      <c r="M715">
        <v>14137</v>
      </c>
      <c r="N715">
        <f t="shared" si="56"/>
        <v>217672</v>
      </c>
      <c r="O715">
        <f t="shared" si="57"/>
        <v>206788.4</v>
      </c>
      <c r="P715">
        <f>I715*IFERROR(_xlfn.XLOOKUP(F715,Lookup_Tables!Product,Cost),0)</f>
        <v>51688</v>
      </c>
      <c r="Q715">
        <f t="shared" si="58"/>
        <v>155100.4</v>
      </c>
      <c r="R715" s="2">
        <f t="shared" si="59"/>
        <v>0.75004400633691248</v>
      </c>
    </row>
    <row r="716" spans="1:18" x14ac:dyDescent="0.3">
      <c r="A716" t="s">
        <v>773</v>
      </c>
      <c r="B716" s="1">
        <v>45313</v>
      </c>
      <c r="C716" t="s">
        <v>6</v>
      </c>
      <c r="D716" t="s">
        <v>76</v>
      </c>
      <c r="E716" t="s">
        <v>27</v>
      </c>
      <c r="F716" t="s">
        <v>24</v>
      </c>
      <c r="G716" t="str">
        <f>INDEX(Lookup_Tables!$B$1:$B$7,MATCH(Cleaned_Data!F716,Lookup_Tables!$A$1:$A$7,0))</f>
        <v>Electronics</v>
      </c>
      <c r="H716" t="s">
        <v>54</v>
      </c>
      <c r="I716">
        <v>9</v>
      </c>
      <c r="J716">
        <v>47380</v>
      </c>
      <c r="K716">
        <v>0</v>
      </c>
      <c r="L716">
        <f t="shared" si="55"/>
        <v>0</v>
      </c>
      <c r="N716">
        <f t="shared" si="56"/>
        <v>426420</v>
      </c>
      <c r="O716">
        <f t="shared" si="57"/>
        <v>426420</v>
      </c>
      <c r="P716">
        <f>I716*IFERROR(_xlfn.XLOOKUP(F716,Lookup_Tables!Product,Cost),0)</f>
        <v>252414</v>
      </c>
      <c r="Q716">
        <f t="shared" si="58"/>
        <v>174006</v>
      </c>
      <c r="R716" s="2">
        <f t="shared" si="59"/>
        <v>0.40806247361756015</v>
      </c>
    </row>
    <row r="717" spans="1:18" x14ac:dyDescent="0.3">
      <c r="A717" t="s">
        <v>774</v>
      </c>
      <c r="B717" s="1">
        <v>45343</v>
      </c>
      <c r="C717" t="s">
        <v>5</v>
      </c>
      <c r="D717" t="s">
        <v>69</v>
      </c>
      <c r="E717" t="s">
        <v>27</v>
      </c>
      <c r="F717" t="s">
        <v>50</v>
      </c>
      <c r="G717" t="str">
        <f>INDEX(Lookup_Tables!$B$1:$B$7,MATCH(Cleaned_Data!F717,Lookup_Tables!$A$1:$A$7,0))</f>
        <v>Furniture</v>
      </c>
      <c r="H717" t="s">
        <v>51</v>
      </c>
      <c r="I717">
        <v>5</v>
      </c>
      <c r="J717">
        <v>37779</v>
      </c>
      <c r="K717">
        <v>0.1</v>
      </c>
      <c r="L717">
        <f t="shared" si="55"/>
        <v>0.1</v>
      </c>
      <c r="N717">
        <f t="shared" si="56"/>
        <v>188895</v>
      </c>
      <c r="O717">
        <f t="shared" si="57"/>
        <v>170005.5</v>
      </c>
      <c r="P717">
        <f>I717*IFERROR(_xlfn.XLOOKUP(F717,Lookup_Tables!Product,Cost),0)</f>
        <v>66355</v>
      </c>
      <c r="Q717">
        <f t="shared" si="58"/>
        <v>103650.5</v>
      </c>
      <c r="R717" s="2">
        <f t="shared" si="59"/>
        <v>0.60968909829387874</v>
      </c>
    </row>
    <row r="718" spans="1:18" x14ac:dyDescent="0.3">
      <c r="A718" t="s">
        <v>775</v>
      </c>
      <c r="B718" s="1">
        <v>45356</v>
      </c>
      <c r="C718" t="s">
        <v>6</v>
      </c>
      <c r="D718" t="s">
        <v>49</v>
      </c>
      <c r="E718" t="s">
        <v>27</v>
      </c>
      <c r="F718" t="s">
        <v>23</v>
      </c>
      <c r="G718" t="str">
        <f>INDEX(Lookup_Tables!$B$1:$B$7,MATCH(Cleaned_Data!F718,Lookup_Tables!$A$1:$A$7,0))</f>
        <v>Electronics</v>
      </c>
      <c r="H718" t="s">
        <v>54</v>
      </c>
      <c r="I718">
        <v>10</v>
      </c>
      <c r="J718">
        <v>29831</v>
      </c>
      <c r="K718">
        <v>0.05</v>
      </c>
      <c r="L718">
        <f t="shared" si="55"/>
        <v>0.05</v>
      </c>
      <c r="M718">
        <v>16276</v>
      </c>
      <c r="N718">
        <f t="shared" si="56"/>
        <v>298310</v>
      </c>
      <c r="O718">
        <f t="shared" si="57"/>
        <v>283394.5</v>
      </c>
      <c r="P718">
        <f>I718*IFERROR(_xlfn.XLOOKUP(F718,Lookup_Tables!Product,Cost),0)</f>
        <v>192650</v>
      </c>
      <c r="Q718">
        <f t="shared" si="58"/>
        <v>90744.5</v>
      </c>
      <c r="R718" s="2">
        <f t="shared" si="59"/>
        <v>0.32020557914850145</v>
      </c>
    </row>
    <row r="719" spans="1:18" x14ac:dyDescent="0.3">
      <c r="A719" t="s">
        <v>776</v>
      </c>
      <c r="B719" s="1">
        <v>45643</v>
      </c>
      <c r="C719" t="s">
        <v>3</v>
      </c>
      <c r="D719" t="s">
        <v>76</v>
      </c>
      <c r="E719" t="s">
        <v>26</v>
      </c>
      <c r="F719" t="s">
        <v>23</v>
      </c>
      <c r="G719" t="str">
        <f>INDEX(Lookup_Tables!$B$1:$B$7,MATCH(Cleaned_Data!F719,Lookup_Tables!$A$1:$A$7,0))</f>
        <v>Electronics</v>
      </c>
      <c r="H719" t="s">
        <v>54</v>
      </c>
      <c r="I719">
        <v>10</v>
      </c>
      <c r="J719">
        <v>43930</v>
      </c>
      <c r="K719">
        <v>0.05</v>
      </c>
      <c r="L719">
        <f t="shared" si="55"/>
        <v>0.05</v>
      </c>
      <c r="M719">
        <v>811</v>
      </c>
      <c r="N719">
        <f t="shared" si="56"/>
        <v>439300</v>
      </c>
      <c r="O719">
        <f t="shared" si="57"/>
        <v>417335</v>
      </c>
      <c r="P719">
        <f>I719*IFERROR(_xlfn.XLOOKUP(F719,Lookup_Tables!Product,Cost),0)</f>
        <v>192650</v>
      </c>
      <c r="Q719">
        <f t="shared" si="58"/>
        <v>224685</v>
      </c>
      <c r="R719" s="2">
        <f t="shared" si="59"/>
        <v>0.53838043777780442</v>
      </c>
    </row>
    <row r="720" spans="1:18" x14ac:dyDescent="0.3">
      <c r="A720" t="s">
        <v>777</v>
      </c>
      <c r="B720" s="1">
        <v>45465</v>
      </c>
      <c r="C720" t="s">
        <v>3</v>
      </c>
      <c r="D720" t="s">
        <v>49</v>
      </c>
      <c r="E720" t="s">
        <v>28</v>
      </c>
      <c r="F720" t="s">
        <v>50</v>
      </c>
      <c r="G720" t="str">
        <f>INDEX(Lookup_Tables!$B$1:$B$7,MATCH(Cleaned_Data!F720,Lookup_Tables!$A$1:$A$7,0))</f>
        <v>Furniture</v>
      </c>
      <c r="H720" t="s">
        <v>51</v>
      </c>
      <c r="I720">
        <v>4</v>
      </c>
      <c r="J720">
        <v>25445</v>
      </c>
      <c r="L720">
        <f t="shared" si="55"/>
        <v>0</v>
      </c>
      <c r="M720">
        <v>27335</v>
      </c>
      <c r="N720">
        <f t="shared" si="56"/>
        <v>101780</v>
      </c>
      <c r="O720">
        <f t="shared" si="57"/>
        <v>101780</v>
      </c>
      <c r="P720">
        <f>I720*IFERROR(_xlfn.XLOOKUP(F720,Lookup_Tables!Product,Cost),0)</f>
        <v>53084</v>
      </c>
      <c r="Q720">
        <f t="shared" si="58"/>
        <v>48696</v>
      </c>
      <c r="R720" s="2">
        <f t="shared" si="59"/>
        <v>0.4784437021025742</v>
      </c>
    </row>
    <row r="721" spans="1:18" x14ac:dyDescent="0.3">
      <c r="A721" t="s">
        <v>778</v>
      </c>
      <c r="B721" s="1">
        <v>45517</v>
      </c>
      <c r="C721" t="s">
        <v>3</v>
      </c>
      <c r="D721" t="s">
        <v>76</v>
      </c>
      <c r="E721" t="s">
        <v>27</v>
      </c>
      <c r="F721" t="s">
        <v>22</v>
      </c>
      <c r="G721" t="str">
        <f>INDEX(Lookup_Tables!$B$1:$B$7,MATCH(Cleaned_Data!F721,Lookup_Tables!$A$1:$A$7,0))</f>
        <v>Furniture</v>
      </c>
      <c r="H721" t="s">
        <v>51</v>
      </c>
      <c r="I721">
        <v>2</v>
      </c>
      <c r="J721">
        <v>49359</v>
      </c>
      <c r="K721">
        <v>0</v>
      </c>
      <c r="L721">
        <f t="shared" si="55"/>
        <v>0</v>
      </c>
      <c r="M721">
        <v>8922</v>
      </c>
      <c r="N721">
        <f t="shared" si="56"/>
        <v>98718</v>
      </c>
      <c r="O721">
        <f t="shared" si="57"/>
        <v>98718</v>
      </c>
      <c r="P721">
        <f>I721*IFERROR(_xlfn.XLOOKUP(F721,Lookup_Tables!Product,Cost),0)</f>
        <v>26080</v>
      </c>
      <c r="Q721">
        <f t="shared" si="58"/>
        <v>72638</v>
      </c>
      <c r="R721" s="2">
        <f t="shared" si="59"/>
        <v>0.73581312425292245</v>
      </c>
    </row>
    <row r="722" spans="1:18" x14ac:dyDescent="0.3">
      <c r="A722" t="s">
        <v>779</v>
      </c>
      <c r="B722" s="1">
        <v>45325</v>
      </c>
      <c r="C722" t="s">
        <v>3</v>
      </c>
      <c r="D722" t="s">
        <v>76</v>
      </c>
      <c r="E722" t="s">
        <v>26</v>
      </c>
      <c r="F722" t="s">
        <v>61</v>
      </c>
      <c r="G722" t="str">
        <f>INDEX(Lookup_Tables!$B$1:$B$7,MATCH(Cleaned_Data!F722,Lookup_Tables!$A$1:$A$7,0))</f>
        <v>Electronics</v>
      </c>
      <c r="H722" t="s">
        <v>54</v>
      </c>
      <c r="I722">
        <v>8</v>
      </c>
      <c r="J722">
        <v>16854</v>
      </c>
      <c r="L722">
        <f t="shared" si="55"/>
        <v>0</v>
      </c>
      <c r="M722">
        <v>3772</v>
      </c>
      <c r="N722">
        <f t="shared" si="56"/>
        <v>134832</v>
      </c>
      <c r="O722">
        <f t="shared" si="57"/>
        <v>134832</v>
      </c>
      <c r="P722">
        <f>I722*IFERROR(_xlfn.XLOOKUP(F722,Lookup_Tables!Product,Cost),0)</f>
        <v>59072</v>
      </c>
      <c r="Q722">
        <f t="shared" si="58"/>
        <v>75760</v>
      </c>
      <c r="R722" s="2">
        <f t="shared" si="59"/>
        <v>0.56188441912899012</v>
      </c>
    </row>
    <row r="723" spans="1:18" x14ac:dyDescent="0.3">
      <c r="A723" t="s">
        <v>780</v>
      </c>
      <c r="B723" s="1">
        <v>45395</v>
      </c>
      <c r="C723" t="s">
        <v>3</v>
      </c>
      <c r="D723" t="s">
        <v>53</v>
      </c>
      <c r="E723" t="s">
        <v>25</v>
      </c>
      <c r="F723" t="s">
        <v>22</v>
      </c>
      <c r="G723" t="str">
        <f>INDEX(Lookup_Tables!$B$1:$B$7,MATCH(Cleaned_Data!F723,Lookup_Tables!$A$1:$A$7,0))</f>
        <v>Furniture</v>
      </c>
      <c r="H723" t="s">
        <v>51</v>
      </c>
      <c r="I723">
        <v>9</v>
      </c>
      <c r="J723">
        <v>3440</v>
      </c>
      <c r="K723">
        <v>0</v>
      </c>
      <c r="L723">
        <f t="shared" si="55"/>
        <v>0</v>
      </c>
      <c r="M723">
        <v>16932</v>
      </c>
      <c r="N723">
        <f t="shared" si="56"/>
        <v>30960</v>
      </c>
      <c r="O723">
        <f t="shared" si="57"/>
        <v>30960</v>
      </c>
      <c r="P723">
        <f>I723*IFERROR(_xlfn.XLOOKUP(F723,Lookup_Tables!Product,Cost),0)</f>
        <v>117360</v>
      </c>
      <c r="Q723">
        <f t="shared" si="58"/>
        <v>-86400</v>
      </c>
      <c r="R723" s="2">
        <f t="shared" si="59"/>
        <v>-2.7906976744186047</v>
      </c>
    </row>
    <row r="724" spans="1:18" x14ac:dyDescent="0.3">
      <c r="A724" t="s">
        <v>781</v>
      </c>
      <c r="B724" s="1">
        <v>45581</v>
      </c>
      <c r="C724" t="s">
        <v>4</v>
      </c>
      <c r="D724" t="s">
        <v>53</v>
      </c>
      <c r="E724" t="s">
        <v>29</v>
      </c>
      <c r="F724" t="s">
        <v>61</v>
      </c>
      <c r="G724" t="str">
        <f>INDEX(Lookup_Tables!$B$1:$B$7,MATCH(Cleaned_Data!F724,Lookup_Tables!$A$1:$A$7,0))</f>
        <v>Electronics</v>
      </c>
      <c r="H724" t="s">
        <v>54</v>
      </c>
      <c r="I724">
        <v>5</v>
      </c>
      <c r="J724">
        <v>11162</v>
      </c>
      <c r="K724">
        <v>0.1</v>
      </c>
      <c r="L724">
        <f t="shared" si="55"/>
        <v>0.1</v>
      </c>
      <c r="N724">
        <f t="shared" si="56"/>
        <v>55810</v>
      </c>
      <c r="O724">
        <f t="shared" si="57"/>
        <v>50229</v>
      </c>
      <c r="P724">
        <f>I724*IFERROR(_xlfn.XLOOKUP(F724,Lookup_Tables!Product,Cost),0)</f>
        <v>36920</v>
      </c>
      <c r="Q724">
        <f t="shared" si="58"/>
        <v>13309</v>
      </c>
      <c r="R724" s="2">
        <f t="shared" si="59"/>
        <v>0.26496645364231819</v>
      </c>
    </row>
    <row r="725" spans="1:18" x14ac:dyDescent="0.3">
      <c r="A725" t="s">
        <v>782</v>
      </c>
      <c r="B725" s="1">
        <v>45484</v>
      </c>
      <c r="C725" t="s">
        <v>3</v>
      </c>
      <c r="D725" t="s">
        <v>53</v>
      </c>
      <c r="E725" t="s">
        <v>25</v>
      </c>
      <c r="F725" t="s">
        <v>22</v>
      </c>
      <c r="G725" t="str">
        <f>INDEX(Lookup_Tables!$B$1:$B$7,MATCH(Cleaned_Data!F725,Lookup_Tables!$A$1:$A$7,0))</f>
        <v>Furniture</v>
      </c>
      <c r="H725" t="s">
        <v>51</v>
      </c>
      <c r="I725">
        <v>8</v>
      </c>
      <c r="J725">
        <v>3753</v>
      </c>
      <c r="L725">
        <f t="shared" si="55"/>
        <v>0</v>
      </c>
      <c r="N725">
        <f t="shared" si="56"/>
        <v>30024</v>
      </c>
      <c r="O725">
        <f t="shared" si="57"/>
        <v>30024</v>
      </c>
      <c r="P725">
        <f>I725*IFERROR(_xlfn.XLOOKUP(F725,Lookup_Tables!Product,Cost),0)</f>
        <v>104320</v>
      </c>
      <c r="Q725">
        <f t="shared" si="58"/>
        <v>-74296</v>
      </c>
      <c r="R725" s="2">
        <f t="shared" si="59"/>
        <v>-2.4745536903810286</v>
      </c>
    </row>
    <row r="726" spans="1:18" x14ac:dyDescent="0.3">
      <c r="A726" t="s">
        <v>783</v>
      </c>
      <c r="B726" s="1">
        <v>45630</v>
      </c>
      <c r="C726" t="s">
        <v>6</v>
      </c>
      <c r="D726" t="s">
        <v>69</v>
      </c>
      <c r="E726" t="s">
        <v>28</v>
      </c>
      <c r="F726" t="s">
        <v>24</v>
      </c>
      <c r="G726" t="str">
        <f>INDEX(Lookup_Tables!$B$1:$B$7,MATCH(Cleaned_Data!F726,Lookup_Tables!$A$1:$A$7,0))</f>
        <v>Electronics</v>
      </c>
      <c r="H726" t="s">
        <v>54</v>
      </c>
      <c r="I726">
        <v>3</v>
      </c>
      <c r="J726">
        <v>28854</v>
      </c>
      <c r="K726">
        <v>0.1</v>
      </c>
      <c r="L726">
        <f t="shared" si="55"/>
        <v>0.1</v>
      </c>
      <c r="N726">
        <f t="shared" si="56"/>
        <v>86562</v>
      </c>
      <c r="O726">
        <f t="shared" si="57"/>
        <v>77905.8</v>
      </c>
      <c r="P726">
        <f>I726*IFERROR(_xlfn.XLOOKUP(F726,Lookup_Tables!Product,Cost),0)</f>
        <v>84138</v>
      </c>
      <c r="Q726">
        <f t="shared" si="58"/>
        <v>-6232.1999999999971</v>
      </c>
      <c r="R726" s="2">
        <f t="shared" si="59"/>
        <v>-7.9996611292098882E-2</v>
      </c>
    </row>
    <row r="727" spans="1:18" x14ac:dyDescent="0.3">
      <c r="A727" t="s">
        <v>784</v>
      </c>
      <c r="B727" s="1">
        <v>45486</v>
      </c>
      <c r="C727" t="s">
        <v>4</v>
      </c>
      <c r="D727" t="s">
        <v>69</v>
      </c>
      <c r="E727" t="s">
        <v>29</v>
      </c>
      <c r="F727" t="s">
        <v>61</v>
      </c>
      <c r="G727" t="str">
        <f>INDEX(Lookup_Tables!$B$1:$B$7,MATCH(Cleaned_Data!F727,Lookup_Tables!$A$1:$A$7,0))</f>
        <v>Electronics</v>
      </c>
      <c r="H727" t="s">
        <v>54</v>
      </c>
      <c r="I727">
        <v>2</v>
      </c>
      <c r="J727">
        <v>9628</v>
      </c>
      <c r="K727">
        <v>0.1</v>
      </c>
      <c r="L727">
        <f t="shared" si="55"/>
        <v>0.1</v>
      </c>
      <c r="N727">
        <f t="shared" si="56"/>
        <v>19256</v>
      </c>
      <c r="O727">
        <f t="shared" si="57"/>
        <v>17330.400000000001</v>
      </c>
      <c r="P727">
        <f>I727*IFERROR(_xlfn.XLOOKUP(F727,Lookup_Tables!Product,Cost),0)</f>
        <v>14768</v>
      </c>
      <c r="Q727">
        <f t="shared" si="58"/>
        <v>2562.4000000000015</v>
      </c>
      <c r="R727" s="2">
        <f t="shared" si="59"/>
        <v>0.14785579098001209</v>
      </c>
    </row>
    <row r="728" spans="1:18" x14ac:dyDescent="0.3">
      <c r="A728" t="s">
        <v>785</v>
      </c>
      <c r="B728" s="1">
        <v>45314</v>
      </c>
      <c r="C728" t="s">
        <v>3</v>
      </c>
      <c r="D728" t="s">
        <v>56</v>
      </c>
      <c r="E728" t="s">
        <v>27</v>
      </c>
      <c r="F728" t="s">
        <v>58</v>
      </c>
      <c r="G728" t="str">
        <f>INDEX(Lookup_Tables!$B$1:$B$7,MATCH(Cleaned_Data!F728,Lookup_Tables!$A$1:$A$7,0))</f>
        <v>Electronics</v>
      </c>
      <c r="H728" t="s">
        <v>54</v>
      </c>
      <c r="I728">
        <v>4</v>
      </c>
      <c r="J728">
        <v>19288</v>
      </c>
      <c r="K728">
        <v>0.05</v>
      </c>
      <c r="L728">
        <f t="shared" si="55"/>
        <v>0.05</v>
      </c>
      <c r="N728">
        <f t="shared" si="56"/>
        <v>77152</v>
      </c>
      <c r="O728">
        <f t="shared" si="57"/>
        <v>73294.399999999994</v>
      </c>
      <c r="P728">
        <f>I728*IFERROR(_xlfn.XLOOKUP(F728,Lookup_Tables!Product,Cost),0)</f>
        <v>11552</v>
      </c>
      <c r="Q728">
        <f t="shared" si="58"/>
        <v>61742.399999999994</v>
      </c>
      <c r="R728" s="2">
        <f t="shared" si="59"/>
        <v>0.84238905018664456</v>
      </c>
    </row>
    <row r="729" spans="1:18" x14ac:dyDescent="0.3">
      <c r="A729" t="s">
        <v>786</v>
      </c>
      <c r="B729" s="1">
        <v>45439</v>
      </c>
      <c r="C729" t="s">
        <v>3</v>
      </c>
      <c r="D729" t="s">
        <v>53</v>
      </c>
      <c r="E729" t="s">
        <v>28</v>
      </c>
      <c r="F729" t="s">
        <v>61</v>
      </c>
      <c r="G729" t="str">
        <f>INDEX(Lookup_Tables!$B$1:$B$7,MATCH(Cleaned_Data!F729,Lookup_Tables!$A$1:$A$7,0))</f>
        <v>Electronics</v>
      </c>
      <c r="H729" t="s">
        <v>54</v>
      </c>
      <c r="I729">
        <v>9</v>
      </c>
      <c r="J729">
        <v>16078</v>
      </c>
      <c r="K729">
        <v>0.1</v>
      </c>
      <c r="L729">
        <f t="shared" si="55"/>
        <v>0.1</v>
      </c>
      <c r="M729">
        <v>14851</v>
      </c>
      <c r="N729">
        <f t="shared" si="56"/>
        <v>144702</v>
      </c>
      <c r="O729">
        <f t="shared" si="57"/>
        <v>130231.8</v>
      </c>
      <c r="P729">
        <f>I729*IFERROR(_xlfn.XLOOKUP(F729,Lookup_Tables!Product,Cost),0)</f>
        <v>66456</v>
      </c>
      <c r="Q729">
        <f t="shared" si="58"/>
        <v>63775.8</v>
      </c>
      <c r="R729" s="2">
        <f t="shared" si="59"/>
        <v>0.48970988652541086</v>
      </c>
    </row>
    <row r="730" spans="1:18" x14ac:dyDescent="0.3">
      <c r="A730" t="s">
        <v>787</v>
      </c>
      <c r="B730" s="1">
        <v>45423</v>
      </c>
      <c r="C730" t="s">
        <v>6</v>
      </c>
      <c r="D730" t="s">
        <v>56</v>
      </c>
      <c r="E730" t="s">
        <v>26</v>
      </c>
      <c r="F730" t="s">
        <v>22</v>
      </c>
      <c r="G730" t="str">
        <f>INDEX(Lookup_Tables!$B$1:$B$7,MATCH(Cleaned_Data!F730,Lookup_Tables!$A$1:$A$7,0))</f>
        <v>Furniture</v>
      </c>
      <c r="H730" t="s">
        <v>51</v>
      </c>
      <c r="I730">
        <v>8</v>
      </c>
      <c r="J730">
        <v>47249</v>
      </c>
      <c r="L730">
        <f t="shared" si="55"/>
        <v>0</v>
      </c>
      <c r="M730">
        <v>12629</v>
      </c>
      <c r="N730">
        <f t="shared" si="56"/>
        <v>377992</v>
      </c>
      <c r="O730">
        <f t="shared" si="57"/>
        <v>377992</v>
      </c>
      <c r="P730">
        <f>I730*IFERROR(_xlfn.XLOOKUP(F730,Lookup_Tables!Product,Cost),0)</f>
        <v>104320</v>
      </c>
      <c r="Q730">
        <f t="shared" si="58"/>
        <v>273672</v>
      </c>
      <c r="R730" s="2">
        <f t="shared" si="59"/>
        <v>0.72401532307562066</v>
      </c>
    </row>
    <row r="731" spans="1:18" x14ac:dyDescent="0.3">
      <c r="A731" t="s">
        <v>788</v>
      </c>
      <c r="B731" s="1">
        <v>45569</v>
      </c>
      <c r="C731" t="s">
        <v>5</v>
      </c>
      <c r="D731" t="s">
        <v>56</v>
      </c>
      <c r="E731" t="s">
        <v>29</v>
      </c>
      <c r="F731" t="s">
        <v>58</v>
      </c>
      <c r="G731" t="str">
        <f>INDEX(Lookup_Tables!$B$1:$B$7,MATCH(Cleaned_Data!F731,Lookup_Tables!$A$1:$A$7,0))</f>
        <v>Electronics</v>
      </c>
      <c r="H731" t="s">
        <v>54</v>
      </c>
      <c r="I731">
        <v>3</v>
      </c>
      <c r="J731">
        <v>23956</v>
      </c>
      <c r="L731">
        <f t="shared" si="55"/>
        <v>0</v>
      </c>
      <c r="M731">
        <v>9892</v>
      </c>
      <c r="N731">
        <f t="shared" si="56"/>
        <v>71868</v>
      </c>
      <c r="O731">
        <f t="shared" si="57"/>
        <v>71868</v>
      </c>
      <c r="P731">
        <f>I731*IFERROR(_xlfn.XLOOKUP(F731,Lookup_Tables!Product,Cost),0)</f>
        <v>8664</v>
      </c>
      <c r="Q731">
        <f t="shared" si="58"/>
        <v>63204</v>
      </c>
      <c r="R731" s="2">
        <f t="shared" si="59"/>
        <v>0.87944565035899147</v>
      </c>
    </row>
    <row r="732" spans="1:18" x14ac:dyDescent="0.3">
      <c r="A732" t="s">
        <v>789</v>
      </c>
      <c r="B732" s="1">
        <v>45614</v>
      </c>
      <c r="C732" t="s">
        <v>6</v>
      </c>
      <c r="D732" t="s">
        <v>76</v>
      </c>
      <c r="E732" t="s">
        <v>28</v>
      </c>
      <c r="F732" t="s">
        <v>22</v>
      </c>
      <c r="G732" t="str">
        <f>INDEX(Lookup_Tables!$B$1:$B$7,MATCH(Cleaned_Data!F732,Lookup_Tables!$A$1:$A$7,0))</f>
        <v>Furniture</v>
      </c>
      <c r="H732" t="s">
        <v>51</v>
      </c>
      <c r="I732">
        <v>3</v>
      </c>
      <c r="J732">
        <v>27927</v>
      </c>
      <c r="K732">
        <v>0</v>
      </c>
      <c r="L732">
        <f t="shared" si="55"/>
        <v>0</v>
      </c>
      <c r="N732">
        <f t="shared" si="56"/>
        <v>83781</v>
      </c>
      <c r="O732">
        <f t="shared" si="57"/>
        <v>83781</v>
      </c>
      <c r="P732">
        <f>I732*IFERROR(_xlfn.XLOOKUP(F732,Lookup_Tables!Product,Cost),0)</f>
        <v>39120</v>
      </c>
      <c r="Q732">
        <f t="shared" si="58"/>
        <v>44661</v>
      </c>
      <c r="R732" s="2">
        <f t="shared" si="59"/>
        <v>0.53306835678733844</v>
      </c>
    </row>
    <row r="733" spans="1:18" x14ac:dyDescent="0.3">
      <c r="A733" t="s">
        <v>790</v>
      </c>
      <c r="B733" s="1">
        <v>45648</v>
      </c>
      <c r="C733" t="s">
        <v>6</v>
      </c>
      <c r="D733" t="s">
        <v>56</v>
      </c>
      <c r="E733" t="s">
        <v>29</v>
      </c>
      <c r="F733" t="s">
        <v>22</v>
      </c>
      <c r="G733" t="str">
        <f>INDEX(Lookup_Tables!$B$1:$B$7,MATCH(Cleaned_Data!F733,Lookup_Tables!$A$1:$A$7,0))</f>
        <v>Furniture</v>
      </c>
      <c r="H733" t="s">
        <v>51</v>
      </c>
      <c r="I733">
        <v>9</v>
      </c>
      <c r="J733">
        <v>48289</v>
      </c>
      <c r="K733">
        <v>0.1</v>
      </c>
      <c r="L733">
        <f t="shared" si="55"/>
        <v>0.1</v>
      </c>
      <c r="N733">
        <f t="shared" si="56"/>
        <v>434601</v>
      </c>
      <c r="O733">
        <f t="shared" si="57"/>
        <v>391140.9</v>
      </c>
      <c r="P733">
        <f>I733*IFERROR(_xlfn.XLOOKUP(F733,Lookup_Tables!Product,Cost),0)</f>
        <v>117360</v>
      </c>
      <c r="Q733">
        <f t="shared" si="58"/>
        <v>273780.90000000002</v>
      </c>
      <c r="R733" s="2">
        <f t="shared" si="59"/>
        <v>0.69995467106610432</v>
      </c>
    </row>
    <row r="734" spans="1:18" x14ac:dyDescent="0.3">
      <c r="A734" t="s">
        <v>791</v>
      </c>
      <c r="B734" s="1">
        <v>45549</v>
      </c>
      <c r="C734" t="s">
        <v>3</v>
      </c>
      <c r="D734" t="s">
        <v>69</v>
      </c>
      <c r="E734" t="s">
        <v>25</v>
      </c>
      <c r="F734" t="s">
        <v>24</v>
      </c>
      <c r="G734" t="str">
        <f>INDEX(Lookup_Tables!$B$1:$B$7,MATCH(Cleaned_Data!F734,Lookup_Tables!$A$1:$A$7,0))</f>
        <v>Electronics</v>
      </c>
      <c r="H734" t="s">
        <v>54</v>
      </c>
      <c r="I734">
        <v>7</v>
      </c>
      <c r="J734">
        <v>8244</v>
      </c>
      <c r="K734">
        <v>0</v>
      </c>
      <c r="L734">
        <f t="shared" si="55"/>
        <v>0</v>
      </c>
      <c r="M734">
        <v>8482</v>
      </c>
      <c r="N734">
        <f t="shared" si="56"/>
        <v>57708</v>
      </c>
      <c r="O734">
        <f t="shared" si="57"/>
        <v>57708</v>
      </c>
      <c r="P734">
        <f>I734*IFERROR(_xlfn.XLOOKUP(F734,Lookup_Tables!Product,Cost),0)</f>
        <v>196322</v>
      </c>
      <c r="Q734">
        <f t="shared" si="58"/>
        <v>-138614</v>
      </c>
      <c r="R734" s="2">
        <f t="shared" si="59"/>
        <v>-2.4019893255701117</v>
      </c>
    </row>
    <row r="735" spans="1:18" x14ac:dyDescent="0.3">
      <c r="A735" t="s">
        <v>792</v>
      </c>
      <c r="B735" s="1">
        <v>45429</v>
      </c>
      <c r="C735" t="s">
        <v>4</v>
      </c>
      <c r="D735" t="s">
        <v>49</v>
      </c>
      <c r="E735" t="s">
        <v>27</v>
      </c>
      <c r="F735" t="s">
        <v>23</v>
      </c>
      <c r="G735" t="str">
        <f>INDEX(Lookup_Tables!$B$1:$B$7,MATCH(Cleaned_Data!F735,Lookup_Tables!$A$1:$A$7,0))</f>
        <v>Electronics</v>
      </c>
      <c r="H735" t="s">
        <v>54</v>
      </c>
      <c r="I735">
        <v>6</v>
      </c>
      <c r="J735">
        <v>36957</v>
      </c>
      <c r="K735">
        <v>0</v>
      </c>
      <c r="L735">
        <f t="shared" si="55"/>
        <v>0</v>
      </c>
      <c r="M735">
        <v>364</v>
      </c>
      <c r="N735">
        <f t="shared" si="56"/>
        <v>221742</v>
      </c>
      <c r="O735">
        <f t="shared" si="57"/>
        <v>221742</v>
      </c>
      <c r="P735">
        <f>I735*IFERROR(_xlfn.XLOOKUP(F735,Lookup_Tables!Product,Cost),0)</f>
        <v>115590</v>
      </c>
      <c r="Q735">
        <f t="shared" si="58"/>
        <v>106152</v>
      </c>
      <c r="R735" s="2">
        <f t="shared" si="59"/>
        <v>0.47871851070162619</v>
      </c>
    </row>
    <row r="736" spans="1:18" x14ac:dyDescent="0.3">
      <c r="A736" t="s">
        <v>793</v>
      </c>
      <c r="B736" s="1">
        <v>45370</v>
      </c>
      <c r="C736" t="s">
        <v>3</v>
      </c>
      <c r="D736" t="s">
        <v>64</v>
      </c>
      <c r="E736" t="s">
        <v>25</v>
      </c>
      <c r="F736" t="s">
        <v>24</v>
      </c>
      <c r="G736" t="str">
        <f>INDEX(Lookup_Tables!$B$1:$B$7,MATCH(Cleaned_Data!F736,Lookup_Tables!$A$1:$A$7,0))</f>
        <v>Electronics</v>
      </c>
      <c r="H736" t="s">
        <v>54</v>
      </c>
      <c r="I736">
        <v>5</v>
      </c>
      <c r="J736">
        <v>12291</v>
      </c>
      <c r="K736">
        <v>0.05</v>
      </c>
      <c r="L736">
        <f t="shared" si="55"/>
        <v>0.05</v>
      </c>
      <c r="M736">
        <v>1332</v>
      </c>
      <c r="N736">
        <f t="shared" si="56"/>
        <v>61455</v>
      </c>
      <c r="O736">
        <f t="shared" si="57"/>
        <v>58382.25</v>
      </c>
      <c r="P736">
        <f>I736*IFERROR(_xlfn.XLOOKUP(F736,Lookup_Tables!Product,Cost),0)</f>
        <v>140230</v>
      </c>
      <c r="Q736">
        <f t="shared" si="58"/>
        <v>-81847.75</v>
      </c>
      <c r="R736" s="2">
        <f t="shared" si="59"/>
        <v>-1.4019286683880803</v>
      </c>
    </row>
    <row r="737" spans="1:18" x14ac:dyDescent="0.3">
      <c r="A737" t="s">
        <v>794</v>
      </c>
      <c r="B737" s="1">
        <v>45369</v>
      </c>
      <c r="C737" t="s">
        <v>5</v>
      </c>
      <c r="D737" t="s">
        <v>56</v>
      </c>
      <c r="E737" t="s">
        <v>25</v>
      </c>
      <c r="F737" t="s">
        <v>23</v>
      </c>
      <c r="G737" t="str">
        <f>INDEX(Lookup_Tables!$B$1:$B$7,MATCH(Cleaned_Data!F737,Lookup_Tables!$A$1:$A$7,0))</f>
        <v>Electronics</v>
      </c>
      <c r="H737" t="s">
        <v>54</v>
      </c>
      <c r="I737">
        <v>1</v>
      </c>
      <c r="J737">
        <v>22408</v>
      </c>
      <c r="L737">
        <f t="shared" si="55"/>
        <v>0</v>
      </c>
      <c r="N737">
        <f t="shared" si="56"/>
        <v>22408</v>
      </c>
      <c r="O737">
        <f t="shared" si="57"/>
        <v>22408</v>
      </c>
      <c r="P737">
        <f>I737*IFERROR(_xlfn.XLOOKUP(F737,Lookup_Tables!Product,Cost),0)</f>
        <v>19265</v>
      </c>
      <c r="Q737">
        <f t="shared" si="58"/>
        <v>3143</v>
      </c>
      <c r="R737" s="2">
        <f t="shared" si="59"/>
        <v>0.1402624062834702</v>
      </c>
    </row>
    <row r="738" spans="1:18" x14ac:dyDescent="0.3">
      <c r="A738" t="s">
        <v>795</v>
      </c>
      <c r="B738" s="1">
        <v>45407</v>
      </c>
      <c r="C738" t="s">
        <v>3</v>
      </c>
      <c r="D738" t="s">
        <v>69</v>
      </c>
      <c r="E738" t="s">
        <v>25</v>
      </c>
      <c r="F738" t="s">
        <v>58</v>
      </c>
      <c r="G738" t="str">
        <f>INDEX(Lookup_Tables!$B$1:$B$7,MATCH(Cleaned_Data!F738,Lookup_Tables!$A$1:$A$7,0))</f>
        <v>Electronics</v>
      </c>
      <c r="H738" t="s">
        <v>54</v>
      </c>
      <c r="I738">
        <v>8</v>
      </c>
      <c r="J738">
        <v>37224</v>
      </c>
      <c r="K738">
        <v>0</v>
      </c>
      <c r="L738">
        <f t="shared" si="55"/>
        <v>0</v>
      </c>
      <c r="N738">
        <f t="shared" si="56"/>
        <v>297792</v>
      </c>
      <c r="O738">
        <f t="shared" si="57"/>
        <v>297792</v>
      </c>
      <c r="P738">
        <f>I738*IFERROR(_xlfn.XLOOKUP(F738,Lookup_Tables!Product,Cost),0)</f>
        <v>23104</v>
      </c>
      <c r="Q738">
        <f t="shared" si="58"/>
        <v>274688</v>
      </c>
      <c r="R738" s="2">
        <f t="shared" si="59"/>
        <v>0.9224156458199011</v>
      </c>
    </row>
    <row r="739" spans="1:18" x14ac:dyDescent="0.3">
      <c r="A739" t="s">
        <v>796</v>
      </c>
      <c r="B739" s="1">
        <v>45472</v>
      </c>
      <c r="C739" t="s">
        <v>3</v>
      </c>
      <c r="D739" t="s">
        <v>56</v>
      </c>
      <c r="E739" t="s">
        <v>29</v>
      </c>
      <c r="F739" t="s">
        <v>23</v>
      </c>
      <c r="G739" t="str">
        <f>INDEX(Lookup_Tables!$B$1:$B$7,MATCH(Cleaned_Data!F739,Lookup_Tables!$A$1:$A$7,0))</f>
        <v>Electronics</v>
      </c>
      <c r="H739" t="s">
        <v>54</v>
      </c>
      <c r="I739">
        <v>9</v>
      </c>
      <c r="J739">
        <v>17229</v>
      </c>
      <c r="K739">
        <v>0</v>
      </c>
      <c r="L739">
        <f t="shared" si="55"/>
        <v>0</v>
      </c>
      <c r="M739">
        <v>6422</v>
      </c>
      <c r="N739">
        <f t="shared" si="56"/>
        <v>155061</v>
      </c>
      <c r="O739">
        <f t="shared" si="57"/>
        <v>155061</v>
      </c>
      <c r="P739">
        <f>I739*IFERROR(_xlfn.XLOOKUP(F739,Lookup_Tables!Product,Cost),0)</f>
        <v>173385</v>
      </c>
      <c r="Q739">
        <f t="shared" si="58"/>
        <v>-18324</v>
      </c>
      <c r="R739" s="2">
        <f t="shared" si="59"/>
        <v>-0.11817284810493935</v>
      </c>
    </row>
    <row r="740" spans="1:18" x14ac:dyDescent="0.3">
      <c r="A740" t="s">
        <v>797</v>
      </c>
      <c r="B740" s="1">
        <v>45314</v>
      </c>
      <c r="C740" t="s">
        <v>4</v>
      </c>
      <c r="D740" t="s">
        <v>49</v>
      </c>
      <c r="E740" t="s">
        <v>29</v>
      </c>
      <c r="F740" t="s">
        <v>61</v>
      </c>
      <c r="G740" t="str">
        <f>INDEX(Lookup_Tables!$B$1:$B$7,MATCH(Cleaned_Data!F740,Lookup_Tables!$A$1:$A$7,0))</f>
        <v>Electronics</v>
      </c>
      <c r="H740" t="s">
        <v>54</v>
      </c>
      <c r="I740">
        <v>6</v>
      </c>
      <c r="J740">
        <v>42273</v>
      </c>
      <c r="K740">
        <v>0</v>
      </c>
      <c r="L740">
        <f t="shared" si="55"/>
        <v>0</v>
      </c>
      <c r="M740">
        <v>23361</v>
      </c>
      <c r="N740">
        <f t="shared" si="56"/>
        <v>253638</v>
      </c>
      <c r="O740">
        <f t="shared" si="57"/>
        <v>253638</v>
      </c>
      <c r="P740">
        <f>I740*IFERROR(_xlfn.XLOOKUP(F740,Lookup_Tables!Product,Cost),0)</f>
        <v>44304</v>
      </c>
      <c r="Q740">
        <f t="shared" si="58"/>
        <v>209334</v>
      </c>
      <c r="R740" s="2">
        <f t="shared" si="59"/>
        <v>0.82532585811274339</v>
      </c>
    </row>
    <row r="741" spans="1:18" x14ac:dyDescent="0.3">
      <c r="A741" t="s">
        <v>798</v>
      </c>
      <c r="B741" s="1">
        <v>45498</v>
      </c>
      <c r="C741" t="s">
        <v>6</v>
      </c>
      <c r="D741" t="s">
        <v>69</v>
      </c>
      <c r="E741" t="s">
        <v>25</v>
      </c>
      <c r="F741" t="s">
        <v>58</v>
      </c>
      <c r="G741" t="str">
        <f>INDEX(Lookup_Tables!$B$1:$B$7,MATCH(Cleaned_Data!F741,Lookup_Tables!$A$1:$A$7,0))</f>
        <v>Electronics</v>
      </c>
      <c r="H741" t="s">
        <v>54</v>
      </c>
      <c r="I741">
        <v>7</v>
      </c>
      <c r="J741">
        <v>47523</v>
      </c>
      <c r="K741">
        <v>0.05</v>
      </c>
      <c r="L741">
        <f t="shared" si="55"/>
        <v>0.05</v>
      </c>
      <c r="M741">
        <v>19718</v>
      </c>
      <c r="N741">
        <f t="shared" si="56"/>
        <v>332661</v>
      </c>
      <c r="O741">
        <f t="shared" si="57"/>
        <v>316027.95</v>
      </c>
      <c r="P741">
        <f>I741*IFERROR(_xlfn.XLOOKUP(F741,Lookup_Tables!Product,Cost),0)</f>
        <v>20216</v>
      </c>
      <c r="Q741">
        <f t="shared" si="58"/>
        <v>295811.95</v>
      </c>
      <c r="R741" s="2">
        <f t="shared" si="59"/>
        <v>0.93603097447551709</v>
      </c>
    </row>
    <row r="742" spans="1:18" x14ac:dyDescent="0.3">
      <c r="A742" t="s">
        <v>799</v>
      </c>
      <c r="B742" s="1">
        <v>45555</v>
      </c>
      <c r="C742" t="s">
        <v>5</v>
      </c>
      <c r="D742" t="s">
        <v>64</v>
      </c>
      <c r="E742" t="s">
        <v>28</v>
      </c>
      <c r="F742" t="s">
        <v>23</v>
      </c>
      <c r="G742" t="str">
        <f>INDEX(Lookup_Tables!$B$1:$B$7,MATCH(Cleaned_Data!F742,Lookup_Tables!$A$1:$A$7,0))</f>
        <v>Electronics</v>
      </c>
      <c r="H742" t="s">
        <v>54</v>
      </c>
      <c r="I742">
        <v>5</v>
      </c>
      <c r="J742">
        <v>44059</v>
      </c>
      <c r="K742">
        <v>0.05</v>
      </c>
      <c r="L742">
        <f t="shared" si="55"/>
        <v>0.05</v>
      </c>
      <c r="N742">
        <f t="shared" si="56"/>
        <v>220295</v>
      </c>
      <c r="O742">
        <f t="shared" si="57"/>
        <v>209280.25</v>
      </c>
      <c r="P742">
        <f>I742*IFERROR(_xlfn.XLOOKUP(F742,Lookup_Tables!Product,Cost),0)</f>
        <v>96325</v>
      </c>
      <c r="Q742">
        <f t="shared" si="58"/>
        <v>112955.25</v>
      </c>
      <c r="R742" s="2">
        <f t="shared" si="59"/>
        <v>0.53973201006783966</v>
      </c>
    </row>
    <row r="743" spans="1:18" x14ac:dyDescent="0.3">
      <c r="A743" t="s">
        <v>800</v>
      </c>
      <c r="B743" s="1">
        <v>45433</v>
      </c>
      <c r="C743" t="s">
        <v>4</v>
      </c>
      <c r="D743" t="s">
        <v>76</v>
      </c>
      <c r="E743" t="s">
        <v>25</v>
      </c>
      <c r="F743" t="s">
        <v>61</v>
      </c>
      <c r="G743" t="str">
        <f>INDEX(Lookup_Tables!$B$1:$B$7,MATCH(Cleaned_Data!F743,Lookup_Tables!$A$1:$A$7,0))</f>
        <v>Electronics</v>
      </c>
      <c r="H743" t="s">
        <v>54</v>
      </c>
      <c r="I743">
        <v>6</v>
      </c>
      <c r="J743">
        <v>47577</v>
      </c>
      <c r="K743">
        <v>0.1</v>
      </c>
      <c r="L743">
        <f t="shared" si="55"/>
        <v>0.1</v>
      </c>
      <c r="M743">
        <v>24762</v>
      </c>
      <c r="N743">
        <f t="shared" si="56"/>
        <v>285462</v>
      </c>
      <c r="O743">
        <f t="shared" si="57"/>
        <v>256915.8</v>
      </c>
      <c r="P743">
        <f>I743*IFERROR(_xlfn.XLOOKUP(F743,Lookup_Tables!Product,Cost),0)</f>
        <v>44304</v>
      </c>
      <c r="Q743">
        <f t="shared" si="58"/>
        <v>212611.8</v>
      </c>
      <c r="R743" s="2">
        <f t="shared" si="59"/>
        <v>0.82755439719939372</v>
      </c>
    </row>
    <row r="744" spans="1:18" x14ac:dyDescent="0.3">
      <c r="A744" t="s">
        <v>801</v>
      </c>
      <c r="B744" s="1">
        <v>45492</v>
      </c>
      <c r="C744" t="s">
        <v>3</v>
      </c>
      <c r="D744" t="s">
        <v>49</v>
      </c>
      <c r="E744" t="s">
        <v>28</v>
      </c>
      <c r="F744" t="s">
        <v>61</v>
      </c>
      <c r="G744" t="str">
        <f>INDEX(Lookup_Tables!$B$1:$B$7,MATCH(Cleaned_Data!F744,Lookup_Tables!$A$1:$A$7,0))</f>
        <v>Electronics</v>
      </c>
      <c r="H744" t="s">
        <v>54</v>
      </c>
      <c r="I744">
        <v>4</v>
      </c>
      <c r="J744">
        <v>3957</v>
      </c>
      <c r="K744">
        <v>0</v>
      </c>
      <c r="L744">
        <f t="shared" si="55"/>
        <v>0</v>
      </c>
      <c r="N744">
        <f t="shared" si="56"/>
        <v>15828</v>
      </c>
      <c r="O744">
        <f t="shared" si="57"/>
        <v>15828</v>
      </c>
      <c r="P744">
        <f>I744*IFERROR(_xlfn.XLOOKUP(F744,Lookup_Tables!Product,Cost),0)</f>
        <v>29536</v>
      </c>
      <c r="Q744">
        <f t="shared" si="58"/>
        <v>-13708</v>
      </c>
      <c r="R744" s="2">
        <f t="shared" si="59"/>
        <v>-0.86606014657568864</v>
      </c>
    </row>
    <row r="745" spans="1:18" x14ac:dyDescent="0.3">
      <c r="A745" t="s">
        <v>802</v>
      </c>
      <c r="B745" s="1">
        <v>45583</v>
      </c>
      <c r="C745" t="s">
        <v>4</v>
      </c>
      <c r="D745" t="s">
        <v>49</v>
      </c>
      <c r="E745" t="s">
        <v>27</v>
      </c>
      <c r="F745" t="s">
        <v>22</v>
      </c>
      <c r="G745" t="str">
        <f>INDEX(Lookup_Tables!$B$1:$B$7,MATCH(Cleaned_Data!F745,Lookup_Tables!$A$1:$A$7,0))</f>
        <v>Furniture</v>
      </c>
      <c r="H745" t="s">
        <v>51</v>
      </c>
      <c r="I745">
        <v>2</v>
      </c>
      <c r="J745">
        <v>25914</v>
      </c>
      <c r="K745">
        <v>0</v>
      </c>
      <c r="L745">
        <f t="shared" si="55"/>
        <v>0</v>
      </c>
      <c r="M745">
        <v>28320</v>
      </c>
      <c r="N745">
        <f t="shared" si="56"/>
        <v>51828</v>
      </c>
      <c r="O745">
        <f t="shared" si="57"/>
        <v>51828</v>
      </c>
      <c r="P745">
        <f>I745*IFERROR(_xlfn.XLOOKUP(F745,Lookup_Tables!Product,Cost),0)</f>
        <v>26080</v>
      </c>
      <c r="Q745">
        <f t="shared" si="58"/>
        <v>25748</v>
      </c>
      <c r="R745" s="2">
        <f t="shared" si="59"/>
        <v>0.49679709809369454</v>
      </c>
    </row>
    <row r="746" spans="1:18" x14ac:dyDescent="0.3">
      <c r="A746" t="s">
        <v>803</v>
      </c>
      <c r="B746" s="1">
        <v>45447</v>
      </c>
      <c r="C746" t="s">
        <v>5</v>
      </c>
      <c r="D746" t="s">
        <v>56</v>
      </c>
      <c r="E746" t="s">
        <v>25</v>
      </c>
      <c r="F746" t="s">
        <v>24</v>
      </c>
      <c r="G746" t="str">
        <f>INDEX(Lookup_Tables!$B$1:$B$7,MATCH(Cleaned_Data!F746,Lookup_Tables!$A$1:$A$7,0))</f>
        <v>Electronics</v>
      </c>
      <c r="H746" t="s">
        <v>54</v>
      </c>
      <c r="I746">
        <v>2</v>
      </c>
      <c r="J746">
        <v>18910</v>
      </c>
      <c r="K746">
        <v>0.05</v>
      </c>
      <c r="L746">
        <f t="shared" si="55"/>
        <v>0.05</v>
      </c>
      <c r="N746">
        <f t="shared" si="56"/>
        <v>37820</v>
      </c>
      <c r="O746">
        <f t="shared" si="57"/>
        <v>35929</v>
      </c>
      <c r="P746">
        <f>I746*IFERROR(_xlfn.XLOOKUP(F746,Lookup_Tables!Product,Cost),0)</f>
        <v>56092</v>
      </c>
      <c r="Q746">
        <f t="shared" si="58"/>
        <v>-20163</v>
      </c>
      <c r="R746" s="2">
        <f t="shared" si="59"/>
        <v>-0.56119012496868825</v>
      </c>
    </row>
    <row r="747" spans="1:18" x14ac:dyDescent="0.3">
      <c r="A747" t="s">
        <v>804</v>
      </c>
      <c r="B747" s="1">
        <v>45420</v>
      </c>
      <c r="C747" t="s">
        <v>3</v>
      </c>
      <c r="D747" t="s">
        <v>64</v>
      </c>
      <c r="E747" t="s">
        <v>28</v>
      </c>
      <c r="F747" t="s">
        <v>24</v>
      </c>
      <c r="G747" t="str">
        <f>INDEX(Lookup_Tables!$B$1:$B$7,MATCH(Cleaned_Data!F747,Lookup_Tables!$A$1:$A$7,0))</f>
        <v>Electronics</v>
      </c>
      <c r="H747" t="s">
        <v>54</v>
      </c>
      <c r="I747">
        <v>5</v>
      </c>
      <c r="J747">
        <v>5963</v>
      </c>
      <c r="K747">
        <v>0.1</v>
      </c>
      <c r="L747">
        <f t="shared" si="55"/>
        <v>0.1</v>
      </c>
      <c r="N747">
        <f t="shared" si="56"/>
        <v>29815</v>
      </c>
      <c r="O747">
        <f t="shared" si="57"/>
        <v>26833.5</v>
      </c>
      <c r="P747">
        <f>I747*IFERROR(_xlfn.XLOOKUP(F747,Lookup_Tables!Product,Cost),0)</f>
        <v>140230</v>
      </c>
      <c r="Q747">
        <f t="shared" si="58"/>
        <v>-113396.5</v>
      </c>
      <c r="R747" s="2">
        <f t="shared" si="59"/>
        <v>-4.225930273725008</v>
      </c>
    </row>
    <row r="748" spans="1:18" x14ac:dyDescent="0.3">
      <c r="A748" t="s">
        <v>805</v>
      </c>
      <c r="B748" s="1">
        <v>45455</v>
      </c>
      <c r="C748" t="s">
        <v>4</v>
      </c>
      <c r="D748" t="s">
        <v>49</v>
      </c>
      <c r="E748" t="s">
        <v>29</v>
      </c>
      <c r="F748" t="s">
        <v>22</v>
      </c>
      <c r="G748" t="str">
        <f>INDEX(Lookup_Tables!$B$1:$B$7,MATCH(Cleaned_Data!F748,Lookup_Tables!$A$1:$A$7,0))</f>
        <v>Furniture</v>
      </c>
      <c r="H748" t="s">
        <v>51</v>
      </c>
      <c r="I748">
        <v>7</v>
      </c>
      <c r="J748">
        <v>19365</v>
      </c>
      <c r="K748">
        <v>0.1</v>
      </c>
      <c r="L748">
        <f t="shared" si="55"/>
        <v>0.1</v>
      </c>
      <c r="M748">
        <v>29739</v>
      </c>
      <c r="N748">
        <f t="shared" si="56"/>
        <v>135555</v>
      </c>
      <c r="O748">
        <f t="shared" si="57"/>
        <v>121999.5</v>
      </c>
      <c r="P748">
        <f>I748*IFERROR(_xlfn.XLOOKUP(F748,Lookup_Tables!Product,Cost),0)</f>
        <v>91280</v>
      </c>
      <c r="Q748">
        <f t="shared" si="58"/>
        <v>30719.5</v>
      </c>
      <c r="R748" s="2">
        <f t="shared" si="59"/>
        <v>0.25180021229595201</v>
      </c>
    </row>
    <row r="749" spans="1:18" x14ac:dyDescent="0.3">
      <c r="A749" t="s">
        <v>806</v>
      </c>
      <c r="B749" s="1">
        <v>45564</v>
      </c>
      <c r="C749" t="s">
        <v>5</v>
      </c>
      <c r="D749" t="s">
        <v>64</v>
      </c>
      <c r="E749" t="s">
        <v>28</v>
      </c>
      <c r="F749" t="s">
        <v>24</v>
      </c>
      <c r="G749" t="str">
        <f>INDEX(Lookup_Tables!$B$1:$B$7,MATCH(Cleaned_Data!F749,Lookup_Tables!$A$1:$A$7,0))</f>
        <v>Electronics</v>
      </c>
      <c r="H749" t="s">
        <v>54</v>
      </c>
      <c r="I749">
        <v>3</v>
      </c>
      <c r="J749">
        <v>43744</v>
      </c>
      <c r="K749">
        <v>0.05</v>
      </c>
      <c r="L749">
        <f t="shared" si="55"/>
        <v>0.05</v>
      </c>
      <c r="N749">
        <f t="shared" si="56"/>
        <v>131232</v>
      </c>
      <c r="O749">
        <f t="shared" si="57"/>
        <v>124670.39999999999</v>
      </c>
      <c r="P749">
        <f>I749*IFERROR(_xlfn.XLOOKUP(F749,Lookup_Tables!Product,Cost),0)</f>
        <v>84138</v>
      </c>
      <c r="Q749">
        <f t="shared" si="58"/>
        <v>40532.399999999994</v>
      </c>
      <c r="R749" s="2">
        <f t="shared" si="59"/>
        <v>0.32511646710045045</v>
      </c>
    </row>
    <row r="750" spans="1:18" x14ac:dyDescent="0.3">
      <c r="A750" t="s">
        <v>807</v>
      </c>
      <c r="B750" s="1">
        <v>45513</v>
      </c>
      <c r="C750" t="s">
        <v>5</v>
      </c>
      <c r="D750" t="s">
        <v>56</v>
      </c>
      <c r="E750" t="s">
        <v>25</v>
      </c>
      <c r="F750" t="s">
        <v>50</v>
      </c>
      <c r="G750" t="str">
        <f>INDEX(Lookup_Tables!$B$1:$B$7,MATCH(Cleaned_Data!F750,Lookup_Tables!$A$1:$A$7,0))</f>
        <v>Furniture</v>
      </c>
      <c r="H750" t="s">
        <v>51</v>
      </c>
      <c r="I750">
        <v>10</v>
      </c>
      <c r="J750">
        <v>41031</v>
      </c>
      <c r="K750">
        <v>0.05</v>
      </c>
      <c r="L750">
        <f t="shared" si="55"/>
        <v>0.05</v>
      </c>
      <c r="M750">
        <v>4978</v>
      </c>
      <c r="N750">
        <f t="shared" si="56"/>
        <v>410310</v>
      </c>
      <c r="O750">
        <f t="shared" si="57"/>
        <v>389794.5</v>
      </c>
      <c r="P750">
        <f>I750*IFERROR(_xlfn.XLOOKUP(F750,Lookup_Tables!Product,Cost),0)</f>
        <v>132710</v>
      </c>
      <c r="Q750">
        <f t="shared" si="58"/>
        <v>257084.5</v>
      </c>
      <c r="R750" s="2">
        <f t="shared" si="59"/>
        <v>0.65953855172404952</v>
      </c>
    </row>
    <row r="751" spans="1:18" x14ac:dyDescent="0.3">
      <c r="A751" t="s">
        <v>808</v>
      </c>
      <c r="B751" s="1">
        <v>45455</v>
      </c>
      <c r="C751" t="s">
        <v>4</v>
      </c>
      <c r="D751" t="s">
        <v>76</v>
      </c>
      <c r="E751" t="s">
        <v>26</v>
      </c>
      <c r="F751" t="s">
        <v>23</v>
      </c>
      <c r="G751" t="str">
        <f>INDEX(Lookup_Tables!$B$1:$B$7,MATCH(Cleaned_Data!F751,Lookup_Tables!$A$1:$A$7,0))</f>
        <v>Electronics</v>
      </c>
      <c r="H751" t="s">
        <v>54</v>
      </c>
      <c r="I751">
        <v>7</v>
      </c>
      <c r="J751">
        <v>42463</v>
      </c>
      <c r="L751">
        <f t="shared" si="55"/>
        <v>0</v>
      </c>
      <c r="N751">
        <f t="shared" si="56"/>
        <v>297241</v>
      </c>
      <c r="O751">
        <f t="shared" si="57"/>
        <v>297241</v>
      </c>
      <c r="P751">
        <f>I751*IFERROR(_xlfn.XLOOKUP(F751,Lookup_Tables!Product,Cost),0)</f>
        <v>134855</v>
      </c>
      <c r="Q751">
        <f t="shared" si="58"/>
        <v>162386</v>
      </c>
      <c r="R751" s="2">
        <f t="shared" si="59"/>
        <v>0.54631090596519327</v>
      </c>
    </row>
    <row r="752" spans="1:18" x14ac:dyDescent="0.3">
      <c r="A752" t="s">
        <v>809</v>
      </c>
      <c r="B752" s="1">
        <v>45475</v>
      </c>
      <c r="C752" t="s">
        <v>4</v>
      </c>
      <c r="D752" t="s">
        <v>49</v>
      </c>
      <c r="E752" t="s">
        <v>29</v>
      </c>
      <c r="F752" t="s">
        <v>23</v>
      </c>
      <c r="G752" t="str">
        <f>INDEX(Lookup_Tables!$B$1:$B$7,MATCH(Cleaned_Data!F752,Lookup_Tables!$A$1:$A$7,0))</f>
        <v>Electronics</v>
      </c>
      <c r="H752" t="s">
        <v>54</v>
      </c>
      <c r="I752">
        <v>5</v>
      </c>
      <c r="J752">
        <v>7391</v>
      </c>
      <c r="K752">
        <v>0.05</v>
      </c>
      <c r="L752">
        <f t="shared" si="55"/>
        <v>0.05</v>
      </c>
      <c r="N752">
        <f t="shared" si="56"/>
        <v>36955</v>
      </c>
      <c r="O752">
        <f t="shared" si="57"/>
        <v>35107.25</v>
      </c>
      <c r="P752">
        <f>I752*IFERROR(_xlfn.XLOOKUP(F752,Lookup_Tables!Product,Cost),0)</f>
        <v>96325</v>
      </c>
      <c r="Q752">
        <f t="shared" si="58"/>
        <v>-61217.75</v>
      </c>
      <c r="R752" s="2">
        <f t="shared" si="59"/>
        <v>-1.7437352683562513</v>
      </c>
    </row>
    <row r="753" spans="1:18" x14ac:dyDescent="0.3">
      <c r="A753" t="s">
        <v>810</v>
      </c>
      <c r="B753" s="1">
        <v>45492</v>
      </c>
      <c r="C753" t="s">
        <v>5</v>
      </c>
      <c r="D753" t="s">
        <v>53</v>
      </c>
      <c r="E753" t="s">
        <v>26</v>
      </c>
      <c r="F753" t="s">
        <v>61</v>
      </c>
      <c r="G753" t="str">
        <f>INDEX(Lookup_Tables!$B$1:$B$7,MATCH(Cleaned_Data!F753,Lookup_Tables!$A$1:$A$7,0))</f>
        <v>Electronics</v>
      </c>
      <c r="H753" t="s">
        <v>54</v>
      </c>
      <c r="I753">
        <v>2</v>
      </c>
      <c r="J753">
        <v>39354</v>
      </c>
      <c r="L753">
        <f t="shared" si="55"/>
        <v>0</v>
      </c>
      <c r="N753">
        <f t="shared" si="56"/>
        <v>78708</v>
      </c>
      <c r="O753">
        <f t="shared" si="57"/>
        <v>78708</v>
      </c>
      <c r="P753">
        <f>I753*IFERROR(_xlfn.XLOOKUP(F753,Lookup_Tables!Product,Cost),0)</f>
        <v>14768</v>
      </c>
      <c r="Q753">
        <f t="shared" si="58"/>
        <v>63940</v>
      </c>
      <c r="R753" s="2">
        <f t="shared" si="59"/>
        <v>0.81236977181480918</v>
      </c>
    </row>
    <row r="754" spans="1:18" x14ac:dyDescent="0.3">
      <c r="A754" t="s">
        <v>811</v>
      </c>
      <c r="B754" s="1">
        <v>45558</v>
      </c>
      <c r="C754" t="s">
        <v>6</v>
      </c>
      <c r="D754" t="s">
        <v>49</v>
      </c>
      <c r="E754" t="s">
        <v>26</v>
      </c>
      <c r="F754" t="s">
        <v>58</v>
      </c>
      <c r="G754" t="str">
        <f>INDEX(Lookup_Tables!$B$1:$B$7,MATCH(Cleaned_Data!F754,Lookup_Tables!$A$1:$A$7,0))</f>
        <v>Electronics</v>
      </c>
      <c r="H754" t="s">
        <v>54</v>
      </c>
      <c r="I754">
        <v>1</v>
      </c>
      <c r="J754">
        <v>19759</v>
      </c>
      <c r="K754">
        <v>0.1</v>
      </c>
      <c r="L754">
        <f t="shared" si="55"/>
        <v>0.1</v>
      </c>
      <c r="N754">
        <f t="shared" si="56"/>
        <v>19759</v>
      </c>
      <c r="O754">
        <f t="shared" si="57"/>
        <v>17783.099999999999</v>
      </c>
      <c r="P754">
        <f>I754*IFERROR(_xlfn.XLOOKUP(F754,Lookup_Tables!Product,Cost),0)</f>
        <v>2888</v>
      </c>
      <c r="Q754">
        <f t="shared" si="58"/>
        <v>14895.099999999999</v>
      </c>
      <c r="R754" s="2">
        <f t="shared" si="59"/>
        <v>0.83759861891346277</v>
      </c>
    </row>
    <row r="755" spans="1:18" x14ac:dyDescent="0.3">
      <c r="A755" t="s">
        <v>812</v>
      </c>
      <c r="B755" s="1">
        <v>45434</v>
      </c>
      <c r="C755" t="s">
        <v>5</v>
      </c>
      <c r="D755" t="s">
        <v>76</v>
      </c>
      <c r="E755" t="s">
        <v>25</v>
      </c>
      <c r="F755" t="s">
        <v>23</v>
      </c>
      <c r="G755" t="str">
        <f>INDEX(Lookup_Tables!$B$1:$B$7,MATCH(Cleaned_Data!F755,Lookup_Tables!$A$1:$A$7,0))</f>
        <v>Electronics</v>
      </c>
      <c r="H755" t="s">
        <v>54</v>
      </c>
      <c r="I755">
        <v>2</v>
      </c>
      <c r="J755">
        <v>20593</v>
      </c>
      <c r="K755">
        <v>0.1</v>
      </c>
      <c r="L755">
        <f t="shared" si="55"/>
        <v>0.1</v>
      </c>
      <c r="M755">
        <v>20710</v>
      </c>
      <c r="N755">
        <f t="shared" si="56"/>
        <v>41186</v>
      </c>
      <c r="O755">
        <f t="shared" si="57"/>
        <v>37067.4</v>
      </c>
      <c r="P755">
        <f>I755*IFERROR(_xlfn.XLOOKUP(F755,Lookup_Tables!Product,Cost),0)</f>
        <v>38530</v>
      </c>
      <c r="Q755">
        <f t="shared" si="58"/>
        <v>-1462.5999999999985</v>
      </c>
      <c r="R755" s="2">
        <f t="shared" si="59"/>
        <v>-3.9457852452559353E-2</v>
      </c>
    </row>
    <row r="756" spans="1:18" x14ac:dyDescent="0.3">
      <c r="A756" t="s">
        <v>813</v>
      </c>
      <c r="B756" s="1">
        <v>45569</v>
      </c>
      <c r="C756" t="s">
        <v>6</v>
      </c>
      <c r="D756" t="s">
        <v>69</v>
      </c>
      <c r="E756" t="s">
        <v>29</v>
      </c>
      <c r="F756" t="s">
        <v>50</v>
      </c>
      <c r="G756" t="str">
        <f>INDEX(Lookup_Tables!$B$1:$B$7,MATCH(Cleaned_Data!F756,Lookup_Tables!$A$1:$A$7,0))</f>
        <v>Furniture</v>
      </c>
      <c r="H756" t="s">
        <v>51</v>
      </c>
      <c r="I756">
        <v>9</v>
      </c>
      <c r="J756">
        <v>19603</v>
      </c>
      <c r="K756">
        <v>0</v>
      </c>
      <c r="L756">
        <f t="shared" si="55"/>
        <v>0</v>
      </c>
      <c r="N756">
        <f t="shared" si="56"/>
        <v>176427</v>
      </c>
      <c r="O756">
        <f t="shared" si="57"/>
        <v>176427</v>
      </c>
      <c r="P756">
        <f>I756*IFERROR(_xlfn.XLOOKUP(F756,Lookup_Tables!Product,Cost),0)</f>
        <v>119439</v>
      </c>
      <c r="Q756">
        <f t="shared" si="58"/>
        <v>56988</v>
      </c>
      <c r="R756" s="2">
        <f t="shared" si="59"/>
        <v>0.3230117839106259</v>
      </c>
    </row>
    <row r="757" spans="1:18" x14ac:dyDescent="0.3">
      <c r="A757" t="s">
        <v>814</v>
      </c>
      <c r="B757" s="1">
        <v>45415</v>
      </c>
      <c r="C757" t="s">
        <v>5</v>
      </c>
      <c r="D757" t="s">
        <v>56</v>
      </c>
      <c r="E757" t="s">
        <v>29</v>
      </c>
      <c r="F757" t="s">
        <v>61</v>
      </c>
      <c r="G757" t="str">
        <f>INDEX(Lookup_Tables!$B$1:$B$7,MATCH(Cleaned_Data!F757,Lookup_Tables!$A$1:$A$7,0))</f>
        <v>Electronics</v>
      </c>
      <c r="H757" t="s">
        <v>54</v>
      </c>
      <c r="I757">
        <v>10</v>
      </c>
      <c r="J757">
        <v>15876</v>
      </c>
      <c r="K757">
        <v>0.1</v>
      </c>
      <c r="L757">
        <f t="shared" si="55"/>
        <v>0.1</v>
      </c>
      <c r="M757">
        <v>10882</v>
      </c>
      <c r="N757">
        <f t="shared" si="56"/>
        <v>158760</v>
      </c>
      <c r="O757">
        <f t="shared" si="57"/>
        <v>142884</v>
      </c>
      <c r="P757">
        <f>I757*IFERROR(_xlfn.XLOOKUP(F757,Lookup_Tables!Product,Cost),0)</f>
        <v>73840</v>
      </c>
      <c r="Q757">
        <f t="shared" si="58"/>
        <v>69044</v>
      </c>
      <c r="R757" s="2">
        <f t="shared" si="59"/>
        <v>0.48321715517482711</v>
      </c>
    </row>
    <row r="758" spans="1:18" x14ac:dyDescent="0.3">
      <c r="A758" t="s">
        <v>815</v>
      </c>
      <c r="B758" s="1">
        <v>45598</v>
      </c>
      <c r="C758" t="s">
        <v>4</v>
      </c>
      <c r="D758" t="s">
        <v>64</v>
      </c>
      <c r="E758" t="s">
        <v>25</v>
      </c>
      <c r="F758" t="s">
        <v>24</v>
      </c>
      <c r="G758" t="str">
        <f>INDEX(Lookup_Tables!$B$1:$B$7,MATCH(Cleaned_Data!F758,Lookup_Tables!$A$1:$A$7,0))</f>
        <v>Electronics</v>
      </c>
      <c r="H758" t="s">
        <v>54</v>
      </c>
      <c r="I758">
        <v>9</v>
      </c>
      <c r="J758">
        <v>47087</v>
      </c>
      <c r="L758">
        <f t="shared" si="55"/>
        <v>0</v>
      </c>
      <c r="N758">
        <f t="shared" si="56"/>
        <v>423783</v>
      </c>
      <c r="O758">
        <f t="shared" si="57"/>
        <v>423783</v>
      </c>
      <c r="P758">
        <f>I758*IFERROR(_xlfn.XLOOKUP(F758,Lookup_Tables!Product,Cost),0)</f>
        <v>252414</v>
      </c>
      <c r="Q758">
        <f t="shared" si="58"/>
        <v>171369</v>
      </c>
      <c r="R758" s="2">
        <f t="shared" si="59"/>
        <v>0.40437912799711173</v>
      </c>
    </row>
    <row r="759" spans="1:18" x14ac:dyDescent="0.3">
      <c r="A759" t="s">
        <v>816</v>
      </c>
      <c r="B759" s="1">
        <v>45402</v>
      </c>
      <c r="C759" t="s">
        <v>5</v>
      </c>
      <c r="D759" t="s">
        <v>49</v>
      </c>
      <c r="E759" t="s">
        <v>28</v>
      </c>
      <c r="F759" t="s">
        <v>23</v>
      </c>
      <c r="G759" t="str">
        <f>INDEX(Lookup_Tables!$B$1:$B$7,MATCH(Cleaned_Data!F759,Lookup_Tables!$A$1:$A$7,0))</f>
        <v>Electronics</v>
      </c>
      <c r="H759" t="s">
        <v>54</v>
      </c>
      <c r="I759">
        <v>6</v>
      </c>
      <c r="J759">
        <v>30060</v>
      </c>
      <c r="K759">
        <v>0</v>
      </c>
      <c r="L759">
        <f t="shared" si="55"/>
        <v>0</v>
      </c>
      <c r="M759">
        <v>10388</v>
      </c>
      <c r="N759">
        <f t="shared" si="56"/>
        <v>180360</v>
      </c>
      <c r="O759">
        <f t="shared" si="57"/>
        <v>180360</v>
      </c>
      <c r="P759">
        <f>I759*IFERROR(_xlfn.XLOOKUP(F759,Lookup_Tables!Product,Cost),0)</f>
        <v>115590</v>
      </c>
      <c r="Q759">
        <f t="shared" si="58"/>
        <v>64770</v>
      </c>
      <c r="R759" s="2">
        <f t="shared" si="59"/>
        <v>0.35911510312707917</v>
      </c>
    </row>
    <row r="760" spans="1:18" x14ac:dyDescent="0.3">
      <c r="A760" t="s">
        <v>817</v>
      </c>
      <c r="B760" s="1">
        <v>45627</v>
      </c>
      <c r="C760" t="s">
        <v>5</v>
      </c>
      <c r="D760" t="s">
        <v>76</v>
      </c>
      <c r="E760" t="s">
        <v>27</v>
      </c>
      <c r="F760" t="s">
        <v>22</v>
      </c>
      <c r="G760" t="str">
        <f>INDEX(Lookup_Tables!$B$1:$B$7,MATCH(Cleaned_Data!F760,Lookup_Tables!$A$1:$A$7,0))</f>
        <v>Furniture</v>
      </c>
      <c r="H760" t="s">
        <v>51</v>
      </c>
      <c r="I760">
        <v>10</v>
      </c>
      <c r="J760">
        <v>14684</v>
      </c>
      <c r="K760">
        <v>0.1</v>
      </c>
      <c r="L760">
        <f t="shared" si="55"/>
        <v>0.1</v>
      </c>
      <c r="N760">
        <f t="shared" si="56"/>
        <v>146840</v>
      </c>
      <c r="O760">
        <f t="shared" si="57"/>
        <v>132156</v>
      </c>
      <c r="P760">
        <f>I760*IFERROR(_xlfn.XLOOKUP(F760,Lookup_Tables!Product,Cost),0)</f>
        <v>130400</v>
      </c>
      <c r="Q760">
        <f t="shared" si="58"/>
        <v>1756</v>
      </c>
      <c r="R760" s="2">
        <f t="shared" si="59"/>
        <v>1.3287327098277794E-2</v>
      </c>
    </row>
    <row r="761" spans="1:18" x14ac:dyDescent="0.3">
      <c r="A761" t="s">
        <v>818</v>
      </c>
      <c r="B761" s="1">
        <v>45592</v>
      </c>
      <c r="C761" t="s">
        <v>5</v>
      </c>
      <c r="D761" t="s">
        <v>49</v>
      </c>
      <c r="E761" t="s">
        <v>26</v>
      </c>
      <c r="F761" t="s">
        <v>24</v>
      </c>
      <c r="G761" t="str">
        <f>INDEX(Lookup_Tables!$B$1:$B$7,MATCH(Cleaned_Data!F761,Lookup_Tables!$A$1:$A$7,0))</f>
        <v>Electronics</v>
      </c>
      <c r="H761" t="s">
        <v>54</v>
      </c>
      <c r="I761">
        <v>2</v>
      </c>
      <c r="J761">
        <v>16097</v>
      </c>
      <c r="K761">
        <v>0.1</v>
      </c>
      <c r="L761">
        <f t="shared" si="55"/>
        <v>0.1</v>
      </c>
      <c r="M761">
        <v>14465</v>
      </c>
      <c r="N761">
        <f t="shared" si="56"/>
        <v>32194</v>
      </c>
      <c r="O761">
        <f t="shared" si="57"/>
        <v>28974.6</v>
      </c>
      <c r="P761">
        <f>I761*IFERROR(_xlfn.XLOOKUP(F761,Lookup_Tables!Product,Cost),0)</f>
        <v>56092</v>
      </c>
      <c r="Q761">
        <f t="shared" si="58"/>
        <v>-27117.4</v>
      </c>
      <c r="R761" s="2">
        <f t="shared" si="59"/>
        <v>-0.93590248010326293</v>
      </c>
    </row>
    <row r="762" spans="1:18" x14ac:dyDescent="0.3">
      <c r="A762" t="s">
        <v>819</v>
      </c>
      <c r="B762" s="1">
        <v>45455</v>
      </c>
      <c r="C762" t="s">
        <v>5</v>
      </c>
      <c r="D762" t="s">
        <v>69</v>
      </c>
      <c r="E762" t="s">
        <v>27</v>
      </c>
      <c r="F762" t="s">
        <v>61</v>
      </c>
      <c r="G762" t="str">
        <f>INDEX(Lookup_Tables!$B$1:$B$7,MATCH(Cleaned_Data!F762,Lookup_Tables!$A$1:$A$7,0))</f>
        <v>Electronics</v>
      </c>
      <c r="H762" t="s">
        <v>54</v>
      </c>
      <c r="I762">
        <v>1</v>
      </c>
      <c r="J762">
        <v>7027</v>
      </c>
      <c r="K762">
        <v>0.1</v>
      </c>
      <c r="L762">
        <f t="shared" si="55"/>
        <v>0.1</v>
      </c>
      <c r="M762">
        <v>21442</v>
      </c>
      <c r="N762">
        <f t="shared" si="56"/>
        <v>7027</v>
      </c>
      <c r="O762">
        <f t="shared" si="57"/>
        <v>6324.3</v>
      </c>
      <c r="P762">
        <f>I762*IFERROR(_xlfn.XLOOKUP(F762,Lookup_Tables!Product,Cost),0)</f>
        <v>7384</v>
      </c>
      <c r="Q762">
        <f t="shared" si="58"/>
        <v>-1059.6999999999998</v>
      </c>
      <c r="R762" s="2">
        <f t="shared" si="59"/>
        <v>-0.16756004617111772</v>
      </c>
    </row>
    <row r="763" spans="1:18" x14ac:dyDescent="0.3">
      <c r="A763" t="s">
        <v>820</v>
      </c>
      <c r="B763" s="1">
        <v>45613</v>
      </c>
      <c r="C763" t="s">
        <v>5</v>
      </c>
      <c r="D763" t="s">
        <v>49</v>
      </c>
      <c r="E763" t="s">
        <v>27</v>
      </c>
      <c r="F763" t="s">
        <v>23</v>
      </c>
      <c r="G763" t="str">
        <f>INDEX(Lookup_Tables!$B$1:$B$7,MATCH(Cleaned_Data!F763,Lookup_Tables!$A$1:$A$7,0))</f>
        <v>Electronics</v>
      </c>
      <c r="H763" t="s">
        <v>54</v>
      </c>
      <c r="I763">
        <v>10</v>
      </c>
      <c r="J763">
        <v>35425</v>
      </c>
      <c r="K763">
        <v>0.05</v>
      </c>
      <c r="L763">
        <f t="shared" si="55"/>
        <v>0.05</v>
      </c>
      <c r="M763">
        <v>22984</v>
      </c>
      <c r="N763">
        <f t="shared" si="56"/>
        <v>354250</v>
      </c>
      <c r="O763">
        <f t="shared" si="57"/>
        <v>336537.5</v>
      </c>
      <c r="P763">
        <f>I763*IFERROR(_xlfn.XLOOKUP(F763,Lookup_Tables!Product,Cost),0)</f>
        <v>192650</v>
      </c>
      <c r="Q763">
        <f t="shared" si="58"/>
        <v>143887.5</v>
      </c>
      <c r="R763" s="2">
        <f t="shared" si="59"/>
        <v>0.42755265015042898</v>
      </c>
    </row>
    <row r="764" spans="1:18" x14ac:dyDescent="0.3">
      <c r="A764" t="s">
        <v>821</v>
      </c>
      <c r="B764" s="1">
        <v>45537</v>
      </c>
      <c r="C764" t="s">
        <v>4</v>
      </c>
      <c r="D764" t="s">
        <v>64</v>
      </c>
      <c r="E764" t="s">
        <v>29</v>
      </c>
      <c r="F764" t="s">
        <v>24</v>
      </c>
      <c r="G764" t="str">
        <f>INDEX(Lookup_Tables!$B$1:$B$7,MATCH(Cleaned_Data!F764,Lookup_Tables!$A$1:$A$7,0))</f>
        <v>Electronics</v>
      </c>
      <c r="H764" t="s">
        <v>54</v>
      </c>
      <c r="I764">
        <v>8</v>
      </c>
      <c r="J764">
        <v>33197</v>
      </c>
      <c r="K764">
        <v>0.1</v>
      </c>
      <c r="L764">
        <f t="shared" si="55"/>
        <v>0.1</v>
      </c>
      <c r="M764">
        <v>18763</v>
      </c>
      <c r="N764">
        <f t="shared" si="56"/>
        <v>265576</v>
      </c>
      <c r="O764">
        <f t="shared" si="57"/>
        <v>239018.4</v>
      </c>
      <c r="P764">
        <f>I764*IFERROR(_xlfn.XLOOKUP(F764,Lookup_Tables!Product,Cost),0)</f>
        <v>224368</v>
      </c>
      <c r="Q764">
        <f t="shared" si="58"/>
        <v>14650.399999999994</v>
      </c>
      <c r="R764" s="2">
        <f t="shared" si="59"/>
        <v>6.1294025899261292E-2</v>
      </c>
    </row>
    <row r="765" spans="1:18" x14ac:dyDescent="0.3">
      <c r="A765" t="s">
        <v>822</v>
      </c>
      <c r="B765" s="1">
        <v>45558</v>
      </c>
      <c r="C765" t="s">
        <v>4</v>
      </c>
      <c r="D765" t="s">
        <v>64</v>
      </c>
      <c r="E765" t="s">
        <v>29</v>
      </c>
      <c r="F765" t="s">
        <v>22</v>
      </c>
      <c r="G765" t="str">
        <f>INDEX(Lookup_Tables!$B$1:$B$7,MATCH(Cleaned_Data!F765,Lookup_Tables!$A$1:$A$7,0))</f>
        <v>Furniture</v>
      </c>
      <c r="H765" t="s">
        <v>51</v>
      </c>
      <c r="I765">
        <v>9</v>
      </c>
      <c r="J765">
        <v>34064</v>
      </c>
      <c r="K765">
        <v>0</v>
      </c>
      <c r="L765">
        <f t="shared" si="55"/>
        <v>0</v>
      </c>
      <c r="M765">
        <v>13579</v>
      </c>
      <c r="N765">
        <f t="shared" si="56"/>
        <v>306576</v>
      </c>
      <c r="O765">
        <f t="shared" si="57"/>
        <v>306576</v>
      </c>
      <c r="P765">
        <f>I765*IFERROR(_xlfn.XLOOKUP(F765,Lookup_Tables!Product,Cost),0)</f>
        <v>117360</v>
      </c>
      <c r="Q765">
        <f t="shared" si="58"/>
        <v>189216</v>
      </c>
      <c r="R765" s="2">
        <f t="shared" si="59"/>
        <v>0.61719116956317521</v>
      </c>
    </row>
    <row r="766" spans="1:18" x14ac:dyDescent="0.3">
      <c r="A766" t="s">
        <v>823</v>
      </c>
      <c r="B766" s="1">
        <v>45628</v>
      </c>
      <c r="C766" t="s">
        <v>4</v>
      </c>
      <c r="D766" t="s">
        <v>76</v>
      </c>
      <c r="E766" t="s">
        <v>26</v>
      </c>
      <c r="F766" t="s">
        <v>50</v>
      </c>
      <c r="G766" t="str">
        <f>INDEX(Lookup_Tables!$B$1:$B$7,MATCH(Cleaned_Data!F766,Lookup_Tables!$A$1:$A$7,0))</f>
        <v>Furniture</v>
      </c>
      <c r="H766" t="s">
        <v>51</v>
      </c>
      <c r="I766">
        <v>8</v>
      </c>
      <c r="J766">
        <v>9936</v>
      </c>
      <c r="L766">
        <f t="shared" si="55"/>
        <v>0</v>
      </c>
      <c r="N766">
        <f t="shared" si="56"/>
        <v>79488</v>
      </c>
      <c r="O766">
        <f t="shared" si="57"/>
        <v>79488</v>
      </c>
      <c r="P766">
        <f>I766*IFERROR(_xlfn.XLOOKUP(F766,Lookup_Tables!Product,Cost),0)</f>
        <v>106168</v>
      </c>
      <c r="Q766">
        <f t="shared" si="58"/>
        <v>-26680</v>
      </c>
      <c r="R766" s="2">
        <f t="shared" si="59"/>
        <v>-0.33564814814814814</v>
      </c>
    </row>
    <row r="767" spans="1:18" x14ac:dyDescent="0.3">
      <c r="A767" t="s">
        <v>824</v>
      </c>
      <c r="B767" s="1">
        <v>45520</v>
      </c>
      <c r="C767" t="s">
        <v>5</v>
      </c>
      <c r="D767" t="s">
        <v>56</v>
      </c>
      <c r="E767" t="s">
        <v>25</v>
      </c>
      <c r="F767" t="s">
        <v>24</v>
      </c>
      <c r="G767" t="str">
        <f>INDEX(Lookup_Tables!$B$1:$B$7,MATCH(Cleaned_Data!F767,Lookup_Tables!$A$1:$A$7,0))</f>
        <v>Electronics</v>
      </c>
      <c r="H767" t="s">
        <v>54</v>
      </c>
      <c r="I767">
        <v>3</v>
      </c>
      <c r="J767">
        <v>18189</v>
      </c>
      <c r="K767">
        <v>0.05</v>
      </c>
      <c r="L767">
        <f t="shared" si="55"/>
        <v>0.05</v>
      </c>
      <c r="M767">
        <v>5308</v>
      </c>
      <c r="N767">
        <f t="shared" si="56"/>
        <v>54567</v>
      </c>
      <c r="O767">
        <f t="shared" si="57"/>
        <v>51838.65</v>
      </c>
      <c r="P767">
        <f>I767*IFERROR(_xlfn.XLOOKUP(F767,Lookup_Tables!Product,Cost),0)</f>
        <v>84138</v>
      </c>
      <c r="Q767">
        <f t="shared" si="58"/>
        <v>-32299.35</v>
      </c>
      <c r="R767" s="2">
        <f t="shared" si="59"/>
        <v>-0.62307467497706825</v>
      </c>
    </row>
    <row r="768" spans="1:18" x14ac:dyDescent="0.3">
      <c r="A768" t="s">
        <v>825</v>
      </c>
      <c r="B768" s="1">
        <v>45508</v>
      </c>
      <c r="C768" t="s">
        <v>3</v>
      </c>
      <c r="D768" t="s">
        <v>64</v>
      </c>
      <c r="E768" t="s">
        <v>29</v>
      </c>
      <c r="F768" t="s">
        <v>58</v>
      </c>
      <c r="G768" t="str">
        <f>INDEX(Lookup_Tables!$B$1:$B$7,MATCH(Cleaned_Data!F768,Lookup_Tables!$A$1:$A$7,0))</f>
        <v>Electronics</v>
      </c>
      <c r="H768" t="s">
        <v>54</v>
      </c>
      <c r="I768">
        <v>1</v>
      </c>
      <c r="J768">
        <v>39688</v>
      </c>
      <c r="K768">
        <v>0.1</v>
      </c>
      <c r="L768">
        <f t="shared" si="55"/>
        <v>0.1</v>
      </c>
      <c r="M768">
        <v>12303</v>
      </c>
      <c r="N768">
        <f t="shared" si="56"/>
        <v>39688</v>
      </c>
      <c r="O768">
        <f t="shared" si="57"/>
        <v>35719.199999999997</v>
      </c>
      <c r="P768">
        <f>I768*IFERROR(_xlfn.XLOOKUP(F768,Lookup_Tables!Product,Cost),0)</f>
        <v>2888</v>
      </c>
      <c r="Q768">
        <f t="shared" si="58"/>
        <v>32831.199999999997</v>
      </c>
      <c r="R768" s="2">
        <f t="shared" si="59"/>
        <v>0.9191471253555511</v>
      </c>
    </row>
    <row r="769" spans="1:18" x14ac:dyDescent="0.3">
      <c r="A769" t="s">
        <v>826</v>
      </c>
      <c r="B769" s="1">
        <v>45406</v>
      </c>
      <c r="C769" t="s">
        <v>4</v>
      </c>
      <c r="D769" t="s">
        <v>53</v>
      </c>
      <c r="E769" t="s">
        <v>28</v>
      </c>
      <c r="F769" t="s">
        <v>58</v>
      </c>
      <c r="G769" t="str">
        <f>INDEX(Lookup_Tables!$B$1:$B$7,MATCH(Cleaned_Data!F769,Lookup_Tables!$A$1:$A$7,0))</f>
        <v>Electronics</v>
      </c>
      <c r="H769" t="s">
        <v>54</v>
      </c>
      <c r="I769">
        <v>7</v>
      </c>
      <c r="J769">
        <v>34475</v>
      </c>
      <c r="L769">
        <f t="shared" si="55"/>
        <v>0</v>
      </c>
      <c r="N769">
        <f t="shared" si="56"/>
        <v>241325</v>
      </c>
      <c r="O769">
        <f t="shared" si="57"/>
        <v>241325</v>
      </c>
      <c r="P769">
        <f>I769*IFERROR(_xlfn.XLOOKUP(F769,Lookup_Tables!Product,Cost),0)</f>
        <v>20216</v>
      </c>
      <c r="Q769">
        <f t="shared" si="58"/>
        <v>221109</v>
      </c>
      <c r="R769" s="2">
        <f t="shared" si="59"/>
        <v>0.91622915155910079</v>
      </c>
    </row>
    <row r="770" spans="1:18" x14ac:dyDescent="0.3">
      <c r="A770" t="s">
        <v>827</v>
      </c>
      <c r="B770" s="1">
        <v>45655</v>
      </c>
      <c r="C770" t="s">
        <v>6</v>
      </c>
      <c r="D770" t="s">
        <v>49</v>
      </c>
      <c r="E770" t="s">
        <v>28</v>
      </c>
      <c r="F770" t="s">
        <v>22</v>
      </c>
      <c r="G770" t="str">
        <f>INDEX(Lookup_Tables!$B$1:$B$7,MATCH(Cleaned_Data!F770,Lookup_Tables!$A$1:$A$7,0))</f>
        <v>Furniture</v>
      </c>
      <c r="H770" t="s">
        <v>51</v>
      </c>
      <c r="I770">
        <v>3</v>
      </c>
      <c r="J770">
        <v>3302</v>
      </c>
      <c r="L770">
        <f t="shared" si="55"/>
        <v>0</v>
      </c>
      <c r="M770">
        <v>4879</v>
      </c>
      <c r="N770">
        <f t="shared" si="56"/>
        <v>9906</v>
      </c>
      <c r="O770">
        <f t="shared" si="57"/>
        <v>9906</v>
      </c>
      <c r="P770">
        <f>I770*IFERROR(_xlfn.XLOOKUP(F770,Lookup_Tables!Product,Cost),0)</f>
        <v>39120</v>
      </c>
      <c r="Q770">
        <f t="shared" si="58"/>
        <v>-29214</v>
      </c>
      <c r="R770" s="2">
        <f t="shared" si="59"/>
        <v>-2.9491217443973348</v>
      </c>
    </row>
    <row r="771" spans="1:18" x14ac:dyDescent="0.3">
      <c r="A771" t="s">
        <v>828</v>
      </c>
      <c r="B771" s="1">
        <v>45558</v>
      </c>
      <c r="C771" t="s">
        <v>3</v>
      </c>
      <c r="D771" t="s">
        <v>64</v>
      </c>
      <c r="E771" t="s">
        <v>29</v>
      </c>
      <c r="F771" t="s">
        <v>22</v>
      </c>
      <c r="G771" t="str">
        <f>INDEX(Lookup_Tables!$B$1:$B$7,MATCH(Cleaned_Data!F771,Lookup_Tables!$A$1:$A$7,0))</f>
        <v>Furniture</v>
      </c>
      <c r="H771" t="s">
        <v>51</v>
      </c>
      <c r="I771">
        <v>3</v>
      </c>
      <c r="J771">
        <v>37551</v>
      </c>
      <c r="K771">
        <v>0</v>
      </c>
      <c r="L771">
        <f t="shared" ref="L771:L834" si="60">IF(ISBLANK(K771),0,K771)</f>
        <v>0</v>
      </c>
      <c r="M771">
        <v>3455</v>
      </c>
      <c r="N771">
        <f t="shared" ref="N771:N834" si="61">I771*J771</f>
        <v>112653</v>
      </c>
      <c r="O771">
        <f t="shared" ref="O771:O834" si="62">N771-(N771*L771)</f>
        <v>112653</v>
      </c>
      <c r="P771">
        <f>I771*IFERROR(_xlfn.XLOOKUP(F771,Lookup_Tables!Product,Cost),0)</f>
        <v>39120</v>
      </c>
      <c r="Q771">
        <f t="shared" ref="Q771:Q834" si="63">O771-P771</f>
        <v>73533</v>
      </c>
      <c r="R771" s="2">
        <f t="shared" ref="R771:R834" si="64">Q771/O771</f>
        <v>0.6527389417059466</v>
      </c>
    </row>
    <row r="772" spans="1:18" x14ac:dyDescent="0.3">
      <c r="A772" t="s">
        <v>829</v>
      </c>
      <c r="B772" s="1">
        <v>45616</v>
      </c>
      <c r="C772" t="s">
        <v>4</v>
      </c>
      <c r="D772" t="s">
        <v>76</v>
      </c>
      <c r="E772" t="s">
        <v>27</v>
      </c>
      <c r="F772" t="s">
        <v>61</v>
      </c>
      <c r="G772" t="str">
        <f>INDEX(Lookup_Tables!$B$1:$B$7,MATCH(Cleaned_Data!F772,Lookup_Tables!$A$1:$A$7,0))</f>
        <v>Electronics</v>
      </c>
      <c r="H772" t="s">
        <v>54</v>
      </c>
      <c r="I772">
        <v>9</v>
      </c>
      <c r="J772">
        <v>49167</v>
      </c>
      <c r="K772">
        <v>0</v>
      </c>
      <c r="L772">
        <f t="shared" si="60"/>
        <v>0</v>
      </c>
      <c r="N772">
        <f t="shared" si="61"/>
        <v>442503</v>
      </c>
      <c r="O772">
        <f t="shared" si="62"/>
        <v>442503</v>
      </c>
      <c r="P772">
        <f>I772*IFERROR(_xlfn.XLOOKUP(F772,Lookup_Tables!Product,Cost),0)</f>
        <v>66456</v>
      </c>
      <c r="Q772">
        <f t="shared" si="63"/>
        <v>376047</v>
      </c>
      <c r="R772" s="2">
        <f t="shared" si="64"/>
        <v>0.84981796733581472</v>
      </c>
    </row>
    <row r="773" spans="1:18" x14ac:dyDescent="0.3">
      <c r="A773" t="s">
        <v>830</v>
      </c>
      <c r="B773" s="1">
        <v>45317</v>
      </c>
      <c r="C773" t="s">
        <v>3</v>
      </c>
      <c r="D773" t="s">
        <v>53</v>
      </c>
      <c r="E773" t="s">
        <v>28</v>
      </c>
      <c r="F773" t="s">
        <v>61</v>
      </c>
      <c r="G773" t="str">
        <f>INDEX(Lookup_Tables!$B$1:$B$7,MATCH(Cleaned_Data!F773,Lookup_Tables!$A$1:$A$7,0))</f>
        <v>Electronics</v>
      </c>
      <c r="H773" t="s">
        <v>54</v>
      </c>
      <c r="I773">
        <v>9</v>
      </c>
      <c r="J773">
        <v>41949</v>
      </c>
      <c r="K773">
        <v>0.1</v>
      </c>
      <c r="L773">
        <f t="shared" si="60"/>
        <v>0.1</v>
      </c>
      <c r="M773">
        <v>17291</v>
      </c>
      <c r="N773">
        <f t="shared" si="61"/>
        <v>377541</v>
      </c>
      <c r="O773">
        <f t="shared" si="62"/>
        <v>339786.9</v>
      </c>
      <c r="P773">
        <f>I773*IFERROR(_xlfn.XLOOKUP(F773,Lookup_Tables!Product,Cost),0)</f>
        <v>66456</v>
      </c>
      <c r="Q773">
        <f t="shared" si="63"/>
        <v>273330.90000000002</v>
      </c>
      <c r="R773" s="2">
        <f t="shared" si="64"/>
        <v>0.80441859294752094</v>
      </c>
    </row>
    <row r="774" spans="1:18" x14ac:dyDescent="0.3">
      <c r="A774" t="s">
        <v>831</v>
      </c>
      <c r="B774" s="1">
        <v>45297</v>
      </c>
      <c r="C774" t="s">
        <v>5</v>
      </c>
      <c r="D774" t="s">
        <v>69</v>
      </c>
      <c r="E774" t="s">
        <v>27</v>
      </c>
      <c r="F774" t="s">
        <v>58</v>
      </c>
      <c r="G774" t="str">
        <f>INDEX(Lookup_Tables!$B$1:$B$7,MATCH(Cleaned_Data!F774,Lookup_Tables!$A$1:$A$7,0))</f>
        <v>Electronics</v>
      </c>
      <c r="H774" t="s">
        <v>54</v>
      </c>
      <c r="I774">
        <v>1</v>
      </c>
      <c r="J774">
        <v>15580</v>
      </c>
      <c r="L774">
        <f t="shared" si="60"/>
        <v>0</v>
      </c>
      <c r="N774">
        <f t="shared" si="61"/>
        <v>15580</v>
      </c>
      <c r="O774">
        <f t="shared" si="62"/>
        <v>15580</v>
      </c>
      <c r="P774">
        <f>I774*IFERROR(_xlfn.XLOOKUP(F774,Lookup_Tables!Product,Cost),0)</f>
        <v>2888</v>
      </c>
      <c r="Q774">
        <f t="shared" si="63"/>
        <v>12692</v>
      </c>
      <c r="R774" s="2">
        <f t="shared" si="64"/>
        <v>0.81463414634146336</v>
      </c>
    </row>
    <row r="775" spans="1:18" x14ac:dyDescent="0.3">
      <c r="A775" t="s">
        <v>832</v>
      </c>
      <c r="B775" s="1">
        <v>45402</v>
      </c>
      <c r="C775" t="s">
        <v>5</v>
      </c>
      <c r="D775" t="s">
        <v>49</v>
      </c>
      <c r="E775" t="s">
        <v>29</v>
      </c>
      <c r="F775" t="s">
        <v>24</v>
      </c>
      <c r="G775" t="str">
        <f>INDEX(Lookup_Tables!$B$1:$B$7,MATCH(Cleaned_Data!F775,Lookup_Tables!$A$1:$A$7,0))</f>
        <v>Electronics</v>
      </c>
      <c r="H775" t="s">
        <v>54</v>
      </c>
      <c r="I775">
        <v>6</v>
      </c>
      <c r="J775">
        <v>43296</v>
      </c>
      <c r="K775">
        <v>0.05</v>
      </c>
      <c r="L775">
        <f t="shared" si="60"/>
        <v>0.05</v>
      </c>
      <c r="N775">
        <f t="shared" si="61"/>
        <v>259776</v>
      </c>
      <c r="O775">
        <f t="shared" si="62"/>
        <v>246787.20000000001</v>
      </c>
      <c r="P775">
        <f>I775*IFERROR(_xlfn.XLOOKUP(F775,Lookup_Tables!Product,Cost),0)</f>
        <v>168276</v>
      </c>
      <c r="Q775">
        <f t="shared" si="63"/>
        <v>78511.200000000012</v>
      </c>
      <c r="R775" s="2">
        <f t="shared" si="64"/>
        <v>0.31813319329365547</v>
      </c>
    </row>
    <row r="776" spans="1:18" x14ac:dyDescent="0.3">
      <c r="A776" t="s">
        <v>833</v>
      </c>
      <c r="B776" s="1">
        <v>45380</v>
      </c>
      <c r="C776" t="s">
        <v>3</v>
      </c>
      <c r="D776" t="s">
        <v>64</v>
      </c>
      <c r="E776" t="s">
        <v>25</v>
      </c>
      <c r="F776" t="s">
        <v>24</v>
      </c>
      <c r="G776" t="str">
        <f>INDEX(Lookup_Tables!$B$1:$B$7,MATCH(Cleaned_Data!F776,Lookup_Tables!$A$1:$A$7,0))</f>
        <v>Electronics</v>
      </c>
      <c r="H776" t="s">
        <v>54</v>
      </c>
      <c r="I776">
        <v>9</v>
      </c>
      <c r="J776">
        <v>25615</v>
      </c>
      <c r="L776">
        <f t="shared" si="60"/>
        <v>0</v>
      </c>
      <c r="N776">
        <f t="shared" si="61"/>
        <v>230535</v>
      </c>
      <c r="O776">
        <f t="shared" si="62"/>
        <v>230535</v>
      </c>
      <c r="P776">
        <f>I776*IFERROR(_xlfn.XLOOKUP(F776,Lookup_Tables!Product,Cost),0)</f>
        <v>252414</v>
      </c>
      <c r="Q776">
        <f t="shared" si="63"/>
        <v>-21879</v>
      </c>
      <c r="R776" s="2">
        <f t="shared" si="64"/>
        <v>-9.4905328908842471E-2</v>
      </c>
    </row>
    <row r="777" spans="1:18" x14ac:dyDescent="0.3">
      <c r="A777" t="s">
        <v>834</v>
      </c>
      <c r="B777" s="1">
        <v>45575</v>
      </c>
      <c r="C777" t="s">
        <v>3</v>
      </c>
      <c r="D777" t="s">
        <v>56</v>
      </c>
      <c r="E777" t="s">
        <v>28</v>
      </c>
      <c r="F777" t="s">
        <v>23</v>
      </c>
      <c r="G777" t="str">
        <f>INDEX(Lookup_Tables!$B$1:$B$7,MATCH(Cleaned_Data!F777,Lookup_Tables!$A$1:$A$7,0))</f>
        <v>Electronics</v>
      </c>
      <c r="H777" t="s">
        <v>54</v>
      </c>
      <c r="I777">
        <v>2</v>
      </c>
      <c r="J777">
        <v>9925</v>
      </c>
      <c r="K777">
        <v>0.05</v>
      </c>
      <c r="L777">
        <f t="shared" si="60"/>
        <v>0.05</v>
      </c>
      <c r="N777">
        <f t="shared" si="61"/>
        <v>19850</v>
      </c>
      <c r="O777">
        <f t="shared" si="62"/>
        <v>18857.5</v>
      </c>
      <c r="P777">
        <f>I777*IFERROR(_xlfn.XLOOKUP(F777,Lookup_Tables!Product,Cost),0)</f>
        <v>38530</v>
      </c>
      <c r="Q777">
        <f t="shared" si="63"/>
        <v>-19672.5</v>
      </c>
      <c r="R777" s="2">
        <f t="shared" si="64"/>
        <v>-1.0432188784303327</v>
      </c>
    </row>
    <row r="778" spans="1:18" x14ac:dyDescent="0.3">
      <c r="A778" t="s">
        <v>835</v>
      </c>
      <c r="B778" s="1">
        <v>45375</v>
      </c>
      <c r="C778" t="s">
        <v>3</v>
      </c>
      <c r="D778" t="s">
        <v>53</v>
      </c>
      <c r="E778" t="s">
        <v>26</v>
      </c>
      <c r="F778" t="s">
        <v>58</v>
      </c>
      <c r="G778" t="str">
        <f>INDEX(Lookup_Tables!$B$1:$B$7,MATCH(Cleaned_Data!F778,Lookup_Tables!$A$1:$A$7,0))</f>
        <v>Electronics</v>
      </c>
      <c r="H778" t="s">
        <v>54</v>
      </c>
      <c r="I778">
        <v>2</v>
      </c>
      <c r="J778">
        <v>21934</v>
      </c>
      <c r="L778">
        <f t="shared" si="60"/>
        <v>0</v>
      </c>
      <c r="N778">
        <f t="shared" si="61"/>
        <v>43868</v>
      </c>
      <c r="O778">
        <f t="shared" si="62"/>
        <v>43868</v>
      </c>
      <c r="P778">
        <f>I778*IFERROR(_xlfn.XLOOKUP(F778,Lookup_Tables!Product,Cost),0)</f>
        <v>5776</v>
      </c>
      <c r="Q778">
        <f t="shared" si="63"/>
        <v>38092</v>
      </c>
      <c r="R778" s="2">
        <f t="shared" si="64"/>
        <v>0.86833226953588039</v>
      </c>
    </row>
    <row r="779" spans="1:18" x14ac:dyDescent="0.3">
      <c r="A779" t="s">
        <v>836</v>
      </c>
      <c r="B779" s="1">
        <v>45627</v>
      </c>
      <c r="C779" t="s">
        <v>6</v>
      </c>
      <c r="D779" t="s">
        <v>49</v>
      </c>
      <c r="E779" t="s">
        <v>26</v>
      </c>
      <c r="F779" t="s">
        <v>58</v>
      </c>
      <c r="G779" t="str">
        <f>INDEX(Lookup_Tables!$B$1:$B$7,MATCH(Cleaned_Data!F779,Lookup_Tables!$A$1:$A$7,0))</f>
        <v>Electronics</v>
      </c>
      <c r="H779" t="s">
        <v>54</v>
      </c>
      <c r="I779">
        <v>6</v>
      </c>
      <c r="J779">
        <v>29234</v>
      </c>
      <c r="K779">
        <v>0.05</v>
      </c>
      <c r="L779">
        <f t="shared" si="60"/>
        <v>0.05</v>
      </c>
      <c r="N779">
        <f t="shared" si="61"/>
        <v>175404</v>
      </c>
      <c r="O779">
        <f t="shared" si="62"/>
        <v>166633.79999999999</v>
      </c>
      <c r="P779">
        <f>I779*IFERROR(_xlfn.XLOOKUP(F779,Lookup_Tables!Product,Cost),0)</f>
        <v>17328</v>
      </c>
      <c r="Q779">
        <f t="shared" si="63"/>
        <v>149305.79999999999</v>
      </c>
      <c r="R779" s="2">
        <f t="shared" si="64"/>
        <v>0.89601149346651154</v>
      </c>
    </row>
    <row r="780" spans="1:18" x14ac:dyDescent="0.3">
      <c r="A780" t="s">
        <v>837</v>
      </c>
      <c r="B780" s="1">
        <v>45441</v>
      </c>
      <c r="C780" t="s">
        <v>3</v>
      </c>
      <c r="D780" t="s">
        <v>69</v>
      </c>
      <c r="E780" t="s">
        <v>27</v>
      </c>
      <c r="F780" t="s">
        <v>24</v>
      </c>
      <c r="G780" t="str">
        <f>INDEX(Lookup_Tables!$B$1:$B$7,MATCH(Cleaned_Data!F780,Lookup_Tables!$A$1:$A$7,0))</f>
        <v>Electronics</v>
      </c>
      <c r="H780" t="s">
        <v>54</v>
      </c>
      <c r="I780">
        <v>8</v>
      </c>
      <c r="J780">
        <v>21051</v>
      </c>
      <c r="L780">
        <f t="shared" si="60"/>
        <v>0</v>
      </c>
      <c r="M780">
        <v>24734</v>
      </c>
      <c r="N780">
        <f t="shared" si="61"/>
        <v>168408</v>
      </c>
      <c r="O780">
        <f t="shared" si="62"/>
        <v>168408</v>
      </c>
      <c r="P780">
        <f>I780*IFERROR(_xlfn.XLOOKUP(F780,Lookup_Tables!Product,Cost),0)</f>
        <v>224368</v>
      </c>
      <c r="Q780">
        <f t="shared" si="63"/>
        <v>-55960</v>
      </c>
      <c r="R780" s="2">
        <f t="shared" si="64"/>
        <v>-0.33228825233955633</v>
      </c>
    </row>
    <row r="781" spans="1:18" x14ac:dyDescent="0.3">
      <c r="A781" t="s">
        <v>838</v>
      </c>
      <c r="B781" s="1">
        <v>45562</v>
      </c>
      <c r="C781" t="s">
        <v>4</v>
      </c>
      <c r="D781" t="s">
        <v>56</v>
      </c>
      <c r="E781" t="s">
        <v>29</v>
      </c>
      <c r="F781" t="s">
        <v>24</v>
      </c>
      <c r="G781" t="str">
        <f>INDEX(Lookup_Tables!$B$1:$B$7,MATCH(Cleaned_Data!F781,Lookup_Tables!$A$1:$A$7,0))</f>
        <v>Electronics</v>
      </c>
      <c r="H781" t="s">
        <v>54</v>
      </c>
      <c r="I781">
        <v>3</v>
      </c>
      <c r="J781">
        <v>13518</v>
      </c>
      <c r="K781">
        <v>0.1</v>
      </c>
      <c r="L781">
        <f t="shared" si="60"/>
        <v>0.1</v>
      </c>
      <c r="N781">
        <f t="shared" si="61"/>
        <v>40554</v>
      </c>
      <c r="O781">
        <f t="shared" si="62"/>
        <v>36498.6</v>
      </c>
      <c r="P781">
        <f>I781*IFERROR(_xlfn.XLOOKUP(F781,Lookup_Tables!Product,Cost),0)</f>
        <v>84138</v>
      </c>
      <c r="Q781">
        <f t="shared" si="63"/>
        <v>-47639.4</v>
      </c>
      <c r="R781" s="2">
        <f t="shared" si="64"/>
        <v>-1.3052391050615642</v>
      </c>
    </row>
    <row r="782" spans="1:18" x14ac:dyDescent="0.3">
      <c r="A782" t="s">
        <v>839</v>
      </c>
      <c r="B782" s="1">
        <v>45431</v>
      </c>
      <c r="C782" t="s">
        <v>6</v>
      </c>
      <c r="D782" t="s">
        <v>56</v>
      </c>
      <c r="E782" t="s">
        <v>26</v>
      </c>
      <c r="F782" t="s">
        <v>22</v>
      </c>
      <c r="G782" t="str">
        <f>INDEX(Lookup_Tables!$B$1:$B$7,MATCH(Cleaned_Data!F782,Lookup_Tables!$A$1:$A$7,0))</f>
        <v>Furniture</v>
      </c>
      <c r="H782" t="s">
        <v>51</v>
      </c>
      <c r="I782">
        <v>4</v>
      </c>
      <c r="J782">
        <v>40240</v>
      </c>
      <c r="L782">
        <f t="shared" si="60"/>
        <v>0</v>
      </c>
      <c r="N782">
        <f t="shared" si="61"/>
        <v>160960</v>
      </c>
      <c r="O782">
        <f t="shared" si="62"/>
        <v>160960</v>
      </c>
      <c r="P782">
        <f>I782*IFERROR(_xlfn.XLOOKUP(F782,Lookup_Tables!Product,Cost),0)</f>
        <v>52160</v>
      </c>
      <c r="Q782">
        <f t="shared" si="63"/>
        <v>108800</v>
      </c>
      <c r="R782" s="2">
        <f t="shared" si="64"/>
        <v>0.67594433399602383</v>
      </c>
    </row>
    <row r="783" spans="1:18" x14ac:dyDescent="0.3">
      <c r="A783" t="s">
        <v>840</v>
      </c>
      <c r="B783" s="1">
        <v>45492</v>
      </c>
      <c r="C783" t="s">
        <v>5</v>
      </c>
      <c r="D783" t="s">
        <v>49</v>
      </c>
      <c r="E783" t="s">
        <v>25</v>
      </c>
      <c r="F783" t="s">
        <v>61</v>
      </c>
      <c r="G783" t="str">
        <f>INDEX(Lookup_Tables!$B$1:$B$7,MATCH(Cleaned_Data!F783,Lookup_Tables!$A$1:$A$7,0))</f>
        <v>Electronics</v>
      </c>
      <c r="H783" t="s">
        <v>54</v>
      </c>
      <c r="I783">
        <v>1</v>
      </c>
      <c r="J783">
        <v>20843</v>
      </c>
      <c r="L783">
        <f t="shared" si="60"/>
        <v>0</v>
      </c>
      <c r="M783">
        <v>19757</v>
      </c>
      <c r="N783">
        <f t="shared" si="61"/>
        <v>20843</v>
      </c>
      <c r="O783">
        <f t="shared" si="62"/>
        <v>20843</v>
      </c>
      <c r="P783">
        <f>I783*IFERROR(_xlfn.XLOOKUP(F783,Lookup_Tables!Product,Cost),0)</f>
        <v>7384</v>
      </c>
      <c r="Q783">
        <f t="shared" si="63"/>
        <v>13459</v>
      </c>
      <c r="R783" s="2">
        <f t="shared" si="64"/>
        <v>0.64573238017559853</v>
      </c>
    </row>
    <row r="784" spans="1:18" x14ac:dyDescent="0.3">
      <c r="A784" t="s">
        <v>841</v>
      </c>
      <c r="B784" s="1">
        <v>45339</v>
      </c>
      <c r="C784" t="s">
        <v>6</v>
      </c>
      <c r="D784" t="s">
        <v>56</v>
      </c>
      <c r="E784" t="s">
        <v>27</v>
      </c>
      <c r="F784" t="s">
        <v>58</v>
      </c>
      <c r="G784" t="str">
        <f>INDEX(Lookup_Tables!$B$1:$B$7,MATCH(Cleaned_Data!F784,Lookup_Tables!$A$1:$A$7,0))</f>
        <v>Electronics</v>
      </c>
      <c r="H784" t="s">
        <v>54</v>
      </c>
      <c r="I784">
        <v>8</v>
      </c>
      <c r="J784">
        <v>10195</v>
      </c>
      <c r="K784">
        <v>0.1</v>
      </c>
      <c r="L784">
        <f t="shared" si="60"/>
        <v>0.1</v>
      </c>
      <c r="N784">
        <f t="shared" si="61"/>
        <v>81560</v>
      </c>
      <c r="O784">
        <f t="shared" si="62"/>
        <v>73404</v>
      </c>
      <c r="P784">
        <f>I784*IFERROR(_xlfn.XLOOKUP(F784,Lookup_Tables!Product,Cost),0)</f>
        <v>23104</v>
      </c>
      <c r="Q784">
        <f t="shared" si="63"/>
        <v>50300</v>
      </c>
      <c r="R784" s="2">
        <f t="shared" si="64"/>
        <v>0.68524876028554305</v>
      </c>
    </row>
    <row r="785" spans="1:18" x14ac:dyDescent="0.3">
      <c r="A785" t="s">
        <v>842</v>
      </c>
      <c r="B785" s="1">
        <v>45483</v>
      </c>
      <c r="C785" t="s">
        <v>3</v>
      </c>
      <c r="D785" t="s">
        <v>53</v>
      </c>
      <c r="E785" t="s">
        <v>26</v>
      </c>
      <c r="F785" t="s">
        <v>23</v>
      </c>
      <c r="G785" t="str">
        <f>INDEX(Lookup_Tables!$B$1:$B$7,MATCH(Cleaned_Data!F785,Lookup_Tables!$A$1:$A$7,0))</f>
        <v>Electronics</v>
      </c>
      <c r="H785" t="s">
        <v>54</v>
      </c>
      <c r="I785">
        <v>7</v>
      </c>
      <c r="J785">
        <v>10941</v>
      </c>
      <c r="L785">
        <f t="shared" si="60"/>
        <v>0</v>
      </c>
      <c r="N785">
        <f t="shared" si="61"/>
        <v>76587</v>
      </c>
      <c r="O785">
        <f t="shared" si="62"/>
        <v>76587</v>
      </c>
      <c r="P785">
        <f>I785*IFERROR(_xlfn.XLOOKUP(F785,Lookup_Tables!Product,Cost),0)</f>
        <v>134855</v>
      </c>
      <c r="Q785">
        <f t="shared" si="63"/>
        <v>-58268</v>
      </c>
      <c r="R785" s="2">
        <f t="shared" si="64"/>
        <v>-0.76080797002102185</v>
      </c>
    </row>
    <row r="786" spans="1:18" x14ac:dyDescent="0.3">
      <c r="A786" t="s">
        <v>843</v>
      </c>
      <c r="B786" s="1">
        <v>45644</v>
      </c>
      <c r="C786" t="s">
        <v>3</v>
      </c>
      <c r="D786" t="s">
        <v>56</v>
      </c>
      <c r="E786" t="s">
        <v>28</v>
      </c>
      <c r="F786" t="s">
        <v>61</v>
      </c>
      <c r="G786" t="str">
        <f>INDEX(Lookup_Tables!$B$1:$B$7,MATCH(Cleaned_Data!F786,Lookup_Tables!$A$1:$A$7,0))</f>
        <v>Electronics</v>
      </c>
      <c r="H786" t="s">
        <v>54</v>
      </c>
      <c r="I786">
        <v>8</v>
      </c>
      <c r="J786">
        <v>17310</v>
      </c>
      <c r="K786">
        <v>0.1</v>
      </c>
      <c r="L786">
        <f t="shared" si="60"/>
        <v>0.1</v>
      </c>
      <c r="M786">
        <v>26701</v>
      </c>
      <c r="N786">
        <f t="shared" si="61"/>
        <v>138480</v>
      </c>
      <c r="O786">
        <f t="shared" si="62"/>
        <v>124632</v>
      </c>
      <c r="P786">
        <f>I786*IFERROR(_xlfn.XLOOKUP(F786,Lookup_Tables!Product,Cost),0)</f>
        <v>59072</v>
      </c>
      <c r="Q786">
        <f t="shared" si="63"/>
        <v>65560</v>
      </c>
      <c r="R786" s="2">
        <f t="shared" si="64"/>
        <v>0.52602862828166119</v>
      </c>
    </row>
    <row r="787" spans="1:18" x14ac:dyDescent="0.3">
      <c r="A787" t="s">
        <v>844</v>
      </c>
      <c r="B787" s="1">
        <v>45496</v>
      </c>
      <c r="C787" t="s">
        <v>6</v>
      </c>
      <c r="D787" t="s">
        <v>56</v>
      </c>
      <c r="E787" t="s">
        <v>27</v>
      </c>
      <c r="F787" t="s">
        <v>24</v>
      </c>
      <c r="G787" t="str">
        <f>INDEX(Lookup_Tables!$B$1:$B$7,MATCH(Cleaned_Data!F787,Lookup_Tables!$A$1:$A$7,0))</f>
        <v>Electronics</v>
      </c>
      <c r="H787" t="s">
        <v>54</v>
      </c>
      <c r="I787">
        <v>7</v>
      </c>
      <c r="J787">
        <v>19564</v>
      </c>
      <c r="K787">
        <v>0.05</v>
      </c>
      <c r="L787">
        <f t="shared" si="60"/>
        <v>0.05</v>
      </c>
      <c r="N787">
        <f t="shared" si="61"/>
        <v>136948</v>
      </c>
      <c r="O787">
        <f t="shared" si="62"/>
        <v>130100.6</v>
      </c>
      <c r="P787">
        <f>I787*IFERROR(_xlfn.XLOOKUP(F787,Lookup_Tables!Product,Cost),0)</f>
        <v>196322</v>
      </c>
      <c r="Q787">
        <f t="shared" si="63"/>
        <v>-66221.399999999994</v>
      </c>
      <c r="R787" s="2">
        <f t="shared" si="64"/>
        <v>-0.5090014957655844</v>
      </c>
    </row>
    <row r="788" spans="1:18" x14ac:dyDescent="0.3">
      <c r="A788" t="s">
        <v>845</v>
      </c>
      <c r="B788" s="1">
        <v>45321</v>
      </c>
      <c r="C788" t="s">
        <v>6</v>
      </c>
      <c r="D788" t="s">
        <v>56</v>
      </c>
      <c r="E788" t="s">
        <v>25</v>
      </c>
      <c r="F788" t="s">
        <v>22</v>
      </c>
      <c r="G788" t="str">
        <f>INDEX(Lookup_Tables!$B$1:$B$7,MATCH(Cleaned_Data!F788,Lookup_Tables!$A$1:$A$7,0))</f>
        <v>Furniture</v>
      </c>
      <c r="H788" t="s">
        <v>51</v>
      </c>
      <c r="I788">
        <v>3</v>
      </c>
      <c r="J788">
        <v>31783</v>
      </c>
      <c r="K788">
        <v>0</v>
      </c>
      <c r="L788">
        <f t="shared" si="60"/>
        <v>0</v>
      </c>
      <c r="M788">
        <v>19147</v>
      </c>
      <c r="N788">
        <f t="shared" si="61"/>
        <v>95349</v>
      </c>
      <c r="O788">
        <f t="shared" si="62"/>
        <v>95349</v>
      </c>
      <c r="P788">
        <f>I788*IFERROR(_xlfn.XLOOKUP(F788,Lookup_Tables!Product,Cost),0)</f>
        <v>39120</v>
      </c>
      <c r="Q788">
        <f t="shared" si="63"/>
        <v>56229</v>
      </c>
      <c r="R788" s="2">
        <f t="shared" si="64"/>
        <v>0.5897177736525816</v>
      </c>
    </row>
    <row r="789" spans="1:18" x14ac:dyDescent="0.3">
      <c r="A789" t="s">
        <v>846</v>
      </c>
      <c r="B789" s="1">
        <v>45304</v>
      </c>
      <c r="C789" t="s">
        <v>5</v>
      </c>
      <c r="D789" t="s">
        <v>56</v>
      </c>
      <c r="E789" t="s">
        <v>28</v>
      </c>
      <c r="F789" t="s">
        <v>24</v>
      </c>
      <c r="G789" t="str">
        <f>INDEX(Lookup_Tables!$B$1:$B$7,MATCH(Cleaned_Data!F789,Lookup_Tables!$A$1:$A$7,0))</f>
        <v>Electronics</v>
      </c>
      <c r="H789" t="s">
        <v>54</v>
      </c>
      <c r="I789">
        <v>10</v>
      </c>
      <c r="J789">
        <v>11659</v>
      </c>
      <c r="K789">
        <v>0.05</v>
      </c>
      <c r="L789">
        <f t="shared" si="60"/>
        <v>0.05</v>
      </c>
      <c r="M789">
        <v>19492</v>
      </c>
      <c r="N789">
        <f t="shared" si="61"/>
        <v>116590</v>
      </c>
      <c r="O789">
        <f t="shared" si="62"/>
        <v>110760.5</v>
      </c>
      <c r="P789">
        <f>I789*IFERROR(_xlfn.XLOOKUP(F789,Lookup_Tables!Product,Cost),0)</f>
        <v>280460</v>
      </c>
      <c r="Q789">
        <f t="shared" si="63"/>
        <v>-169699.5</v>
      </c>
      <c r="R789" s="2">
        <f t="shared" si="64"/>
        <v>-1.532130136646187</v>
      </c>
    </row>
    <row r="790" spans="1:18" x14ac:dyDescent="0.3">
      <c r="A790" t="s">
        <v>847</v>
      </c>
      <c r="B790" s="1">
        <v>45353</v>
      </c>
      <c r="C790" t="s">
        <v>5</v>
      </c>
      <c r="D790" t="s">
        <v>56</v>
      </c>
      <c r="E790" t="s">
        <v>26</v>
      </c>
      <c r="F790" t="s">
        <v>58</v>
      </c>
      <c r="G790" t="str">
        <f>INDEX(Lookup_Tables!$B$1:$B$7,MATCH(Cleaned_Data!F790,Lookup_Tables!$A$1:$A$7,0))</f>
        <v>Electronics</v>
      </c>
      <c r="H790" t="s">
        <v>54</v>
      </c>
      <c r="I790">
        <v>3</v>
      </c>
      <c r="J790">
        <v>21762</v>
      </c>
      <c r="K790">
        <v>0.05</v>
      </c>
      <c r="L790">
        <f t="shared" si="60"/>
        <v>0.05</v>
      </c>
      <c r="N790">
        <f t="shared" si="61"/>
        <v>65286</v>
      </c>
      <c r="O790">
        <f t="shared" si="62"/>
        <v>62021.7</v>
      </c>
      <c r="P790">
        <f>I790*IFERROR(_xlfn.XLOOKUP(F790,Lookup_Tables!Product,Cost),0)</f>
        <v>8664</v>
      </c>
      <c r="Q790">
        <f t="shared" si="63"/>
        <v>53357.7</v>
      </c>
      <c r="R790" s="2">
        <f t="shared" si="64"/>
        <v>0.86030695708115057</v>
      </c>
    </row>
    <row r="791" spans="1:18" x14ac:dyDescent="0.3">
      <c r="A791" t="s">
        <v>848</v>
      </c>
      <c r="B791" s="1">
        <v>45339</v>
      </c>
      <c r="C791" t="s">
        <v>6</v>
      </c>
      <c r="D791" t="s">
        <v>49</v>
      </c>
      <c r="E791" t="s">
        <v>25</v>
      </c>
      <c r="F791" t="s">
        <v>50</v>
      </c>
      <c r="G791" t="str">
        <f>INDEX(Lookup_Tables!$B$1:$B$7,MATCH(Cleaned_Data!F791,Lookup_Tables!$A$1:$A$7,0))</f>
        <v>Furniture</v>
      </c>
      <c r="H791" t="s">
        <v>51</v>
      </c>
      <c r="I791">
        <v>10</v>
      </c>
      <c r="J791">
        <v>10699</v>
      </c>
      <c r="L791">
        <f t="shared" si="60"/>
        <v>0</v>
      </c>
      <c r="N791">
        <f t="shared" si="61"/>
        <v>106990</v>
      </c>
      <c r="O791">
        <f t="shared" si="62"/>
        <v>106990</v>
      </c>
      <c r="P791">
        <f>I791*IFERROR(_xlfn.XLOOKUP(F791,Lookup_Tables!Product,Cost),0)</f>
        <v>132710</v>
      </c>
      <c r="Q791">
        <f t="shared" si="63"/>
        <v>-25720</v>
      </c>
      <c r="R791" s="2">
        <f t="shared" si="64"/>
        <v>-0.24039629871950649</v>
      </c>
    </row>
    <row r="792" spans="1:18" x14ac:dyDescent="0.3">
      <c r="A792" t="s">
        <v>849</v>
      </c>
      <c r="B792" s="1">
        <v>45435</v>
      </c>
      <c r="C792" t="s">
        <v>5</v>
      </c>
      <c r="D792" t="s">
        <v>69</v>
      </c>
      <c r="E792" t="s">
        <v>29</v>
      </c>
      <c r="F792" t="s">
        <v>50</v>
      </c>
      <c r="G792" t="str">
        <f>INDEX(Lookup_Tables!$B$1:$B$7,MATCH(Cleaned_Data!F792,Lookup_Tables!$A$1:$A$7,0))</f>
        <v>Furniture</v>
      </c>
      <c r="H792" t="s">
        <v>51</v>
      </c>
      <c r="I792">
        <v>10</v>
      </c>
      <c r="J792">
        <v>36708</v>
      </c>
      <c r="K792">
        <v>0</v>
      </c>
      <c r="L792">
        <f t="shared" si="60"/>
        <v>0</v>
      </c>
      <c r="N792">
        <f t="shared" si="61"/>
        <v>367080</v>
      </c>
      <c r="O792">
        <f t="shared" si="62"/>
        <v>367080</v>
      </c>
      <c r="P792">
        <f>I792*IFERROR(_xlfn.XLOOKUP(F792,Lookup_Tables!Product,Cost),0)</f>
        <v>132710</v>
      </c>
      <c r="Q792">
        <f t="shared" si="63"/>
        <v>234370</v>
      </c>
      <c r="R792" s="2">
        <f t="shared" si="64"/>
        <v>0.63847117794486219</v>
      </c>
    </row>
    <row r="793" spans="1:18" x14ac:dyDescent="0.3">
      <c r="A793" t="s">
        <v>850</v>
      </c>
      <c r="B793" s="1">
        <v>45348</v>
      </c>
      <c r="C793" t="s">
        <v>6</v>
      </c>
      <c r="D793" t="s">
        <v>69</v>
      </c>
      <c r="E793" t="s">
        <v>25</v>
      </c>
      <c r="F793" t="s">
        <v>50</v>
      </c>
      <c r="G793" t="str">
        <f>INDEX(Lookup_Tables!$B$1:$B$7,MATCH(Cleaned_Data!F793,Lookup_Tables!$A$1:$A$7,0))</f>
        <v>Furniture</v>
      </c>
      <c r="H793" t="s">
        <v>51</v>
      </c>
      <c r="I793">
        <v>6</v>
      </c>
      <c r="J793">
        <v>19365</v>
      </c>
      <c r="L793">
        <f t="shared" si="60"/>
        <v>0</v>
      </c>
      <c r="N793">
        <f t="shared" si="61"/>
        <v>116190</v>
      </c>
      <c r="O793">
        <f t="shared" si="62"/>
        <v>116190</v>
      </c>
      <c r="P793">
        <f>I793*IFERROR(_xlfn.XLOOKUP(F793,Lookup_Tables!Product,Cost),0)</f>
        <v>79626</v>
      </c>
      <c r="Q793">
        <f t="shared" si="63"/>
        <v>36564</v>
      </c>
      <c r="R793" s="2">
        <f t="shared" si="64"/>
        <v>0.3146914536534986</v>
      </c>
    </row>
    <row r="794" spans="1:18" x14ac:dyDescent="0.3">
      <c r="A794" t="s">
        <v>851</v>
      </c>
      <c r="B794" s="1">
        <v>45533</v>
      </c>
      <c r="C794" t="s">
        <v>6</v>
      </c>
      <c r="D794" t="s">
        <v>49</v>
      </c>
      <c r="E794" t="s">
        <v>26</v>
      </c>
      <c r="F794" t="s">
        <v>50</v>
      </c>
      <c r="G794" t="str">
        <f>INDEX(Lookup_Tables!$B$1:$B$7,MATCH(Cleaned_Data!F794,Lookup_Tables!$A$1:$A$7,0))</f>
        <v>Furniture</v>
      </c>
      <c r="H794" t="s">
        <v>51</v>
      </c>
      <c r="I794">
        <v>2</v>
      </c>
      <c r="J794">
        <v>9405</v>
      </c>
      <c r="K794">
        <v>0.1</v>
      </c>
      <c r="L794">
        <f t="shared" si="60"/>
        <v>0.1</v>
      </c>
      <c r="M794">
        <v>27331</v>
      </c>
      <c r="N794">
        <f t="shared" si="61"/>
        <v>18810</v>
      </c>
      <c r="O794">
        <f t="shared" si="62"/>
        <v>16929</v>
      </c>
      <c r="P794">
        <f>I794*IFERROR(_xlfn.XLOOKUP(F794,Lookup_Tables!Product,Cost),0)</f>
        <v>26542</v>
      </c>
      <c r="Q794">
        <f t="shared" si="63"/>
        <v>-9613</v>
      </c>
      <c r="R794" s="2">
        <f t="shared" si="64"/>
        <v>-0.56784216433339241</v>
      </c>
    </row>
    <row r="795" spans="1:18" x14ac:dyDescent="0.3">
      <c r="A795" t="s">
        <v>852</v>
      </c>
      <c r="B795" s="1">
        <v>45307</v>
      </c>
      <c r="C795" t="s">
        <v>4</v>
      </c>
      <c r="D795" t="s">
        <v>64</v>
      </c>
      <c r="E795" t="s">
        <v>27</v>
      </c>
      <c r="F795" t="s">
        <v>22</v>
      </c>
      <c r="G795" t="str">
        <f>INDEX(Lookup_Tables!$B$1:$B$7,MATCH(Cleaned_Data!F795,Lookup_Tables!$A$1:$A$7,0))</f>
        <v>Furniture</v>
      </c>
      <c r="H795" t="s">
        <v>51</v>
      </c>
      <c r="I795">
        <v>4</v>
      </c>
      <c r="J795">
        <v>33620</v>
      </c>
      <c r="K795">
        <v>0.1</v>
      </c>
      <c r="L795">
        <f t="shared" si="60"/>
        <v>0.1</v>
      </c>
      <c r="M795">
        <v>9915</v>
      </c>
      <c r="N795">
        <f t="shared" si="61"/>
        <v>134480</v>
      </c>
      <c r="O795">
        <f t="shared" si="62"/>
        <v>121032</v>
      </c>
      <c r="P795">
        <f>I795*IFERROR(_xlfn.XLOOKUP(F795,Lookup_Tables!Product,Cost),0)</f>
        <v>52160</v>
      </c>
      <c r="Q795">
        <f t="shared" si="63"/>
        <v>68872</v>
      </c>
      <c r="R795" s="2">
        <f t="shared" si="64"/>
        <v>0.56903959283495276</v>
      </c>
    </row>
    <row r="796" spans="1:18" x14ac:dyDescent="0.3">
      <c r="A796" t="s">
        <v>853</v>
      </c>
      <c r="B796" s="1">
        <v>45515</v>
      </c>
      <c r="C796" t="s">
        <v>6</v>
      </c>
      <c r="D796" t="s">
        <v>69</v>
      </c>
      <c r="E796" t="s">
        <v>26</v>
      </c>
      <c r="F796" t="s">
        <v>22</v>
      </c>
      <c r="G796" t="str">
        <f>INDEX(Lookup_Tables!$B$1:$B$7,MATCH(Cleaned_Data!F796,Lookup_Tables!$A$1:$A$7,0))</f>
        <v>Furniture</v>
      </c>
      <c r="H796" t="s">
        <v>51</v>
      </c>
      <c r="I796">
        <v>9</v>
      </c>
      <c r="J796">
        <v>46255</v>
      </c>
      <c r="L796">
        <f t="shared" si="60"/>
        <v>0</v>
      </c>
      <c r="N796">
        <f t="shared" si="61"/>
        <v>416295</v>
      </c>
      <c r="O796">
        <f t="shared" si="62"/>
        <v>416295</v>
      </c>
      <c r="P796">
        <f>I796*IFERROR(_xlfn.XLOOKUP(F796,Lookup_Tables!Product,Cost),0)</f>
        <v>117360</v>
      </c>
      <c r="Q796">
        <f t="shared" si="63"/>
        <v>298935</v>
      </c>
      <c r="R796" s="2">
        <f t="shared" si="64"/>
        <v>0.71808453140201056</v>
      </c>
    </row>
    <row r="797" spans="1:18" x14ac:dyDescent="0.3">
      <c r="A797" t="s">
        <v>854</v>
      </c>
      <c r="B797" s="1">
        <v>45382</v>
      </c>
      <c r="C797" t="s">
        <v>3</v>
      </c>
      <c r="D797" t="s">
        <v>64</v>
      </c>
      <c r="E797" t="s">
        <v>29</v>
      </c>
      <c r="F797" t="s">
        <v>61</v>
      </c>
      <c r="G797" t="str">
        <f>INDEX(Lookup_Tables!$B$1:$B$7,MATCH(Cleaned_Data!F797,Lookup_Tables!$A$1:$A$7,0))</f>
        <v>Electronics</v>
      </c>
      <c r="H797" t="s">
        <v>54</v>
      </c>
      <c r="I797">
        <v>7</v>
      </c>
      <c r="J797">
        <v>4233</v>
      </c>
      <c r="L797">
        <f t="shared" si="60"/>
        <v>0</v>
      </c>
      <c r="N797">
        <f t="shared" si="61"/>
        <v>29631</v>
      </c>
      <c r="O797">
        <f t="shared" si="62"/>
        <v>29631</v>
      </c>
      <c r="P797">
        <f>I797*IFERROR(_xlfn.XLOOKUP(F797,Lookup_Tables!Product,Cost),0)</f>
        <v>51688</v>
      </c>
      <c r="Q797">
        <f t="shared" si="63"/>
        <v>-22057</v>
      </c>
      <c r="R797" s="2">
        <f t="shared" si="64"/>
        <v>-0.74438932199385777</v>
      </c>
    </row>
    <row r="798" spans="1:18" x14ac:dyDescent="0.3">
      <c r="A798" t="s">
        <v>855</v>
      </c>
      <c r="B798" s="1">
        <v>45651</v>
      </c>
      <c r="C798" t="s">
        <v>4</v>
      </c>
      <c r="D798" t="s">
        <v>76</v>
      </c>
      <c r="E798" t="s">
        <v>29</v>
      </c>
      <c r="F798" t="s">
        <v>23</v>
      </c>
      <c r="G798" t="str">
        <f>INDEX(Lookup_Tables!$B$1:$B$7,MATCH(Cleaned_Data!F798,Lookup_Tables!$A$1:$A$7,0))</f>
        <v>Electronics</v>
      </c>
      <c r="H798" t="s">
        <v>54</v>
      </c>
      <c r="I798">
        <v>7</v>
      </c>
      <c r="J798">
        <v>2295</v>
      </c>
      <c r="K798">
        <v>0</v>
      </c>
      <c r="L798">
        <f t="shared" si="60"/>
        <v>0</v>
      </c>
      <c r="M798">
        <v>27047</v>
      </c>
      <c r="N798">
        <f t="shared" si="61"/>
        <v>16065</v>
      </c>
      <c r="O798">
        <f t="shared" si="62"/>
        <v>16065</v>
      </c>
      <c r="P798">
        <f>I798*IFERROR(_xlfn.XLOOKUP(F798,Lookup_Tables!Product,Cost),0)</f>
        <v>134855</v>
      </c>
      <c r="Q798">
        <f t="shared" si="63"/>
        <v>-118790</v>
      </c>
      <c r="R798" s="2">
        <f t="shared" si="64"/>
        <v>-7.3943355119825709</v>
      </c>
    </row>
    <row r="799" spans="1:18" x14ac:dyDescent="0.3">
      <c r="A799" t="s">
        <v>856</v>
      </c>
      <c r="B799" s="1">
        <v>45331</v>
      </c>
      <c r="C799" t="s">
        <v>3</v>
      </c>
      <c r="D799" t="s">
        <v>49</v>
      </c>
      <c r="E799" t="s">
        <v>29</v>
      </c>
      <c r="F799" t="s">
        <v>24</v>
      </c>
      <c r="G799" t="str">
        <f>INDEX(Lookup_Tables!$B$1:$B$7,MATCH(Cleaned_Data!F799,Lookup_Tables!$A$1:$A$7,0))</f>
        <v>Electronics</v>
      </c>
      <c r="H799" t="s">
        <v>54</v>
      </c>
      <c r="I799">
        <v>5</v>
      </c>
      <c r="J799">
        <v>36696</v>
      </c>
      <c r="K799">
        <v>0.1</v>
      </c>
      <c r="L799">
        <f t="shared" si="60"/>
        <v>0.1</v>
      </c>
      <c r="M799">
        <v>23486</v>
      </c>
      <c r="N799">
        <f t="shared" si="61"/>
        <v>183480</v>
      </c>
      <c r="O799">
        <f t="shared" si="62"/>
        <v>165132</v>
      </c>
      <c r="P799">
        <f>I799*IFERROR(_xlfn.XLOOKUP(F799,Lookup_Tables!Product,Cost),0)</f>
        <v>140230</v>
      </c>
      <c r="Q799">
        <f t="shared" si="63"/>
        <v>24902</v>
      </c>
      <c r="R799" s="2">
        <f t="shared" si="64"/>
        <v>0.15080057166388103</v>
      </c>
    </row>
    <row r="800" spans="1:18" x14ac:dyDescent="0.3">
      <c r="A800" t="s">
        <v>857</v>
      </c>
      <c r="B800" s="1">
        <v>45297</v>
      </c>
      <c r="C800" t="s">
        <v>3</v>
      </c>
      <c r="D800" t="s">
        <v>49</v>
      </c>
      <c r="E800" t="s">
        <v>29</v>
      </c>
      <c r="F800" t="s">
        <v>22</v>
      </c>
      <c r="G800" t="str">
        <f>INDEX(Lookup_Tables!$B$1:$B$7,MATCH(Cleaned_Data!F800,Lookup_Tables!$A$1:$A$7,0))</f>
        <v>Furniture</v>
      </c>
      <c r="H800" t="s">
        <v>51</v>
      </c>
      <c r="I800">
        <v>5</v>
      </c>
      <c r="J800">
        <v>36881</v>
      </c>
      <c r="L800">
        <f t="shared" si="60"/>
        <v>0</v>
      </c>
      <c r="M800">
        <v>3005</v>
      </c>
      <c r="N800">
        <f t="shared" si="61"/>
        <v>184405</v>
      </c>
      <c r="O800">
        <f t="shared" si="62"/>
        <v>184405</v>
      </c>
      <c r="P800">
        <f>I800*IFERROR(_xlfn.XLOOKUP(F800,Lookup_Tables!Product,Cost),0)</f>
        <v>65200</v>
      </c>
      <c r="Q800">
        <f t="shared" si="63"/>
        <v>119205</v>
      </c>
      <c r="R800" s="2">
        <f t="shared" si="64"/>
        <v>0.64643041132290335</v>
      </c>
    </row>
    <row r="801" spans="1:18" x14ac:dyDescent="0.3">
      <c r="A801" t="s">
        <v>858</v>
      </c>
      <c r="B801" s="1">
        <v>45409</v>
      </c>
      <c r="C801" t="s">
        <v>6</v>
      </c>
      <c r="D801" t="s">
        <v>64</v>
      </c>
      <c r="E801" t="s">
        <v>28</v>
      </c>
      <c r="F801" t="s">
        <v>22</v>
      </c>
      <c r="G801" t="str">
        <f>INDEX(Lookup_Tables!$B$1:$B$7,MATCH(Cleaned_Data!F801,Lookup_Tables!$A$1:$A$7,0))</f>
        <v>Furniture</v>
      </c>
      <c r="H801" t="s">
        <v>51</v>
      </c>
      <c r="I801">
        <v>2</v>
      </c>
      <c r="J801">
        <v>25578</v>
      </c>
      <c r="K801">
        <v>0</v>
      </c>
      <c r="L801">
        <f t="shared" si="60"/>
        <v>0</v>
      </c>
      <c r="N801">
        <f t="shared" si="61"/>
        <v>51156</v>
      </c>
      <c r="O801">
        <f t="shared" si="62"/>
        <v>51156</v>
      </c>
      <c r="P801">
        <f>I801*IFERROR(_xlfn.XLOOKUP(F801,Lookup_Tables!Product,Cost),0)</f>
        <v>26080</v>
      </c>
      <c r="Q801">
        <f t="shared" si="63"/>
        <v>25076</v>
      </c>
      <c r="R801" s="2">
        <f t="shared" si="64"/>
        <v>0.49018687934944094</v>
      </c>
    </row>
    <row r="802" spans="1:18" x14ac:dyDescent="0.3">
      <c r="A802" t="s">
        <v>859</v>
      </c>
      <c r="B802" s="1">
        <v>45391</v>
      </c>
      <c r="C802" t="s">
        <v>6</v>
      </c>
      <c r="D802" t="s">
        <v>49</v>
      </c>
      <c r="E802" t="s">
        <v>25</v>
      </c>
      <c r="F802" t="s">
        <v>23</v>
      </c>
      <c r="G802" t="str">
        <f>INDEX(Lookup_Tables!$B$1:$B$7,MATCH(Cleaned_Data!F802,Lookup_Tables!$A$1:$A$7,0))</f>
        <v>Electronics</v>
      </c>
      <c r="H802" t="s">
        <v>54</v>
      </c>
      <c r="I802">
        <v>7</v>
      </c>
      <c r="J802">
        <v>20366</v>
      </c>
      <c r="L802">
        <f t="shared" si="60"/>
        <v>0</v>
      </c>
      <c r="N802">
        <f t="shared" si="61"/>
        <v>142562</v>
      </c>
      <c r="O802">
        <f t="shared" si="62"/>
        <v>142562</v>
      </c>
      <c r="P802">
        <f>I802*IFERROR(_xlfn.XLOOKUP(F802,Lookup_Tables!Product,Cost),0)</f>
        <v>134855</v>
      </c>
      <c r="Q802">
        <f t="shared" si="63"/>
        <v>7707</v>
      </c>
      <c r="R802" s="2">
        <f t="shared" si="64"/>
        <v>5.4060689384267897E-2</v>
      </c>
    </row>
    <row r="803" spans="1:18" x14ac:dyDescent="0.3">
      <c r="A803" t="s">
        <v>860</v>
      </c>
      <c r="B803" s="1">
        <v>45435</v>
      </c>
      <c r="C803" t="s">
        <v>5</v>
      </c>
      <c r="D803" t="s">
        <v>49</v>
      </c>
      <c r="E803" t="s">
        <v>27</v>
      </c>
      <c r="F803" t="s">
        <v>58</v>
      </c>
      <c r="G803" t="str">
        <f>INDEX(Lookup_Tables!$B$1:$B$7,MATCH(Cleaned_Data!F803,Lookup_Tables!$A$1:$A$7,0))</f>
        <v>Electronics</v>
      </c>
      <c r="H803" t="s">
        <v>54</v>
      </c>
      <c r="I803">
        <v>4</v>
      </c>
      <c r="J803">
        <v>10468</v>
      </c>
      <c r="K803">
        <v>0.05</v>
      </c>
      <c r="L803">
        <f t="shared" si="60"/>
        <v>0.05</v>
      </c>
      <c r="M803">
        <v>16772</v>
      </c>
      <c r="N803">
        <f t="shared" si="61"/>
        <v>41872</v>
      </c>
      <c r="O803">
        <f t="shared" si="62"/>
        <v>39778.400000000001</v>
      </c>
      <c r="P803">
        <f>I803*IFERROR(_xlfn.XLOOKUP(F803,Lookup_Tables!Product,Cost),0)</f>
        <v>11552</v>
      </c>
      <c r="Q803">
        <f t="shared" si="63"/>
        <v>28226.400000000001</v>
      </c>
      <c r="R803" s="2">
        <f t="shared" si="64"/>
        <v>0.70959113488727554</v>
      </c>
    </row>
    <row r="804" spans="1:18" x14ac:dyDescent="0.3">
      <c r="A804" t="s">
        <v>861</v>
      </c>
      <c r="B804" s="1">
        <v>45310</v>
      </c>
      <c r="C804" t="s">
        <v>5</v>
      </c>
      <c r="D804" t="s">
        <v>76</v>
      </c>
      <c r="E804" t="s">
        <v>28</v>
      </c>
      <c r="F804" t="s">
        <v>61</v>
      </c>
      <c r="G804" t="str">
        <f>INDEX(Lookup_Tables!$B$1:$B$7,MATCH(Cleaned_Data!F804,Lookup_Tables!$A$1:$A$7,0))</f>
        <v>Electronics</v>
      </c>
      <c r="H804" t="s">
        <v>54</v>
      </c>
      <c r="I804">
        <v>9</v>
      </c>
      <c r="J804">
        <v>41467</v>
      </c>
      <c r="K804">
        <v>0.05</v>
      </c>
      <c r="L804">
        <f t="shared" si="60"/>
        <v>0.05</v>
      </c>
      <c r="M804">
        <v>26386</v>
      </c>
      <c r="N804">
        <f t="shared" si="61"/>
        <v>373203</v>
      </c>
      <c r="O804">
        <f t="shared" si="62"/>
        <v>354542.85</v>
      </c>
      <c r="P804">
        <f>I804*IFERROR(_xlfn.XLOOKUP(F804,Lookup_Tables!Product,Cost),0)</f>
        <v>66456</v>
      </c>
      <c r="Q804">
        <f t="shared" si="63"/>
        <v>288086.84999999998</v>
      </c>
      <c r="R804" s="2">
        <f t="shared" si="64"/>
        <v>0.81255862302680759</v>
      </c>
    </row>
    <row r="805" spans="1:18" x14ac:dyDescent="0.3">
      <c r="A805" t="s">
        <v>862</v>
      </c>
      <c r="B805" s="1">
        <v>45395</v>
      </c>
      <c r="C805" t="s">
        <v>3</v>
      </c>
      <c r="D805" t="s">
        <v>64</v>
      </c>
      <c r="E805" t="s">
        <v>29</v>
      </c>
      <c r="F805" t="s">
        <v>23</v>
      </c>
      <c r="G805" t="str">
        <f>INDEX(Lookup_Tables!$B$1:$B$7,MATCH(Cleaned_Data!F805,Lookup_Tables!$A$1:$A$7,0))</f>
        <v>Electronics</v>
      </c>
      <c r="H805" t="s">
        <v>54</v>
      </c>
      <c r="I805">
        <v>4</v>
      </c>
      <c r="J805">
        <v>28873</v>
      </c>
      <c r="K805">
        <v>0.05</v>
      </c>
      <c r="L805">
        <f t="shared" si="60"/>
        <v>0.05</v>
      </c>
      <c r="N805">
        <f t="shared" si="61"/>
        <v>115492</v>
      </c>
      <c r="O805">
        <f t="shared" si="62"/>
        <v>109717.4</v>
      </c>
      <c r="P805">
        <f>I805*IFERROR(_xlfn.XLOOKUP(F805,Lookup_Tables!Product,Cost),0)</f>
        <v>77060</v>
      </c>
      <c r="Q805">
        <f t="shared" si="63"/>
        <v>32657.399999999994</v>
      </c>
      <c r="R805" s="2">
        <f t="shared" si="64"/>
        <v>0.29765014482661817</v>
      </c>
    </row>
    <row r="806" spans="1:18" x14ac:dyDescent="0.3">
      <c r="A806" t="s">
        <v>863</v>
      </c>
      <c r="B806" s="1">
        <v>45593</v>
      </c>
      <c r="C806" t="s">
        <v>6</v>
      </c>
      <c r="D806" t="s">
        <v>49</v>
      </c>
      <c r="E806" t="s">
        <v>29</v>
      </c>
      <c r="F806" t="s">
        <v>50</v>
      </c>
      <c r="G806" t="str">
        <f>INDEX(Lookup_Tables!$B$1:$B$7,MATCH(Cleaned_Data!F806,Lookup_Tables!$A$1:$A$7,0))</f>
        <v>Furniture</v>
      </c>
      <c r="H806" t="s">
        <v>51</v>
      </c>
      <c r="I806">
        <v>10</v>
      </c>
      <c r="J806">
        <v>19833</v>
      </c>
      <c r="K806">
        <v>0.05</v>
      </c>
      <c r="L806">
        <f t="shared" si="60"/>
        <v>0.05</v>
      </c>
      <c r="N806">
        <f t="shared" si="61"/>
        <v>198330</v>
      </c>
      <c r="O806">
        <f t="shared" si="62"/>
        <v>188413.5</v>
      </c>
      <c r="P806">
        <f>I806*IFERROR(_xlfn.XLOOKUP(F806,Lookup_Tables!Product,Cost),0)</f>
        <v>132710</v>
      </c>
      <c r="Q806">
        <f t="shared" si="63"/>
        <v>55703.5</v>
      </c>
      <c r="R806" s="2">
        <f t="shared" si="64"/>
        <v>0.29564495113142103</v>
      </c>
    </row>
    <row r="807" spans="1:18" x14ac:dyDescent="0.3">
      <c r="A807" t="s">
        <v>864</v>
      </c>
      <c r="B807" s="1">
        <v>45332</v>
      </c>
      <c r="C807" t="s">
        <v>3</v>
      </c>
      <c r="D807" t="s">
        <v>56</v>
      </c>
      <c r="E807" t="s">
        <v>28</v>
      </c>
      <c r="F807" t="s">
        <v>58</v>
      </c>
      <c r="G807" t="str">
        <f>INDEX(Lookup_Tables!$B$1:$B$7,MATCH(Cleaned_Data!F807,Lookup_Tables!$A$1:$A$7,0))</f>
        <v>Electronics</v>
      </c>
      <c r="H807" t="s">
        <v>54</v>
      </c>
      <c r="I807">
        <v>4</v>
      </c>
      <c r="J807">
        <v>49359</v>
      </c>
      <c r="L807">
        <f t="shared" si="60"/>
        <v>0</v>
      </c>
      <c r="M807">
        <v>27339</v>
      </c>
      <c r="N807">
        <f t="shared" si="61"/>
        <v>197436</v>
      </c>
      <c r="O807">
        <f t="shared" si="62"/>
        <v>197436</v>
      </c>
      <c r="P807">
        <f>I807*IFERROR(_xlfn.XLOOKUP(F807,Lookup_Tables!Product,Cost),0)</f>
        <v>11552</v>
      </c>
      <c r="Q807">
        <f t="shared" si="63"/>
        <v>185884</v>
      </c>
      <c r="R807" s="2">
        <f t="shared" si="64"/>
        <v>0.94148990052472703</v>
      </c>
    </row>
    <row r="808" spans="1:18" x14ac:dyDescent="0.3">
      <c r="A808" t="s">
        <v>865</v>
      </c>
      <c r="B808" s="1">
        <v>45514</v>
      </c>
      <c r="C808" t="s">
        <v>5</v>
      </c>
      <c r="D808" t="s">
        <v>64</v>
      </c>
      <c r="E808" t="s">
        <v>25</v>
      </c>
      <c r="F808" t="s">
        <v>24</v>
      </c>
      <c r="G808" t="str">
        <f>INDEX(Lookup_Tables!$B$1:$B$7,MATCH(Cleaned_Data!F808,Lookup_Tables!$A$1:$A$7,0))</f>
        <v>Electronics</v>
      </c>
      <c r="H808" t="s">
        <v>54</v>
      </c>
      <c r="I808">
        <v>9</v>
      </c>
      <c r="J808">
        <v>20021</v>
      </c>
      <c r="L808">
        <f t="shared" si="60"/>
        <v>0</v>
      </c>
      <c r="M808">
        <v>14177</v>
      </c>
      <c r="N808">
        <f t="shared" si="61"/>
        <v>180189</v>
      </c>
      <c r="O808">
        <f t="shared" si="62"/>
        <v>180189</v>
      </c>
      <c r="P808">
        <f>I808*IFERROR(_xlfn.XLOOKUP(F808,Lookup_Tables!Product,Cost),0)</f>
        <v>252414</v>
      </c>
      <c r="Q808">
        <f t="shared" si="63"/>
        <v>-72225</v>
      </c>
      <c r="R808" s="2">
        <f t="shared" si="64"/>
        <v>-0.40082912941411519</v>
      </c>
    </row>
    <row r="809" spans="1:18" x14ac:dyDescent="0.3">
      <c r="A809" t="s">
        <v>866</v>
      </c>
      <c r="B809" s="1">
        <v>45621</v>
      </c>
      <c r="C809" t="s">
        <v>5</v>
      </c>
      <c r="D809" t="s">
        <v>64</v>
      </c>
      <c r="E809" t="s">
        <v>25</v>
      </c>
      <c r="F809" t="s">
        <v>61</v>
      </c>
      <c r="G809" t="str">
        <f>INDEX(Lookup_Tables!$B$1:$B$7,MATCH(Cleaned_Data!F809,Lookup_Tables!$A$1:$A$7,0))</f>
        <v>Electronics</v>
      </c>
      <c r="H809" t="s">
        <v>54</v>
      </c>
      <c r="I809">
        <v>7</v>
      </c>
      <c r="J809">
        <v>47465</v>
      </c>
      <c r="L809">
        <f t="shared" si="60"/>
        <v>0</v>
      </c>
      <c r="N809">
        <f t="shared" si="61"/>
        <v>332255</v>
      </c>
      <c r="O809">
        <f t="shared" si="62"/>
        <v>332255</v>
      </c>
      <c r="P809">
        <f>I809*IFERROR(_xlfn.XLOOKUP(F809,Lookup_Tables!Product,Cost),0)</f>
        <v>51688</v>
      </c>
      <c r="Q809">
        <f t="shared" si="63"/>
        <v>280567</v>
      </c>
      <c r="R809" s="2">
        <f t="shared" si="64"/>
        <v>0.84443273991362056</v>
      </c>
    </row>
    <row r="810" spans="1:18" x14ac:dyDescent="0.3">
      <c r="A810" t="s">
        <v>867</v>
      </c>
      <c r="B810" s="1">
        <v>45501</v>
      </c>
      <c r="C810" t="s">
        <v>5</v>
      </c>
      <c r="D810" t="s">
        <v>49</v>
      </c>
      <c r="E810" t="s">
        <v>28</v>
      </c>
      <c r="F810" t="s">
        <v>58</v>
      </c>
      <c r="G810" t="str">
        <f>INDEX(Lookup_Tables!$B$1:$B$7,MATCH(Cleaned_Data!F810,Lookup_Tables!$A$1:$A$7,0))</f>
        <v>Electronics</v>
      </c>
      <c r="H810" t="s">
        <v>54</v>
      </c>
      <c r="I810">
        <v>10</v>
      </c>
      <c r="J810">
        <v>4572</v>
      </c>
      <c r="K810">
        <v>0.05</v>
      </c>
      <c r="L810">
        <f t="shared" si="60"/>
        <v>0.05</v>
      </c>
      <c r="N810">
        <f t="shared" si="61"/>
        <v>45720</v>
      </c>
      <c r="O810">
        <f t="shared" si="62"/>
        <v>43434</v>
      </c>
      <c r="P810">
        <f>I810*IFERROR(_xlfn.XLOOKUP(F810,Lookup_Tables!Product,Cost),0)</f>
        <v>28880</v>
      </c>
      <c r="Q810">
        <f t="shared" si="63"/>
        <v>14554</v>
      </c>
      <c r="R810" s="2">
        <f t="shared" si="64"/>
        <v>0.33508311461067369</v>
      </c>
    </row>
    <row r="811" spans="1:18" x14ac:dyDescent="0.3">
      <c r="A811" t="s">
        <v>868</v>
      </c>
      <c r="B811" s="1">
        <v>45458</v>
      </c>
      <c r="C811" t="s">
        <v>3</v>
      </c>
      <c r="D811" t="s">
        <v>76</v>
      </c>
      <c r="E811" t="s">
        <v>26</v>
      </c>
      <c r="F811" t="s">
        <v>22</v>
      </c>
      <c r="G811" t="str">
        <f>INDEX(Lookup_Tables!$B$1:$B$7,MATCH(Cleaned_Data!F811,Lookup_Tables!$A$1:$A$7,0))</f>
        <v>Furniture</v>
      </c>
      <c r="H811" t="s">
        <v>51</v>
      </c>
      <c r="I811">
        <v>6</v>
      </c>
      <c r="J811">
        <v>35199</v>
      </c>
      <c r="L811">
        <f t="shared" si="60"/>
        <v>0</v>
      </c>
      <c r="M811">
        <v>29500</v>
      </c>
      <c r="N811">
        <f t="shared" si="61"/>
        <v>211194</v>
      </c>
      <c r="O811">
        <f t="shared" si="62"/>
        <v>211194</v>
      </c>
      <c r="P811">
        <f>I811*IFERROR(_xlfn.XLOOKUP(F811,Lookup_Tables!Product,Cost),0)</f>
        <v>78240</v>
      </c>
      <c r="Q811">
        <f t="shared" si="63"/>
        <v>132954</v>
      </c>
      <c r="R811" s="2">
        <f t="shared" si="64"/>
        <v>0.62953492996960136</v>
      </c>
    </row>
    <row r="812" spans="1:18" x14ac:dyDescent="0.3">
      <c r="A812" t="s">
        <v>869</v>
      </c>
      <c r="B812" s="1">
        <v>45591</v>
      </c>
      <c r="C812" t="s">
        <v>5</v>
      </c>
      <c r="D812" t="s">
        <v>49</v>
      </c>
      <c r="E812" t="s">
        <v>28</v>
      </c>
      <c r="F812" t="s">
        <v>23</v>
      </c>
      <c r="G812" t="str">
        <f>INDEX(Lookup_Tables!$B$1:$B$7,MATCH(Cleaned_Data!F812,Lookup_Tables!$A$1:$A$7,0))</f>
        <v>Electronics</v>
      </c>
      <c r="H812" t="s">
        <v>54</v>
      </c>
      <c r="I812">
        <v>8</v>
      </c>
      <c r="J812">
        <v>17336</v>
      </c>
      <c r="L812">
        <f t="shared" si="60"/>
        <v>0</v>
      </c>
      <c r="M812">
        <v>26479</v>
      </c>
      <c r="N812">
        <f t="shared" si="61"/>
        <v>138688</v>
      </c>
      <c r="O812">
        <f t="shared" si="62"/>
        <v>138688</v>
      </c>
      <c r="P812">
        <f>I812*IFERROR(_xlfn.XLOOKUP(F812,Lookup_Tables!Product,Cost),0)</f>
        <v>154120</v>
      </c>
      <c r="Q812">
        <f t="shared" si="63"/>
        <v>-15432</v>
      </c>
      <c r="R812" s="2">
        <f t="shared" si="64"/>
        <v>-0.11127134287032764</v>
      </c>
    </row>
    <row r="813" spans="1:18" x14ac:dyDescent="0.3">
      <c r="A813" t="s">
        <v>870</v>
      </c>
      <c r="B813" s="1">
        <v>45323</v>
      </c>
      <c r="C813" t="s">
        <v>3</v>
      </c>
      <c r="D813" t="s">
        <v>76</v>
      </c>
      <c r="E813" t="s">
        <v>26</v>
      </c>
      <c r="F813" t="s">
        <v>22</v>
      </c>
      <c r="G813" t="str">
        <f>INDEX(Lookup_Tables!$B$1:$B$7,MATCH(Cleaned_Data!F813,Lookup_Tables!$A$1:$A$7,0))</f>
        <v>Furniture</v>
      </c>
      <c r="H813" t="s">
        <v>51</v>
      </c>
      <c r="I813">
        <v>5</v>
      </c>
      <c r="J813">
        <v>1843</v>
      </c>
      <c r="K813">
        <v>0</v>
      </c>
      <c r="L813">
        <f t="shared" si="60"/>
        <v>0</v>
      </c>
      <c r="N813">
        <f t="shared" si="61"/>
        <v>9215</v>
      </c>
      <c r="O813">
        <f t="shared" si="62"/>
        <v>9215</v>
      </c>
      <c r="P813">
        <f>I813*IFERROR(_xlfn.XLOOKUP(F813,Lookup_Tables!Product,Cost),0)</f>
        <v>65200</v>
      </c>
      <c r="Q813">
        <f t="shared" si="63"/>
        <v>-55985</v>
      </c>
      <c r="R813" s="2">
        <f t="shared" si="64"/>
        <v>-6.0754205100379819</v>
      </c>
    </row>
    <row r="814" spans="1:18" x14ac:dyDescent="0.3">
      <c r="A814" t="s">
        <v>871</v>
      </c>
      <c r="B814" s="1">
        <v>45478</v>
      </c>
      <c r="C814" t="s">
        <v>6</v>
      </c>
      <c r="D814" t="s">
        <v>56</v>
      </c>
      <c r="E814" t="s">
        <v>25</v>
      </c>
      <c r="F814" t="s">
        <v>61</v>
      </c>
      <c r="G814" t="str">
        <f>INDEX(Lookup_Tables!$B$1:$B$7,MATCH(Cleaned_Data!F814,Lookup_Tables!$A$1:$A$7,0))</f>
        <v>Electronics</v>
      </c>
      <c r="H814" t="s">
        <v>54</v>
      </c>
      <c r="I814">
        <v>10</v>
      </c>
      <c r="J814">
        <v>19391</v>
      </c>
      <c r="K814">
        <v>0</v>
      </c>
      <c r="L814">
        <f t="shared" si="60"/>
        <v>0</v>
      </c>
      <c r="M814">
        <v>3739</v>
      </c>
      <c r="N814">
        <f t="shared" si="61"/>
        <v>193910</v>
      </c>
      <c r="O814">
        <f t="shared" si="62"/>
        <v>193910</v>
      </c>
      <c r="P814">
        <f>I814*IFERROR(_xlfn.XLOOKUP(F814,Lookup_Tables!Product,Cost),0)</f>
        <v>73840</v>
      </c>
      <c r="Q814">
        <f t="shared" si="63"/>
        <v>120070</v>
      </c>
      <c r="R814" s="2">
        <f t="shared" si="64"/>
        <v>0.61920478572533655</v>
      </c>
    </row>
    <row r="815" spans="1:18" x14ac:dyDescent="0.3">
      <c r="A815" t="s">
        <v>872</v>
      </c>
      <c r="B815" s="1">
        <v>45505</v>
      </c>
      <c r="C815" t="s">
        <v>5</v>
      </c>
      <c r="D815" t="s">
        <v>76</v>
      </c>
      <c r="E815" t="s">
        <v>26</v>
      </c>
      <c r="F815" t="s">
        <v>58</v>
      </c>
      <c r="G815" t="str">
        <f>INDEX(Lookup_Tables!$B$1:$B$7,MATCH(Cleaned_Data!F815,Lookup_Tables!$A$1:$A$7,0))</f>
        <v>Electronics</v>
      </c>
      <c r="H815" t="s">
        <v>54</v>
      </c>
      <c r="I815">
        <v>1</v>
      </c>
      <c r="J815">
        <v>47334</v>
      </c>
      <c r="L815">
        <f t="shared" si="60"/>
        <v>0</v>
      </c>
      <c r="M815">
        <v>16080</v>
      </c>
      <c r="N815">
        <f t="shared" si="61"/>
        <v>47334</v>
      </c>
      <c r="O815">
        <f t="shared" si="62"/>
        <v>47334</v>
      </c>
      <c r="P815">
        <f>I815*IFERROR(_xlfn.XLOOKUP(F815,Lookup_Tables!Product,Cost),0)</f>
        <v>2888</v>
      </c>
      <c r="Q815">
        <f t="shared" si="63"/>
        <v>44446</v>
      </c>
      <c r="R815" s="2">
        <f t="shared" si="64"/>
        <v>0.93898677483415727</v>
      </c>
    </row>
    <row r="816" spans="1:18" x14ac:dyDescent="0.3">
      <c r="A816" t="s">
        <v>873</v>
      </c>
      <c r="B816" s="1">
        <v>45372</v>
      </c>
      <c r="C816" t="s">
        <v>3</v>
      </c>
      <c r="D816" t="s">
        <v>49</v>
      </c>
      <c r="E816" t="s">
        <v>25</v>
      </c>
      <c r="F816" t="s">
        <v>22</v>
      </c>
      <c r="G816" t="str">
        <f>INDEX(Lookup_Tables!$B$1:$B$7,MATCH(Cleaned_Data!F816,Lookup_Tables!$A$1:$A$7,0))</f>
        <v>Furniture</v>
      </c>
      <c r="H816" t="s">
        <v>51</v>
      </c>
      <c r="I816">
        <v>8</v>
      </c>
      <c r="J816">
        <v>40115</v>
      </c>
      <c r="K816">
        <v>0</v>
      </c>
      <c r="L816">
        <f t="shared" si="60"/>
        <v>0</v>
      </c>
      <c r="M816">
        <v>15045</v>
      </c>
      <c r="N816">
        <f t="shared" si="61"/>
        <v>320920</v>
      </c>
      <c r="O816">
        <f t="shared" si="62"/>
        <v>320920</v>
      </c>
      <c r="P816">
        <f>I816*IFERROR(_xlfn.XLOOKUP(F816,Lookup_Tables!Product,Cost),0)</f>
        <v>104320</v>
      </c>
      <c r="Q816">
        <f t="shared" si="63"/>
        <v>216600</v>
      </c>
      <c r="R816" s="2">
        <f t="shared" si="64"/>
        <v>0.67493456313099842</v>
      </c>
    </row>
    <row r="817" spans="1:18" x14ac:dyDescent="0.3">
      <c r="A817" t="s">
        <v>874</v>
      </c>
      <c r="B817" s="1">
        <v>45612</v>
      </c>
      <c r="C817" t="s">
        <v>4</v>
      </c>
      <c r="D817" t="s">
        <v>53</v>
      </c>
      <c r="E817" t="s">
        <v>29</v>
      </c>
      <c r="F817" t="s">
        <v>23</v>
      </c>
      <c r="G817" t="str">
        <f>INDEX(Lookup_Tables!$B$1:$B$7,MATCH(Cleaned_Data!F817,Lookup_Tables!$A$1:$A$7,0))</f>
        <v>Electronics</v>
      </c>
      <c r="H817" t="s">
        <v>54</v>
      </c>
      <c r="I817">
        <v>7</v>
      </c>
      <c r="J817">
        <v>13529</v>
      </c>
      <c r="K817">
        <v>0.1</v>
      </c>
      <c r="L817">
        <f t="shared" si="60"/>
        <v>0.1</v>
      </c>
      <c r="M817">
        <v>5280</v>
      </c>
      <c r="N817">
        <f t="shared" si="61"/>
        <v>94703</v>
      </c>
      <c r="O817">
        <f t="shared" si="62"/>
        <v>85232.7</v>
      </c>
      <c r="P817">
        <f>I817*IFERROR(_xlfn.XLOOKUP(F817,Lookup_Tables!Product,Cost),0)</f>
        <v>134855</v>
      </c>
      <c r="Q817">
        <f t="shared" si="63"/>
        <v>-49622.3</v>
      </c>
      <c r="R817" s="2">
        <f t="shared" si="64"/>
        <v>-0.58219791230361118</v>
      </c>
    </row>
    <row r="818" spans="1:18" x14ac:dyDescent="0.3">
      <c r="A818" t="s">
        <v>875</v>
      </c>
      <c r="B818" s="1">
        <v>45567</v>
      </c>
      <c r="C818" t="s">
        <v>3</v>
      </c>
      <c r="D818" t="s">
        <v>64</v>
      </c>
      <c r="E818" t="s">
        <v>25</v>
      </c>
      <c r="F818" t="s">
        <v>58</v>
      </c>
      <c r="G818" t="str">
        <f>INDEX(Lookup_Tables!$B$1:$B$7,MATCH(Cleaned_Data!F818,Lookup_Tables!$A$1:$A$7,0))</f>
        <v>Electronics</v>
      </c>
      <c r="H818" t="s">
        <v>54</v>
      </c>
      <c r="I818">
        <v>1</v>
      </c>
      <c r="J818">
        <v>7059</v>
      </c>
      <c r="K818">
        <v>0</v>
      </c>
      <c r="L818">
        <f t="shared" si="60"/>
        <v>0</v>
      </c>
      <c r="M818">
        <v>7950</v>
      </c>
      <c r="N818">
        <f t="shared" si="61"/>
        <v>7059</v>
      </c>
      <c r="O818">
        <f t="shared" si="62"/>
        <v>7059</v>
      </c>
      <c r="P818">
        <f>I818*IFERROR(_xlfn.XLOOKUP(F818,Lookup_Tables!Product,Cost),0)</f>
        <v>2888</v>
      </c>
      <c r="Q818">
        <f t="shared" si="63"/>
        <v>4171</v>
      </c>
      <c r="R818" s="2">
        <f t="shared" si="64"/>
        <v>0.59087689474429805</v>
      </c>
    </row>
    <row r="819" spans="1:18" x14ac:dyDescent="0.3">
      <c r="A819" t="s">
        <v>876</v>
      </c>
      <c r="B819" s="1">
        <v>45341</v>
      </c>
      <c r="C819" t="s">
        <v>3</v>
      </c>
      <c r="D819" t="s">
        <v>76</v>
      </c>
      <c r="E819" t="s">
        <v>29</v>
      </c>
      <c r="F819" t="s">
        <v>58</v>
      </c>
      <c r="G819" t="str">
        <f>INDEX(Lookup_Tables!$B$1:$B$7,MATCH(Cleaned_Data!F819,Lookup_Tables!$A$1:$A$7,0))</f>
        <v>Electronics</v>
      </c>
      <c r="H819" t="s">
        <v>54</v>
      </c>
      <c r="I819">
        <v>1</v>
      </c>
      <c r="J819">
        <v>21622</v>
      </c>
      <c r="K819">
        <v>0.05</v>
      </c>
      <c r="L819">
        <f t="shared" si="60"/>
        <v>0.05</v>
      </c>
      <c r="N819">
        <f t="shared" si="61"/>
        <v>21622</v>
      </c>
      <c r="O819">
        <f t="shared" si="62"/>
        <v>20540.900000000001</v>
      </c>
      <c r="P819">
        <f>I819*IFERROR(_xlfn.XLOOKUP(F819,Lookup_Tables!Product,Cost),0)</f>
        <v>2888</v>
      </c>
      <c r="Q819">
        <f t="shared" si="63"/>
        <v>17652.900000000001</v>
      </c>
      <c r="R819" s="2">
        <f t="shared" si="64"/>
        <v>0.85940246045694202</v>
      </c>
    </row>
    <row r="820" spans="1:18" x14ac:dyDescent="0.3">
      <c r="A820" t="s">
        <v>877</v>
      </c>
      <c r="B820" s="1">
        <v>45391</v>
      </c>
      <c r="C820" t="s">
        <v>5</v>
      </c>
      <c r="D820" t="s">
        <v>53</v>
      </c>
      <c r="E820" t="s">
        <v>28</v>
      </c>
      <c r="F820" t="s">
        <v>23</v>
      </c>
      <c r="G820" t="str">
        <f>INDEX(Lookup_Tables!$B$1:$B$7,MATCH(Cleaned_Data!F820,Lookup_Tables!$A$1:$A$7,0))</f>
        <v>Electronics</v>
      </c>
      <c r="H820" t="s">
        <v>54</v>
      </c>
      <c r="I820">
        <v>7</v>
      </c>
      <c r="J820">
        <v>33684</v>
      </c>
      <c r="K820">
        <v>0.05</v>
      </c>
      <c r="L820">
        <f t="shared" si="60"/>
        <v>0.05</v>
      </c>
      <c r="M820">
        <v>7770</v>
      </c>
      <c r="N820">
        <f t="shared" si="61"/>
        <v>235788</v>
      </c>
      <c r="O820">
        <f t="shared" si="62"/>
        <v>223998.6</v>
      </c>
      <c r="P820">
        <f>I820*IFERROR(_xlfn.XLOOKUP(F820,Lookup_Tables!Product,Cost),0)</f>
        <v>134855</v>
      </c>
      <c r="Q820">
        <f t="shared" si="63"/>
        <v>89143.6</v>
      </c>
      <c r="R820" s="2">
        <f t="shared" si="64"/>
        <v>0.39796498728117052</v>
      </c>
    </row>
    <row r="821" spans="1:18" x14ac:dyDescent="0.3">
      <c r="A821" t="s">
        <v>878</v>
      </c>
      <c r="B821" s="1">
        <v>45504</v>
      </c>
      <c r="C821" t="s">
        <v>3</v>
      </c>
      <c r="D821" t="s">
        <v>49</v>
      </c>
      <c r="E821" t="s">
        <v>26</v>
      </c>
      <c r="F821" t="s">
        <v>24</v>
      </c>
      <c r="G821" t="str">
        <f>INDEX(Lookup_Tables!$B$1:$B$7,MATCH(Cleaned_Data!F821,Lookup_Tables!$A$1:$A$7,0))</f>
        <v>Electronics</v>
      </c>
      <c r="H821" t="s">
        <v>54</v>
      </c>
      <c r="I821">
        <v>2</v>
      </c>
      <c r="J821">
        <v>47885</v>
      </c>
      <c r="K821">
        <v>0</v>
      </c>
      <c r="L821">
        <f t="shared" si="60"/>
        <v>0</v>
      </c>
      <c r="N821">
        <f t="shared" si="61"/>
        <v>95770</v>
      </c>
      <c r="O821">
        <f t="shared" si="62"/>
        <v>95770</v>
      </c>
      <c r="P821">
        <f>I821*IFERROR(_xlfn.XLOOKUP(F821,Lookup_Tables!Product,Cost),0)</f>
        <v>56092</v>
      </c>
      <c r="Q821">
        <f t="shared" si="63"/>
        <v>39678</v>
      </c>
      <c r="R821" s="2">
        <f t="shared" si="64"/>
        <v>0.41430510598308445</v>
      </c>
    </row>
    <row r="822" spans="1:18" x14ac:dyDescent="0.3">
      <c r="A822" t="s">
        <v>879</v>
      </c>
      <c r="B822" s="1">
        <v>45597</v>
      </c>
      <c r="C822" t="s">
        <v>5</v>
      </c>
      <c r="D822" t="s">
        <v>53</v>
      </c>
      <c r="E822" t="s">
        <v>29</v>
      </c>
      <c r="F822" t="s">
        <v>61</v>
      </c>
      <c r="G822" t="str">
        <f>INDEX(Lookup_Tables!$B$1:$B$7,MATCH(Cleaned_Data!F822,Lookup_Tables!$A$1:$A$7,0))</f>
        <v>Electronics</v>
      </c>
      <c r="H822" t="s">
        <v>54</v>
      </c>
      <c r="I822">
        <v>1</v>
      </c>
      <c r="J822">
        <v>41519</v>
      </c>
      <c r="K822">
        <v>0.05</v>
      </c>
      <c r="L822">
        <f t="shared" si="60"/>
        <v>0.05</v>
      </c>
      <c r="M822">
        <v>25425</v>
      </c>
      <c r="N822">
        <f t="shared" si="61"/>
        <v>41519</v>
      </c>
      <c r="O822">
        <f t="shared" si="62"/>
        <v>39443.050000000003</v>
      </c>
      <c r="P822">
        <f>I822*IFERROR(_xlfn.XLOOKUP(F822,Lookup_Tables!Product,Cost),0)</f>
        <v>7384</v>
      </c>
      <c r="Q822">
        <f t="shared" si="63"/>
        <v>32059.050000000003</v>
      </c>
      <c r="R822" s="2">
        <f t="shared" si="64"/>
        <v>0.81279338185054151</v>
      </c>
    </row>
    <row r="823" spans="1:18" x14ac:dyDescent="0.3">
      <c r="A823" t="s">
        <v>880</v>
      </c>
      <c r="B823" s="1">
        <v>45321</v>
      </c>
      <c r="C823" t="s">
        <v>3</v>
      </c>
      <c r="D823" t="s">
        <v>64</v>
      </c>
      <c r="E823" t="s">
        <v>26</v>
      </c>
      <c r="F823" t="s">
        <v>23</v>
      </c>
      <c r="G823" t="str">
        <f>INDEX(Lookup_Tables!$B$1:$B$7,MATCH(Cleaned_Data!F823,Lookup_Tables!$A$1:$A$7,0))</f>
        <v>Electronics</v>
      </c>
      <c r="H823" t="s">
        <v>54</v>
      </c>
      <c r="I823">
        <v>7</v>
      </c>
      <c r="J823">
        <v>5903</v>
      </c>
      <c r="L823">
        <f t="shared" si="60"/>
        <v>0</v>
      </c>
      <c r="N823">
        <f t="shared" si="61"/>
        <v>41321</v>
      </c>
      <c r="O823">
        <f t="shared" si="62"/>
        <v>41321</v>
      </c>
      <c r="P823">
        <f>I823*IFERROR(_xlfn.XLOOKUP(F823,Lookup_Tables!Product,Cost),0)</f>
        <v>134855</v>
      </c>
      <c r="Q823">
        <f t="shared" si="63"/>
        <v>-93534</v>
      </c>
      <c r="R823" s="2">
        <f t="shared" si="64"/>
        <v>-2.2635947823140774</v>
      </c>
    </row>
    <row r="824" spans="1:18" x14ac:dyDescent="0.3">
      <c r="A824" t="s">
        <v>881</v>
      </c>
      <c r="B824" s="1">
        <v>45645</v>
      </c>
      <c r="C824" t="s">
        <v>4</v>
      </c>
      <c r="D824" t="s">
        <v>76</v>
      </c>
      <c r="E824" t="s">
        <v>26</v>
      </c>
      <c r="F824" t="s">
        <v>22</v>
      </c>
      <c r="G824" t="str">
        <f>INDEX(Lookup_Tables!$B$1:$B$7,MATCH(Cleaned_Data!F824,Lookup_Tables!$A$1:$A$7,0))</f>
        <v>Furniture</v>
      </c>
      <c r="H824" t="s">
        <v>51</v>
      </c>
      <c r="I824">
        <v>4</v>
      </c>
      <c r="J824">
        <v>6725</v>
      </c>
      <c r="K824">
        <v>0.05</v>
      </c>
      <c r="L824">
        <f t="shared" si="60"/>
        <v>0.05</v>
      </c>
      <c r="N824">
        <f t="shared" si="61"/>
        <v>26900</v>
      </c>
      <c r="O824">
        <f t="shared" si="62"/>
        <v>25555</v>
      </c>
      <c r="P824">
        <f>I824*IFERROR(_xlfn.XLOOKUP(F824,Lookup_Tables!Product,Cost),0)</f>
        <v>52160</v>
      </c>
      <c r="Q824">
        <f t="shared" si="63"/>
        <v>-26605</v>
      </c>
      <c r="R824" s="2">
        <f t="shared" si="64"/>
        <v>-1.0410878497358638</v>
      </c>
    </row>
    <row r="825" spans="1:18" x14ac:dyDescent="0.3">
      <c r="A825" t="s">
        <v>882</v>
      </c>
      <c r="B825" s="1">
        <v>45479</v>
      </c>
      <c r="C825" t="s">
        <v>6</v>
      </c>
      <c r="D825" t="s">
        <v>69</v>
      </c>
      <c r="E825" t="s">
        <v>27</v>
      </c>
      <c r="F825" t="s">
        <v>50</v>
      </c>
      <c r="G825" t="str">
        <f>INDEX(Lookup_Tables!$B$1:$B$7,MATCH(Cleaned_Data!F825,Lookup_Tables!$A$1:$A$7,0))</f>
        <v>Furniture</v>
      </c>
      <c r="H825" t="s">
        <v>51</v>
      </c>
      <c r="I825">
        <v>1</v>
      </c>
      <c r="J825">
        <v>48214</v>
      </c>
      <c r="K825">
        <v>0.1</v>
      </c>
      <c r="L825">
        <f t="shared" si="60"/>
        <v>0.1</v>
      </c>
      <c r="M825">
        <v>17294</v>
      </c>
      <c r="N825">
        <f t="shared" si="61"/>
        <v>48214</v>
      </c>
      <c r="O825">
        <f t="shared" si="62"/>
        <v>43392.6</v>
      </c>
      <c r="P825">
        <f>I825*IFERROR(_xlfn.XLOOKUP(F825,Lookup_Tables!Product,Cost),0)</f>
        <v>13271</v>
      </c>
      <c r="Q825">
        <f t="shared" si="63"/>
        <v>30121.599999999999</v>
      </c>
      <c r="R825" s="2">
        <f t="shared" si="64"/>
        <v>0.69416444278517531</v>
      </c>
    </row>
    <row r="826" spans="1:18" x14ac:dyDescent="0.3">
      <c r="A826" t="s">
        <v>883</v>
      </c>
      <c r="B826" s="1">
        <v>45477</v>
      </c>
      <c r="C826" t="s">
        <v>3</v>
      </c>
      <c r="D826" t="s">
        <v>53</v>
      </c>
      <c r="E826" t="s">
        <v>25</v>
      </c>
      <c r="F826" t="s">
        <v>61</v>
      </c>
      <c r="G826" t="str">
        <f>INDEX(Lookup_Tables!$B$1:$B$7,MATCH(Cleaned_Data!F826,Lookup_Tables!$A$1:$A$7,0))</f>
        <v>Electronics</v>
      </c>
      <c r="H826" t="s">
        <v>54</v>
      </c>
      <c r="I826">
        <v>9</v>
      </c>
      <c r="J826">
        <v>652</v>
      </c>
      <c r="K826">
        <v>0</v>
      </c>
      <c r="L826">
        <f t="shared" si="60"/>
        <v>0</v>
      </c>
      <c r="M826">
        <v>1244</v>
      </c>
      <c r="N826">
        <f t="shared" si="61"/>
        <v>5868</v>
      </c>
      <c r="O826">
        <f t="shared" si="62"/>
        <v>5868</v>
      </c>
      <c r="P826">
        <f>I826*IFERROR(_xlfn.XLOOKUP(F826,Lookup_Tables!Product,Cost),0)</f>
        <v>66456</v>
      </c>
      <c r="Q826">
        <f t="shared" si="63"/>
        <v>-60588</v>
      </c>
      <c r="R826" s="2">
        <f t="shared" si="64"/>
        <v>-10.325153374233128</v>
      </c>
    </row>
    <row r="827" spans="1:18" x14ac:dyDescent="0.3">
      <c r="A827" t="s">
        <v>884</v>
      </c>
      <c r="B827" s="1">
        <v>45562</v>
      </c>
      <c r="C827" t="s">
        <v>5</v>
      </c>
      <c r="D827" t="s">
        <v>56</v>
      </c>
      <c r="E827" t="s">
        <v>28</v>
      </c>
      <c r="F827" t="s">
        <v>61</v>
      </c>
      <c r="G827" t="str">
        <f>INDEX(Lookup_Tables!$B$1:$B$7,MATCH(Cleaned_Data!F827,Lookup_Tables!$A$1:$A$7,0))</f>
        <v>Electronics</v>
      </c>
      <c r="H827" t="s">
        <v>54</v>
      </c>
      <c r="I827">
        <v>8</v>
      </c>
      <c r="J827">
        <v>40293</v>
      </c>
      <c r="K827">
        <v>0.05</v>
      </c>
      <c r="L827">
        <f t="shared" si="60"/>
        <v>0.05</v>
      </c>
      <c r="M827">
        <v>5853</v>
      </c>
      <c r="N827">
        <f t="shared" si="61"/>
        <v>322344</v>
      </c>
      <c r="O827">
        <f t="shared" si="62"/>
        <v>306226.8</v>
      </c>
      <c r="P827">
        <f>I827*IFERROR(_xlfn.XLOOKUP(F827,Lookup_Tables!Product,Cost),0)</f>
        <v>59072</v>
      </c>
      <c r="Q827">
        <f t="shared" si="63"/>
        <v>247154.8</v>
      </c>
      <c r="R827" s="2">
        <f t="shared" si="64"/>
        <v>0.80709722336516598</v>
      </c>
    </row>
    <row r="828" spans="1:18" x14ac:dyDescent="0.3">
      <c r="A828" t="s">
        <v>885</v>
      </c>
      <c r="B828" s="1">
        <v>45379</v>
      </c>
      <c r="C828" t="s">
        <v>3</v>
      </c>
      <c r="D828" t="s">
        <v>76</v>
      </c>
      <c r="E828" t="s">
        <v>29</v>
      </c>
      <c r="F828" t="s">
        <v>24</v>
      </c>
      <c r="G828" t="str">
        <f>INDEX(Lookup_Tables!$B$1:$B$7,MATCH(Cleaned_Data!F828,Lookup_Tables!$A$1:$A$7,0))</f>
        <v>Electronics</v>
      </c>
      <c r="H828" t="s">
        <v>54</v>
      </c>
      <c r="I828">
        <v>8</v>
      </c>
      <c r="J828">
        <v>6512</v>
      </c>
      <c r="K828">
        <v>0</v>
      </c>
      <c r="L828">
        <f t="shared" si="60"/>
        <v>0</v>
      </c>
      <c r="M828">
        <v>235</v>
      </c>
      <c r="N828">
        <f t="shared" si="61"/>
        <v>52096</v>
      </c>
      <c r="O828">
        <f t="shared" si="62"/>
        <v>52096</v>
      </c>
      <c r="P828">
        <f>I828*IFERROR(_xlfn.XLOOKUP(F828,Lookup_Tables!Product,Cost),0)</f>
        <v>224368</v>
      </c>
      <c r="Q828">
        <f t="shared" si="63"/>
        <v>-172272</v>
      </c>
      <c r="R828" s="2">
        <f t="shared" si="64"/>
        <v>-3.3068181818181817</v>
      </c>
    </row>
    <row r="829" spans="1:18" x14ac:dyDescent="0.3">
      <c r="A829" t="s">
        <v>886</v>
      </c>
      <c r="B829" s="1">
        <v>45492</v>
      </c>
      <c r="C829" t="s">
        <v>5</v>
      </c>
      <c r="D829" t="s">
        <v>56</v>
      </c>
      <c r="E829" t="s">
        <v>26</v>
      </c>
      <c r="F829" t="s">
        <v>22</v>
      </c>
      <c r="G829" t="str">
        <f>INDEX(Lookup_Tables!$B$1:$B$7,MATCH(Cleaned_Data!F829,Lookup_Tables!$A$1:$A$7,0))</f>
        <v>Furniture</v>
      </c>
      <c r="H829" t="s">
        <v>51</v>
      </c>
      <c r="I829">
        <v>8</v>
      </c>
      <c r="J829">
        <v>3310</v>
      </c>
      <c r="K829">
        <v>0</v>
      </c>
      <c r="L829">
        <f t="shared" si="60"/>
        <v>0</v>
      </c>
      <c r="N829">
        <f t="shared" si="61"/>
        <v>26480</v>
      </c>
      <c r="O829">
        <f t="shared" si="62"/>
        <v>26480</v>
      </c>
      <c r="P829">
        <f>I829*IFERROR(_xlfn.XLOOKUP(F829,Lookup_Tables!Product,Cost),0)</f>
        <v>104320</v>
      </c>
      <c r="Q829">
        <f t="shared" si="63"/>
        <v>-77840</v>
      </c>
      <c r="R829" s="2">
        <f t="shared" si="64"/>
        <v>-2.9395770392749245</v>
      </c>
    </row>
    <row r="830" spans="1:18" x14ac:dyDescent="0.3">
      <c r="A830" t="s">
        <v>887</v>
      </c>
      <c r="B830" s="1">
        <v>45577</v>
      </c>
      <c r="C830" t="s">
        <v>6</v>
      </c>
      <c r="D830" t="s">
        <v>69</v>
      </c>
      <c r="E830" t="s">
        <v>29</v>
      </c>
      <c r="F830" t="s">
        <v>58</v>
      </c>
      <c r="G830" t="str">
        <f>INDEX(Lookup_Tables!$B$1:$B$7,MATCH(Cleaned_Data!F830,Lookup_Tables!$A$1:$A$7,0))</f>
        <v>Electronics</v>
      </c>
      <c r="H830" t="s">
        <v>54</v>
      </c>
      <c r="I830">
        <v>1</v>
      </c>
      <c r="J830">
        <v>34254</v>
      </c>
      <c r="K830">
        <v>0.05</v>
      </c>
      <c r="L830">
        <f t="shared" si="60"/>
        <v>0.05</v>
      </c>
      <c r="M830">
        <v>17442</v>
      </c>
      <c r="N830">
        <f t="shared" si="61"/>
        <v>34254</v>
      </c>
      <c r="O830">
        <f t="shared" si="62"/>
        <v>32541.3</v>
      </c>
      <c r="P830">
        <f>I830*IFERROR(_xlfn.XLOOKUP(F830,Lookup_Tables!Product,Cost),0)</f>
        <v>2888</v>
      </c>
      <c r="Q830">
        <f t="shared" si="63"/>
        <v>29653.3</v>
      </c>
      <c r="R830" s="2">
        <f t="shared" si="64"/>
        <v>0.91125124073100949</v>
      </c>
    </row>
    <row r="831" spans="1:18" x14ac:dyDescent="0.3">
      <c r="A831" t="s">
        <v>888</v>
      </c>
      <c r="B831" s="1">
        <v>45615</v>
      </c>
      <c r="C831" t="s">
        <v>6</v>
      </c>
      <c r="D831" t="s">
        <v>64</v>
      </c>
      <c r="E831" t="s">
        <v>27</v>
      </c>
      <c r="F831" t="s">
        <v>24</v>
      </c>
      <c r="G831" t="str">
        <f>INDEX(Lookup_Tables!$B$1:$B$7,MATCH(Cleaned_Data!F831,Lookup_Tables!$A$1:$A$7,0))</f>
        <v>Electronics</v>
      </c>
      <c r="H831" t="s">
        <v>54</v>
      </c>
      <c r="I831">
        <v>5</v>
      </c>
      <c r="J831">
        <v>37544</v>
      </c>
      <c r="K831">
        <v>0.1</v>
      </c>
      <c r="L831">
        <f t="shared" si="60"/>
        <v>0.1</v>
      </c>
      <c r="M831">
        <v>8995</v>
      </c>
      <c r="N831">
        <f t="shared" si="61"/>
        <v>187720</v>
      </c>
      <c r="O831">
        <f t="shared" si="62"/>
        <v>168948</v>
      </c>
      <c r="P831">
        <f>I831*IFERROR(_xlfn.XLOOKUP(F831,Lookup_Tables!Product,Cost),0)</f>
        <v>140230</v>
      </c>
      <c r="Q831">
        <f t="shared" si="63"/>
        <v>28718</v>
      </c>
      <c r="R831" s="2">
        <f t="shared" si="64"/>
        <v>0.16998129602007719</v>
      </c>
    </row>
    <row r="832" spans="1:18" x14ac:dyDescent="0.3">
      <c r="A832" t="s">
        <v>889</v>
      </c>
      <c r="B832" s="1">
        <v>45494</v>
      </c>
      <c r="C832" t="s">
        <v>4</v>
      </c>
      <c r="D832" t="s">
        <v>49</v>
      </c>
      <c r="E832" t="s">
        <v>25</v>
      </c>
      <c r="F832" t="s">
        <v>50</v>
      </c>
      <c r="G832" t="str">
        <f>INDEX(Lookup_Tables!$B$1:$B$7,MATCH(Cleaned_Data!F832,Lookup_Tables!$A$1:$A$7,0))</f>
        <v>Furniture</v>
      </c>
      <c r="H832" t="s">
        <v>51</v>
      </c>
      <c r="I832">
        <v>4</v>
      </c>
      <c r="J832">
        <v>43026</v>
      </c>
      <c r="L832">
        <f t="shared" si="60"/>
        <v>0</v>
      </c>
      <c r="N832">
        <f t="shared" si="61"/>
        <v>172104</v>
      </c>
      <c r="O832">
        <f t="shared" si="62"/>
        <v>172104</v>
      </c>
      <c r="P832">
        <f>I832*IFERROR(_xlfn.XLOOKUP(F832,Lookup_Tables!Product,Cost),0)</f>
        <v>53084</v>
      </c>
      <c r="Q832">
        <f t="shared" si="63"/>
        <v>119020</v>
      </c>
      <c r="R832" s="2">
        <f t="shared" si="64"/>
        <v>0.69155859247896623</v>
      </c>
    </row>
    <row r="833" spans="1:18" x14ac:dyDescent="0.3">
      <c r="A833" t="s">
        <v>890</v>
      </c>
      <c r="B833" s="1">
        <v>45469</v>
      </c>
      <c r="C833" t="s">
        <v>5</v>
      </c>
      <c r="D833" t="s">
        <v>49</v>
      </c>
      <c r="E833" t="s">
        <v>28</v>
      </c>
      <c r="F833" t="s">
        <v>22</v>
      </c>
      <c r="G833" t="str">
        <f>INDEX(Lookup_Tables!$B$1:$B$7,MATCH(Cleaned_Data!F833,Lookup_Tables!$A$1:$A$7,0))</f>
        <v>Furniture</v>
      </c>
      <c r="H833" t="s">
        <v>51</v>
      </c>
      <c r="I833">
        <v>2</v>
      </c>
      <c r="J833">
        <v>15739</v>
      </c>
      <c r="K833">
        <v>0.1</v>
      </c>
      <c r="L833">
        <f t="shared" si="60"/>
        <v>0.1</v>
      </c>
      <c r="N833">
        <f t="shared" si="61"/>
        <v>31478</v>
      </c>
      <c r="O833">
        <f t="shared" si="62"/>
        <v>28330.2</v>
      </c>
      <c r="P833">
        <f>I833*IFERROR(_xlfn.XLOOKUP(F833,Lookup_Tables!Product,Cost),0)</f>
        <v>26080</v>
      </c>
      <c r="Q833">
        <f t="shared" si="63"/>
        <v>2250.2000000000007</v>
      </c>
      <c r="R833" s="2">
        <f t="shared" si="64"/>
        <v>7.9427607288335436E-2</v>
      </c>
    </row>
    <row r="834" spans="1:18" x14ac:dyDescent="0.3">
      <c r="A834" t="s">
        <v>891</v>
      </c>
      <c r="B834" s="1">
        <v>45631</v>
      </c>
      <c r="C834" t="s">
        <v>5</v>
      </c>
      <c r="D834" t="s">
        <v>53</v>
      </c>
      <c r="E834" t="s">
        <v>29</v>
      </c>
      <c r="F834" t="s">
        <v>58</v>
      </c>
      <c r="G834" t="str">
        <f>INDEX(Lookup_Tables!$B$1:$B$7,MATCH(Cleaned_Data!F834,Lookup_Tables!$A$1:$A$7,0))</f>
        <v>Electronics</v>
      </c>
      <c r="H834" t="s">
        <v>54</v>
      </c>
      <c r="I834">
        <v>3</v>
      </c>
      <c r="J834">
        <v>41413</v>
      </c>
      <c r="K834">
        <v>0.1</v>
      </c>
      <c r="L834">
        <f t="shared" si="60"/>
        <v>0.1</v>
      </c>
      <c r="N834">
        <f t="shared" si="61"/>
        <v>124239</v>
      </c>
      <c r="O834">
        <f t="shared" si="62"/>
        <v>111815.1</v>
      </c>
      <c r="P834">
        <f>I834*IFERROR(_xlfn.XLOOKUP(F834,Lookup_Tables!Product,Cost),0)</f>
        <v>8664</v>
      </c>
      <c r="Q834">
        <f t="shared" si="63"/>
        <v>103151.1</v>
      </c>
      <c r="R834" s="2">
        <f t="shared" si="64"/>
        <v>0.92251493760681702</v>
      </c>
    </row>
    <row r="835" spans="1:18" x14ac:dyDescent="0.3">
      <c r="A835" t="s">
        <v>892</v>
      </c>
      <c r="B835" s="1">
        <v>45377</v>
      </c>
      <c r="C835" t="s">
        <v>4</v>
      </c>
      <c r="D835" t="s">
        <v>69</v>
      </c>
      <c r="E835" t="s">
        <v>29</v>
      </c>
      <c r="F835" t="s">
        <v>61</v>
      </c>
      <c r="G835" t="str">
        <f>INDEX(Lookup_Tables!$B$1:$B$7,MATCH(Cleaned_Data!F835,Lookup_Tables!$A$1:$A$7,0))</f>
        <v>Electronics</v>
      </c>
      <c r="H835" t="s">
        <v>54</v>
      </c>
      <c r="I835">
        <v>9</v>
      </c>
      <c r="J835">
        <v>38417</v>
      </c>
      <c r="L835">
        <f t="shared" ref="L835:L898" si="65">IF(ISBLANK(K835),0,K835)</f>
        <v>0</v>
      </c>
      <c r="N835">
        <f t="shared" ref="N835:N898" si="66">I835*J835</f>
        <v>345753</v>
      </c>
      <c r="O835">
        <f t="shared" ref="O835:O898" si="67">N835-(N835*L835)</f>
        <v>345753</v>
      </c>
      <c r="P835">
        <f>I835*IFERROR(_xlfn.XLOOKUP(F835,Lookup_Tables!Product,Cost),0)</f>
        <v>66456</v>
      </c>
      <c r="Q835">
        <f t="shared" ref="Q835:Q898" si="68">O835-P835</f>
        <v>279297</v>
      </c>
      <c r="R835" s="2">
        <f t="shared" ref="R835:R898" si="69">Q835/O835</f>
        <v>0.8077934247859021</v>
      </c>
    </row>
    <row r="836" spans="1:18" x14ac:dyDescent="0.3">
      <c r="A836" t="s">
        <v>893</v>
      </c>
      <c r="B836" s="1">
        <v>45629</v>
      </c>
      <c r="C836" t="s">
        <v>6</v>
      </c>
      <c r="D836" t="s">
        <v>76</v>
      </c>
      <c r="E836" t="s">
        <v>25</v>
      </c>
      <c r="F836" t="s">
        <v>58</v>
      </c>
      <c r="G836" t="str">
        <f>INDEX(Lookup_Tables!$B$1:$B$7,MATCH(Cleaned_Data!F836,Lookup_Tables!$A$1:$A$7,0))</f>
        <v>Electronics</v>
      </c>
      <c r="H836" t="s">
        <v>54</v>
      </c>
      <c r="I836">
        <v>10</v>
      </c>
      <c r="J836">
        <v>26923</v>
      </c>
      <c r="K836">
        <v>0</v>
      </c>
      <c r="L836">
        <f t="shared" si="65"/>
        <v>0</v>
      </c>
      <c r="N836">
        <f t="shared" si="66"/>
        <v>269230</v>
      </c>
      <c r="O836">
        <f t="shared" si="67"/>
        <v>269230</v>
      </c>
      <c r="P836">
        <f>I836*IFERROR(_xlfn.XLOOKUP(F836,Lookup_Tables!Product,Cost),0)</f>
        <v>28880</v>
      </c>
      <c r="Q836">
        <f t="shared" si="68"/>
        <v>240350</v>
      </c>
      <c r="R836" s="2">
        <f t="shared" si="69"/>
        <v>0.89273112208892025</v>
      </c>
    </row>
    <row r="837" spans="1:18" x14ac:dyDescent="0.3">
      <c r="A837" t="s">
        <v>894</v>
      </c>
      <c r="B837" s="1">
        <v>45481</v>
      </c>
      <c r="C837" t="s">
        <v>6</v>
      </c>
      <c r="D837" t="s">
        <v>53</v>
      </c>
      <c r="E837" t="s">
        <v>27</v>
      </c>
      <c r="F837" t="s">
        <v>61</v>
      </c>
      <c r="G837" t="str">
        <f>INDEX(Lookup_Tables!$B$1:$B$7,MATCH(Cleaned_Data!F837,Lookup_Tables!$A$1:$A$7,0))</f>
        <v>Electronics</v>
      </c>
      <c r="H837" t="s">
        <v>54</v>
      </c>
      <c r="I837">
        <v>9</v>
      </c>
      <c r="J837">
        <v>15085</v>
      </c>
      <c r="K837">
        <v>0.05</v>
      </c>
      <c r="L837">
        <f t="shared" si="65"/>
        <v>0.05</v>
      </c>
      <c r="M837">
        <v>21094</v>
      </c>
      <c r="N837">
        <f t="shared" si="66"/>
        <v>135765</v>
      </c>
      <c r="O837">
        <f t="shared" si="67"/>
        <v>128976.75</v>
      </c>
      <c r="P837">
        <f>I837*IFERROR(_xlfn.XLOOKUP(F837,Lookup_Tables!Product,Cost),0)</f>
        <v>66456</v>
      </c>
      <c r="Q837">
        <f t="shared" si="68"/>
        <v>62520.75</v>
      </c>
      <c r="R837" s="2">
        <f t="shared" si="69"/>
        <v>0.48474434345725104</v>
      </c>
    </row>
    <row r="838" spans="1:18" x14ac:dyDescent="0.3">
      <c r="A838" t="s">
        <v>895</v>
      </c>
      <c r="B838" s="1">
        <v>45456</v>
      </c>
      <c r="C838" t="s">
        <v>6</v>
      </c>
      <c r="D838" t="s">
        <v>64</v>
      </c>
      <c r="E838" t="s">
        <v>28</v>
      </c>
      <c r="F838" t="s">
        <v>23</v>
      </c>
      <c r="G838" t="str">
        <f>INDEX(Lookup_Tables!$B$1:$B$7,MATCH(Cleaned_Data!F838,Lookup_Tables!$A$1:$A$7,0))</f>
        <v>Electronics</v>
      </c>
      <c r="H838" t="s">
        <v>54</v>
      </c>
      <c r="I838">
        <v>8</v>
      </c>
      <c r="J838">
        <v>12795</v>
      </c>
      <c r="K838">
        <v>0.05</v>
      </c>
      <c r="L838">
        <f t="shared" si="65"/>
        <v>0.05</v>
      </c>
      <c r="M838">
        <v>8445</v>
      </c>
      <c r="N838">
        <f t="shared" si="66"/>
        <v>102360</v>
      </c>
      <c r="O838">
        <f t="shared" si="67"/>
        <v>97242</v>
      </c>
      <c r="P838">
        <f>I838*IFERROR(_xlfn.XLOOKUP(F838,Lookup_Tables!Product,Cost),0)</f>
        <v>154120</v>
      </c>
      <c r="Q838">
        <f t="shared" si="68"/>
        <v>-56878</v>
      </c>
      <c r="R838" s="2">
        <f t="shared" si="69"/>
        <v>-0.58491186935686224</v>
      </c>
    </row>
    <row r="839" spans="1:18" x14ac:dyDescent="0.3">
      <c r="A839" t="s">
        <v>896</v>
      </c>
      <c r="B839" s="1">
        <v>45295</v>
      </c>
      <c r="C839" t="s">
        <v>3</v>
      </c>
      <c r="D839" t="s">
        <v>69</v>
      </c>
      <c r="E839" t="s">
        <v>27</v>
      </c>
      <c r="F839" t="s">
        <v>61</v>
      </c>
      <c r="G839" t="str">
        <f>INDEX(Lookup_Tables!$B$1:$B$7,MATCH(Cleaned_Data!F839,Lookup_Tables!$A$1:$A$7,0))</f>
        <v>Electronics</v>
      </c>
      <c r="H839" t="s">
        <v>54</v>
      </c>
      <c r="I839">
        <v>7</v>
      </c>
      <c r="J839">
        <v>21745</v>
      </c>
      <c r="L839">
        <f t="shared" si="65"/>
        <v>0</v>
      </c>
      <c r="N839">
        <f t="shared" si="66"/>
        <v>152215</v>
      </c>
      <c r="O839">
        <f t="shared" si="67"/>
        <v>152215</v>
      </c>
      <c r="P839">
        <f>I839*IFERROR(_xlfn.XLOOKUP(F839,Lookup_Tables!Product,Cost),0)</f>
        <v>51688</v>
      </c>
      <c r="Q839">
        <f t="shared" si="68"/>
        <v>100527</v>
      </c>
      <c r="R839" s="2">
        <f t="shared" si="69"/>
        <v>0.66042768452517819</v>
      </c>
    </row>
    <row r="840" spans="1:18" x14ac:dyDescent="0.3">
      <c r="A840" t="s">
        <v>897</v>
      </c>
      <c r="B840" s="1">
        <v>45448</v>
      </c>
      <c r="C840" t="s">
        <v>4</v>
      </c>
      <c r="D840" t="s">
        <v>76</v>
      </c>
      <c r="E840" t="s">
        <v>29</v>
      </c>
      <c r="F840" t="s">
        <v>22</v>
      </c>
      <c r="G840" t="str">
        <f>INDEX(Lookup_Tables!$B$1:$B$7,MATCH(Cleaned_Data!F840,Lookup_Tables!$A$1:$A$7,0))</f>
        <v>Furniture</v>
      </c>
      <c r="H840" t="s">
        <v>51</v>
      </c>
      <c r="I840">
        <v>9</v>
      </c>
      <c r="J840">
        <v>41137</v>
      </c>
      <c r="K840">
        <v>0</v>
      </c>
      <c r="L840">
        <f t="shared" si="65"/>
        <v>0</v>
      </c>
      <c r="M840">
        <v>1660</v>
      </c>
      <c r="N840">
        <f t="shared" si="66"/>
        <v>370233</v>
      </c>
      <c r="O840">
        <f t="shared" si="67"/>
        <v>370233</v>
      </c>
      <c r="P840">
        <f>I840*IFERROR(_xlfn.XLOOKUP(F840,Lookup_Tables!Product,Cost),0)</f>
        <v>117360</v>
      </c>
      <c r="Q840">
        <f t="shared" si="68"/>
        <v>252873</v>
      </c>
      <c r="R840" s="2">
        <f t="shared" si="69"/>
        <v>0.68301042856795591</v>
      </c>
    </row>
    <row r="841" spans="1:18" x14ac:dyDescent="0.3">
      <c r="A841" t="s">
        <v>898</v>
      </c>
      <c r="B841" s="1">
        <v>45496</v>
      </c>
      <c r="C841" t="s">
        <v>5</v>
      </c>
      <c r="D841" t="s">
        <v>49</v>
      </c>
      <c r="E841" t="s">
        <v>29</v>
      </c>
      <c r="F841" t="s">
        <v>24</v>
      </c>
      <c r="G841" t="str">
        <f>INDEX(Lookup_Tables!$B$1:$B$7,MATCH(Cleaned_Data!F841,Lookup_Tables!$A$1:$A$7,0))</f>
        <v>Electronics</v>
      </c>
      <c r="H841" t="s">
        <v>54</v>
      </c>
      <c r="I841">
        <v>9</v>
      </c>
      <c r="J841">
        <v>24382</v>
      </c>
      <c r="L841">
        <f t="shared" si="65"/>
        <v>0</v>
      </c>
      <c r="M841">
        <v>14503</v>
      </c>
      <c r="N841">
        <f t="shared" si="66"/>
        <v>219438</v>
      </c>
      <c r="O841">
        <f t="shared" si="67"/>
        <v>219438</v>
      </c>
      <c r="P841">
        <f>I841*IFERROR(_xlfn.XLOOKUP(F841,Lookup_Tables!Product,Cost),0)</f>
        <v>252414</v>
      </c>
      <c r="Q841">
        <f t="shared" si="68"/>
        <v>-32976</v>
      </c>
      <c r="R841" s="2">
        <f t="shared" si="69"/>
        <v>-0.15027479287999343</v>
      </c>
    </row>
    <row r="842" spans="1:18" x14ac:dyDescent="0.3">
      <c r="A842" t="s">
        <v>899</v>
      </c>
      <c r="B842" s="1">
        <v>45426</v>
      </c>
      <c r="C842" t="s">
        <v>6</v>
      </c>
      <c r="D842" t="s">
        <v>56</v>
      </c>
      <c r="E842" t="s">
        <v>29</v>
      </c>
      <c r="F842" t="s">
        <v>23</v>
      </c>
      <c r="G842" t="str">
        <f>INDEX(Lookup_Tables!$B$1:$B$7,MATCH(Cleaned_Data!F842,Lookup_Tables!$A$1:$A$7,0))</f>
        <v>Electronics</v>
      </c>
      <c r="H842" t="s">
        <v>54</v>
      </c>
      <c r="I842">
        <v>7</v>
      </c>
      <c r="J842">
        <v>35425</v>
      </c>
      <c r="K842">
        <v>0</v>
      </c>
      <c r="L842">
        <f t="shared" si="65"/>
        <v>0</v>
      </c>
      <c r="N842">
        <f t="shared" si="66"/>
        <v>247975</v>
      </c>
      <c r="O842">
        <f t="shared" si="67"/>
        <v>247975</v>
      </c>
      <c r="P842">
        <f>I842*IFERROR(_xlfn.XLOOKUP(F842,Lookup_Tables!Product,Cost),0)</f>
        <v>134855</v>
      </c>
      <c r="Q842">
        <f t="shared" si="68"/>
        <v>113120</v>
      </c>
      <c r="R842" s="2">
        <f t="shared" si="69"/>
        <v>0.45617501764290758</v>
      </c>
    </row>
    <row r="843" spans="1:18" x14ac:dyDescent="0.3">
      <c r="A843" t="s">
        <v>900</v>
      </c>
      <c r="B843" s="1">
        <v>45373</v>
      </c>
      <c r="C843" t="s">
        <v>6</v>
      </c>
      <c r="D843" t="s">
        <v>53</v>
      </c>
      <c r="E843" t="s">
        <v>29</v>
      </c>
      <c r="F843" t="s">
        <v>24</v>
      </c>
      <c r="G843" t="str">
        <f>INDEX(Lookup_Tables!$B$1:$B$7,MATCH(Cleaned_Data!F843,Lookup_Tables!$A$1:$A$7,0))</f>
        <v>Electronics</v>
      </c>
      <c r="H843" t="s">
        <v>54</v>
      </c>
      <c r="I843">
        <v>4</v>
      </c>
      <c r="J843">
        <v>5929</v>
      </c>
      <c r="K843">
        <v>0.1</v>
      </c>
      <c r="L843">
        <f t="shared" si="65"/>
        <v>0.1</v>
      </c>
      <c r="N843">
        <f t="shared" si="66"/>
        <v>23716</v>
      </c>
      <c r="O843">
        <f t="shared" si="67"/>
        <v>21344.400000000001</v>
      </c>
      <c r="P843">
        <f>I843*IFERROR(_xlfn.XLOOKUP(F843,Lookup_Tables!Product,Cost),0)</f>
        <v>112184</v>
      </c>
      <c r="Q843">
        <f t="shared" si="68"/>
        <v>-90839.6</v>
      </c>
      <c r="R843" s="2">
        <f t="shared" si="69"/>
        <v>-4.2558985026517497</v>
      </c>
    </row>
    <row r="844" spans="1:18" x14ac:dyDescent="0.3">
      <c r="A844" t="s">
        <v>901</v>
      </c>
      <c r="B844" s="1">
        <v>45331</v>
      </c>
      <c r="C844" t="s">
        <v>6</v>
      </c>
      <c r="D844" t="s">
        <v>76</v>
      </c>
      <c r="E844" t="s">
        <v>27</v>
      </c>
      <c r="F844" t="s">
        <v>24</v>
      </c>
      <c r="G844" t="str">
        <f>INDEX(Lookup_Tables!$B$1:$B$7,MATCH(Cleaned_Data!F844,Lookup_Tables!$A$1:$A$7,0))</f>
        <v>Electronics</v>
      </c>
      <c r="H844" t="s">
        <v>54</v>
      </c>
      <c r="I844">
        <v>1</v>
      </c>
      <c r="J844">
        <v>20963</v>
      </c>
      <c r="K844">
        <v>0.05</v>
      </c>
      <c r="L844">
        <f t="shared" si="65"/>
        <v>0.05</v>
      </c>
      <c r="N844">
        <f t="shared" si="66"/>
        <v>20963</v>
      </c>
      <c r="O844">
        <f t="shared" si="67"/>
        <v>19914.849999999999</v>
      </c>
      <c r="P844">
        <f>I844*IFERROR(_xlfn.XLOOKUP(F844,Lookup_Tables!Product,Cost),0)</f>
        <v>28046</v>
      </c>
      <c r="Q844">
        <f t="shared" si="68"/>
        <v>-8131.1500000000015</v>
      </c>
      <c r="R844" s="2">
        <f t="shared" si="69"/>
        <v>-0.40829581945131405</v>
      </c>
    </row>
    <row r="845" spans="1:18" x14ac:dyDescent="0.3">
      <c r="A845" t="s">
        <v>902</v>
      </c>
      <c r="B845" s="1">
        <v>45430</v>
      </c>
      <c r="C845" t="s">
        <v>6</v>
      </c>
      <c r="D845" t="s">
        <v>76</v>
      </c>
      <c r="E845" t="s">
        <v>29</v>
      </c>
      <c r="F845" t="s">
        <v>61</v>
      </c>
      <c r="G845" t="str">
        <f>INDEX(Lookup_Tables!$B$1:$B$7,MATCH(Cleaned_Data!F845,Lookup_Tables!$A$1:$A$7,0))</f>
        <v>Electronics</v>
      </c>
      <c r="H845" t="s">
        <v>54</v>
      </c>
      <c r="I845">
        <v>3</v>
      </c>
      <c r="J845">
        <v>5275</v>
      </c>
      <c r="K845">
        <v>0.05</v>
      </c>
      <c r="L845">
        <f t="shared" si="65"/>
        <v>0.05</v>
      </c>
      <c r="M845">
        <v>20097</v>
      </c>
      <c r="N845">
        <f t="shared" si="66"/>
        <v>15825</v>
      </c>
      <c r="O845">
        <f t="shared" si="67"/>
        <v>15033.75</v>
      </c>
      <c r="P845">
        <f>I845*IFERROR(_xlfn.XLOOKUP(F845,Lookup_Tables!Product,Cost),0)</f>
        <v>22152</v>
      </c>
      <c r="Q845">
        <f t="shared" si="68"/>
        <v>-7118.25</v>
      </c>
      <c r="R845" s="2">
        <f t="shared" si="69"/>
        <v>-0.47348465951608881</v>
      </c>
    </row>
    <row r="846" spans="1:18" x14ac:dyDescent="0.3">
      <c r="A846" t="s">
        <v>903</v>
      </c>
      <c r="B846" s="1">
        <v>45329</v>
      </c>
      <c r="C846" t="s">
        <v>6</v>
      </c>
      <c r="D846" t="s">
        <v>64</v>
      </c>
      <c r="E846" t="s">
        <v>25</v>
      </c>
      <c r="F846" t="s">
        <v>58</v>
      </c>
      <c r="G846" t="str">
        <f>INDEX(Lookup_Tables!$B$1:$B$7,MATCH(Cleaned_Data!F846,Lookup_Tables!$A$1:$A$7,0))</f>
        <v>Electronics</v>
      </c>
      <c r="H846" t="s">
        <v>54</v>
      </c>
      <c r="I846">
        <v>8</v>
      </c>
      <c r="J846">
        <v>3760</v>
      </c>
      <c r="L846">
        <f t="shared" si="65"/>
        <v>0</v>
      </c>
      <c r="M846">
        <v>14902</v>
      </c>
      <c r="N846">
        <f t="shared" si="66"/>
        <v>30080</v>
      </c>
      <c r="O846">
        <f t="shared" si="67"/>
        <v>30080</v>
      </c>
      <c r="P846">
        <f>I846*IFERROR(_xlfn.XLOOKUP(F846,Lookup_Tables!Product,Cost),0)</f>
        <v>23104</v>
      </c>
      <c r="Q846">
        <f t="shared" si="68"/>
        <v>6976</v>
      </c>
      <c r="R846" s="2">
        <f t="shared" si="69"/>
        <v>0.23191489361702128</v>
      </c>
    </row>
    <row r="847" spans="1:18" x14ac:dyDescent="0.3">
      <c r="A847" t="s">
        <v>904</v>
      </c>
      <c r="B847" s="1">
        <v>45643</v>
      </c>
      <c r="C847" t="s">
        <v>6</v>
      </c>
      <c r="D847" t="s">
        <v>69</v>
      </c>
      <c r="E847" t="s">
        <v>29</v>
      </c>
      <c r="F847" t="s">
        <v>22</v>
      </c>
      <c r="G847" t="str">
        <f>INDEX(Lookup_Tables!$B$1:$B$7,MATCH(Cleaned_Data!F847,Lookup_Tables!$A$1:$A$7,0))</f>
        <v>Furniture</v>
      </c>
      <c r="H847" t="s">
        <v>51</v>
      </c>
      <c r="I847">
        <v>8</v>
      </c>
      <c r="J847">
        <v>40729</v>
      </c>
      <c r="L847">
        <f t="shared" si="65"/>
        <v>0</v>
      </c>
      <c r="N847">
        <f t="shared" si="66"/>
        <v>325832</v>
      </c>
      <c r="O847">
        <f t="shared" si="67"/>
        <v>325832</v>
      </c>
      <c r="P847">
        <f>I847*IFERROR(_xlfn.XLOOKUP(F847,Lookup_Tables!Product,Cost),0)</f>
        <v>104320</v>
      </c>
      <c r="Q847">
        <f t="shared" si="68"/>
        <v>221512</v>
      </c>
      <c r="R847" s="2">
        <f t="shared" si="69"/>
        <v>0.67983500699747113</v>
      </c>
    </row>
    <row r="848" spans="1:18" x14ac:dyDescent="0.3">
      <c r="A848" t="s">
        <v>905</v>
      </c>
      <c r="B848" s="1">
        <v>45443</v>
      </c>
      <c r="C848" t="s">
        <v>6</v>
      </c>
      <c r="D848" t="s">
        <v>49</v>
      </c>
      <c r="E848" t="s">
        <v>26</v>
      </c>
      <c r="F848" t="s">
        <v>24</v>
      </c>
      <c r="G848" t="str">
        <f>INDEX(Lookup_Tables!$B$1:$B$7,MATCH(Cleaned_Data!F848,Lookup_Tables!$A$1:$A$7,0))</f>
        <v>Electronics</v>
      </c>
      <c r="H848" t="s">
        <v>54</v>
      </c>
      <c r="I848">
        <v>2</v>
      </c>
      <c r="J848">
        <v>49060</v>
      </c>
      <c r="K848">
        <v>0.05</v>
      </c>
      <c r="L848">
        <f t="shared" si="65"/>
        <v>0.05</v>
      </c>
      <c r="M848">
        <v>25323</v>
      </c>
      <c r="N848">
        <f t="shared" si="66"/>
        <v>98120</v>
      </c>
      <c r="O848">
        <f t="shared" si="67"/>
        <v>93214</v>
      </c>
      <c r="P848">
        <f>I848*IFERROR(_xlfn.XLOOKUP(F848,Lookup_Tables!Product,Cost),0)</f>
        <v>56092</v>
      </c>
      <c r="Q848">
        <f t="shared" si="68"/>
        <v>37122</v>
      </c>
      <c r="R848" s="2">
        <f t="shared" si="69"/>
        <v>0.39824489883493897</v>
      </c>
    </row>
    <row r="849" spans="1:18" x14ac:dyDescent="0.3">
      <c r="A849" t="s">
        <v>906</v>
      </c>
      <c r="B849" s="1">
        <v>45404</v>
      </c>
      <c r="C849" t="s">
        <v>6</v>
      </c>
      <c r="D849" t="s">
        <v>64</v>
      </c>
      <c r="E849" t="s">
        <v>28</v>
      </c>
      <c r="F849" t="s">
        <v>24</v>
      </c>
      <c r="G849" t="str">
        <f>INDEX(Lookup_Tables!$B$1:$B$7,MATCH(Cleaned_Data!F849,Lookup_Tables!$A$1:$A$7,0))</f>
        <v>Electronics</v>
      </c>
      <c r="H849" t="s">
        <v>54</v>
      </c>
      <c r="I849">
        <v>1</v>
      </c>
      <c r="J849">
        <v>45642</v>
      </c>
      <c r="L849">
        <f t="shared" si="65"/>
        <v>0</v>
      </c>
      <c r="M849">
        <v>24318</v>
      </c>
      <c r="N849">
        <f t="shared" si="66"/>
        <v>45642</v>
      </c>
      <c r="O849">
        <f t="shared" si="67"/>
        <v>45642</v>
      </c>
      <c r="P849">
        <f>I849*IFERROR(_xlfn.XLOOKUP(F849,Lookup_Tables!Product,Cost),0)</f>
        <v>28046</v>
      </c>
      <c r="Q849">
        <f t="shared" si="68"/>
        <v>17596</v>
      </c>
      <c r="R849" s="2">
        <f t="shared" si="69"/>
        <v>0.38552210683142718</v>
      </c>
    </row>
    <row r="850" spans="1:18" x14ac:dyDescent="0.3">
      <c r="A850" t="s">
        <v>907</v>
      </c>
      <c r="B850" s="1">
        <v>45479</v>
      </c>
      <c r="C850" t="s">
        <v>4</v>
      </c>
      <c r="D850" t="s">
        <v>53</v>
      </c>
      <c r="E850" t="s">
        <v>26</v>
      </c>
      <c r="F850" t="s">
        <v>58</v>
      </c>
      <c r="G850" t="str">
        <f>INDEX(Lookup_Tables!$B$1:$B$7,MATCH(Cleaned_Data!F850,Lookup_Tables!$A$1:$A$7,0))</f>
        <v>Electronics</v>
      </c>
      <c r="H850" t="s">
        <v>54</v>
      </c>
      <c r="I850">
        <v>9</v>
      </c>
      <c r="J850">
        <v>19923</v>
      </c>
      <c r="K850">
        <v>0.1</v>
      </c>
      <c r="L850">
        <f t="shared" si="65"/>
        <v>0.1</v>
      </c>
      <c r="N850">
        <f t="shared" si="66"/>
        <v>179307</v>
      </c>
      <c r="O850">
        <f t="shared" si="67"/>
        <v>161376.29999999999</v>
      </c>
      <c r="P850">
        <f>I850*IFERROR(_xlfn.XLOOKUP(F850,Lookup_Tables!Product,Cost),0)</f>
        <v>25992</v>
      </c>
      <c r="Q850">
        <f t="shared" si="68"/>
        <v>135384.29999999999</v>
      </c>
      <c r="R850" s="2">
        <f t="shared" si="69"/>
        <v>0.83893545706525674</v>
      </c>
    </row>
    <row r="851" spans="1:18" x14ac:dyDescent="0.3">
      <c r="A851" t="s">
        <v>908</v>
      </c>
      <c r="B851" s="1">
        <v>45374</v>
      </c>
      <c r="C851" t="s">
        <v>5</v>
      </c>
      <c r="D851" t="s">
        <v>56</v>
      </c>
      <c r="E851" t="s">
        <v>29</v>
      </c>
      <c r="F851" t="s">
        <v>22</v>
      </c>
      <c r="G851" t="str">
        <f>INDEX(Lookup_Tables!$B$1:$B$7,MATCH(Cleaned_Data!F851,Lookup_Tables!$A$1:$A$7,0))</f>
        <v>Furniture</v>
      </c>
      <c r="H851" t="s">
        <v>51</v>
      </c>
      <c r="I851">
        <v>6</v>
      </c>
      <c r="J851">
        <v>45403</v>
      </c>
      <c r="K851">
        <v>0.05</v>
      </c>
      <c r="L851">
        <f t="shared" si="65"/>
        <v>0.05</v>
      </c>
      <c r="N851">
        <f t="shared" si="66"/>
        <v>272418</v>
      </c>
      <c r="O851">
        <f t="shared" si="67"/>
        <v>258797.1</v>
      </c>
      <c r="P851">
        <f>I851*IFERROR(_xlfn.XLOOKUP(F851,Lookup_Tables!Product,Cost),0)</f>
        <v>78240</v>
      </c>
      <c r="Q851">
        <f t="shared" si="68"/>
        <v>180557.1</v>
      </c>
      <c r="R851" s="2">
        <f t="shared" si="69"/>
        <v>0.6976782197327559</v>
      </c>
    </row>
    <row r="852" spans="1:18" x14ac:dyDescent="0.3">
      <c r="A852" t="s">
        <v>909</v>
      </c>
      <c r="B852" s="1">
        <v>45573</v>
      </c>
      <c r="C852" t="s">
        <v>5</v>
      </c>
      <c r="D852" t="s">
        <v>49</v>
      </c>
      <c r="E852" t="s">
        <v>29</v>
      </c>
      <c r="F852" t="s">
        <v>50</v>
      </c>
      <c r="G852" t="str">
        <f>INDEX(Lookup_Tables!$B$1:$B$7,MATCH(Cleaned_Data!F852,Lookup_Tables!$A$1:$A$7,0))</f>
        <v>Furniture</v>
      </c>
      <c r="H852" t="s">
        <v>51</v>
      </c>
      <c r="I852">
        <v>9</v>
      </c>
      <c r="J852">
        <v>22791</v>
      </c>
      <c r="L852">
        <f t="shared" si="65"/>
        <v>0</v>
      </c>
      <c r="N852">
        <f t="shared" si="66"/>
        <v>205119</v>
      </c>
      <c r="O852">
        <f t="shared" si="67"/>
        <v>205119</v>
      </c>
      <c r="P852">
        <f>I852*IFERROR(_xlfn.XLOOKUP(F852,Lookup_Tables!Product,Cost),0)</f>
        <v>119439</v>
      </c>
      <c r="Q852">
        <f t="shared" si="68"/>
        <v>85680</v>
      </c>
      <c r="R852" s="2">
        <f t="shared" si="69"/>
        <v>0.41770874467991753</v>
      </c>
    </row>
    <row r="853" spans="1:18" x14ac:dyDescent="0.3">
      <c r="A853" t="s">
        <v>910</v>
      </c>
      <c r="B853" s="1">
        <v>45496</v>
      </c>
      <c r="C853" t="s">
        <v>4</v>
      </c>
      <c r="D853" t="s">
        <v>56</v>
      </c>
      <c r="E853" t="s">
        <v>25</v>
      </c>
      <c r="F853" t="s">
        <v>23</v>
      </c>
      <c r="G853" t="str">
        <f>INDEX(Lookup_Tables!$B$1:$B$7,MATCH(Cleaned_Data!F853,Lookup_Tables!$A$1:$A$7,0))</f>
        <v>Electronics</v>
      </c>
      <c r="H853" t="s">
        <v>54</v>
      </c>
      <c r="I853">
        <v>7</v>
      </c>
      <c r="J853">
        <v>38291</v>
      </c>
      <c r="K853">
        <v>0</v>
      </c>
      <c r="L853">
        <f t="shared" si="65"/>
        <v>0</v>
      </c>
      <c r="N853">
        <f t="shared" si="66"/>
        <v>268037</v>
      </c>
      <c r="O853">
        <f t="shared" si="67"/>
        <v>268037</v>
      </c>
      <c r="P853">
        <f>I853*IFERROR(_xlfn.XLOOKUP(F853,Lookup_Tables!Product,Cost),0)</f>
        <v>134855</v>
      </c>
      <c r="Q853">
        <f t="shared" si="68"/>
        <v>133182</v>
      </c>
      <c r="R853" s="2">
        <f t="shared" si="69"/>
        <v>0.49687916220521794</v>
      </c>
    </row>
    <row r="854" spans="1:18" x14ac:dyDescent="0.3">
      <c r="A854" t="s">
        <v>911</v>
      </c>
      <c r="B854" s="1">
        <v>45302</v>
      </c>
      <c r="C854" t="s">
        <v>3</v>
      </c>
      <c r="D854" t="s">
        <v>64</v>
      </c>
      <c r="E854" t="s">
        <v>27</v>
      </c>
      <c r="F854" t="s">
        <v>58</v>
      </c>
      <c r="G854" t="str">
        <f>INDEX(Lookup_Tables!$B$1:$B$7,MATCH(Cleaned_Data!F854,Lookup_Tables!$A$1:$A$7,0))</f>
        <v>Electronics</v>
      </c>
      <c r="H854" t="s">
        <v>54</v>
      </c>
      <c r="I854">
        <v>8</v>
      </c>
      <c r="J854">
        <v>8463</v>
      </c>
      <c r="K854">
        <v>0.1</v>
      </c>
      <c r="L854">
        <f t="shared" si="65"/>
        <v>0.1</v>
      </c>
      <c r="N854">
        <f t="shared" si="66"/>
        <v>67704</v>
      </c>
      <c r="O854">
        <f t="shared" si="67"/>
        <v>60933.599999999999</v>
      </c>
      <c r="P854">
        <f>I854*IFERROR(_xlfn.XLOOKUP(F854,Lookup_Tables!Product,Cost),0)</f>
        <v>23104</v>
      </c>
      <c r="Q854">
        <f t="shared" si="68"/>
        <v>37829.599999999999</v>
      </c>
      <c r="R854" s="2">
        <f t="shared" si="69"/>
        <v>0.62083316922026599</v>
      </c>
    </row>
    <row r="855" spans="1:18" x14ac:dyDescent="0.3">
      <c r="A855" t="s">
        <v>912</v>
      </c>
      <c r="B855" s="1">
        <v>45304</v>
      </c>
      <c r="C855" t="s">
        <v>3</v>
      </c>
      <c r="D855" t="s">
        <v>69</v>
      </c>
      <c r="E855" t="s">
        <v>27</v>
      </c>
      <c r="F855" t="s">
        <v>22</v>
      </c>
      <c r="G855" t="str">
        <f>INDEX(Lookup_Tables!$B$1:$B$7,MATCH(Cleaned_Data!F855,Lookup_Tables!$A$1:$A$7,0))</f>
        <v>Furniture</v>
      </c>
      <c r="H855" t="s">
        <v>51</v>
      </c>
      <c r="I855">
        <v>4</v>
      </c>
      <c r="J855">
        <v>35383</v>
      </c>
      <c r="L855">
        <f t="shared" si="65"/>
        <v>0</v>
      </c>
      <c r="N855">
        <f t="shared" si="66"/>
        <v>141532</v>
      </c>
      <c r="O855">
        <f t="shared" si="67"/>
        <v>141532</v>
      </c>
      <c r="P855">
        <f>I855*IFERROR(_xlfn.XLOOKUP(F855,Lookup_Tables!Product,Cost),0)</f>
        <v>52160</v>
      </c>
      <c r="Q855">
        <f t="shared" si="68"/>
        <v>89372</v>
      </c>
      <c r="R855" s="2">
        <f t="shared" si="69"/>
        <v>0.6314614362829607</v>
      </c>
    </row>
    <row r="856" spans="1:18" x14ac:dyDescent="0.3">
      <c r="A856" t="s">
        <v>913</v>
      </c>
      <c r="B856" s="1">
        <v>45592</v>
      </c>
      <c r="C856" t="s">
        <v>6</v>
      </c>
      <c r="D856" t="s">
        <v>64</v>
      </c>
      <c r="E856" t="s">
        <v>26</v>
      </c>
      <c r="F856" t="s">
        <v>24</v>
      </c>
      <c r="G856" t="str">
        <f>INDEX(Lookup_Tables!$B$1:$B$7,MATCH(Cleaned_Data!F856,Lookup_Tables!$A$1:$A$7,0))</f>
        <v>Electronics</v>
      </c>
      <c r="H856" t="s">
        <v>54</v>
      </c>
      <c r="I856">
        <v>4</v>
      </c>
      <c r="J856">
        <v>29461</v>
      </c>
      <c r="K856">
        <v>0.05</v>
      </c>
      <c r="L856">
        <f t="shared" si="65"/>
        <v>0.05</v>
      </c>
      <c r="M856">
        <v>2115</v>
      </c>
      <c r="N856">
        <f t="shared" si="66"/>
        <v>117844</v>
      </c>
      <c r="O856">
        <f t="shared" si="67"/>
        <v>111951.8</v>
      </c>
      <c r="P856">
        <f>I856*IFERROR(_xlfn.XLOOKUP(F856,Lookup_Tables!Product,Cost),0)</f>
        <v>112184</v>
      </c>
      <c r="Q856">
        <f t="shared" si="68"/>
        <v>-232.19999999999709</v>
      </c>
      <c r="R856" s="2">
        <f t="shared" si="69"/>
        <v>-2.0741068924304664E-3</v>
      </c>
    </row>
    <row r="857" spans="1:18" x14ac:dyDescent="0.3">
      <c r="A857" t="s">
        <v>914</v>
      </c>
      <c r="B857" s="1">
        <v>45580</v>
      </c>
      <c r="C857" t="s">
        <v>6</v>
      </c>
      <c r="D857" t="s">
        <v>56</v>
      </c>
      <c r="E857" t="s">
        <v>25</v>
      </c>
      <c r="F857" t="s">
        <v>61</v>
      </c>
      <c r="G857" t="str">
        <f>INDEX(Lookup_Tables!$B$1:$B$7,MATCH(Cleaned_Data!F857,Lookup_Tables!$A$1:$A$7,0))</f>
        <v>Electronics</v>
      </c>
      <c r="H857" t="s">
        <v>54</v>
      </c>
      <c r="I857">
        <v>4</v>
      </c>
      <c r="J857">
        <v>24556</v>
      </c>
      <c r="K857">
        <v>0</v>
      </c>
      <c r="L857">
        <f t="shared" si="65"/>
        <v>0</v>
      </c>
      <c r="N857">
        <f t="shared" si="66"/>
        <v>98224</v>
      </c>
      <c r="O857">
        <f t="shared" si="67"/>
        <v>98224</v>
      </c>
      <c r="P857">
        <f>I857*IFERROR(_xlfn.XLOOKUP(F857,Lookup_Tables!Product,Cost),0)</f>
        <v>29536</v>
      </c>
      <c r="Q857">
        <f t="shared" si="68"/>
        <v>68688</v>
      </c>
      <c r="R857" s="2">
        <f t="shared" si="69"/>
        <v>0.69929956018895589</v>
      </c>
    </row>
    <row r="858" spans="1:18" x14ac:dyDescent="0.3">
      <c r="A858" t="s">
        <v>915</v>
      </c>
      <c r="B858" s="1">
        <v>45333</v>
      </c>
      <c r="C858" t="s">
        <v>4</v>
      </c>
      <c r="D858" t="s">
        <v>64</v>
      </c>
      <c r="E858" t="s">
        <v>28</v>
      </c>
      <c r="F858" t="s">
        <v>24</v>
      </c>
      <c r="G858" t="str">
        <f>INDEX(Lookup_Tables!$B$1:$B$7,MATCH(Cleaned_Data!F858,Lookup_Tables!$A$1:$A$7,0))</f>
        <v>Electronics</v>
      </c>
      <c r="H858" t="s">
        <v>54</v>
      </c>
      <c r="I858">
        <v>1</v>
      </c>
      <c r="J858">
        <v>36209</v>
      </c>
      <c r="K858">
        <v>0.1</v>
      </c>
      <c r="L858">
        <f t="shared" si="65"/>
        <v>0.1</v>
      </c>
      <c r="M858">
        <v>6515</v>
      </c>
      <c r="N858">
        <f t="shared" si="66"/>
        <v>36209</v>
      </c>
      <c r="O858">
        <f t="shared" si="67"/>
        <v>32588.1</v>
      </c>
      <c r="P858">
        <f>I858*IFERROR(_xlfn.XLOOKUP(F858,Lookup_Tables!Product,Cost),0)</f>
        <v>28046</v>
      </c>
      <c r="Q858">
        <f t="shared" si="68"/>
        <v>4542.0999999999985</v>
      </c>
      <c r="R858" s="2">
        <f t="shared" si="69"/>
        <v>0.13937909850528257</v>
      </c>
    </row>
    <row r="859" spans="1:18" x14ac:dyDescent="0.3">
      <c r="A859" t="s">
        <v>916</v>
      </c>
      <c r="B859" s="1">
        <v>45410</v>
      </c>
      <c r="C859" t="s">
        <v>4</v>
      </c>
      <c r="D859" t="s">
        <v>69</v>
      </c>
      <c r="E859" t="s">
        <v>27</v>
      </c>
      <c r="F859" t="s">
        <v>23</v>
      </c>
      <c r="G859" t="str">
        <f>INDEX(Lookup_Tables!$B$1:$B$7,MATCH(Cleaned_Data!F859,Lookup_Tables!$A$1:$A$7,0))</f>
        <v>Electronics</v>
      </c>
      <c r="H859" t="s">
        <v>54</v>
      </c>
      <c r="I859">
        <v>8</v>
      </c>
      <c r="J859">
        <v>22778</v>
      </c>
      <c r="L859">
        <f t="shared" si="65"/>
        <v>0</v>
      </c>
      <c r="N859">
        <f t="shared" si="66"/>
        <v>182224</v>
      </c>
      <c r="O859">
        <f t="shared" si="67"/>
        <v>182224</v>
      </c>
      <c r="P859">
        <f>I859*IFERROR(_xlfn.XLOOKUP(F859,Lookup_Tables!Product,Cost),0)</f>
        <v>154120</v>
      </c>
      <c r="Q859">
        <f t="shared" si="68"/>
        <v>28104</v>
      </c>
      <c r="R859" s="2">
        <f t="shared" si="69"/>
        <v>0.15422776363157434</v>
      </c>
    </row>
    <row r="860" spans="1:18" x14ac:dyDescent="0.3">
      <c r="A860" t="s">
        <v>917</v>
      </c>
      <c r="B860" s="1">
        <v>45522</v>
      </c>
      <c r="C860" t="s">
        <v>3</v>
      </c>
      <c r="D860" t="s">
        <v>76</v>
      </c>
      <c r="E860" t="s">
        <v>25</v>
      </c>
      <c r="F860" t="s">
        <v>58</v>
      </c>
      <c r="G860" t="str">
        <f>INDEX(Lookup_Tables!$B$1:$B$7,MATCH(Cleaned_Data!F860,Lookup_Tables!$A$1:$A$7,0))</f>
        <v>Electronics</v>
      </c>
      <c r="H860" t="s">
        <v>54</v>
      </c>
      <c r="I860">
        <v>9</v>
      </c>
      <c r="J860">
        <v>36453</v>
      </c>
      <c r="L860">
        <f t="shared" si="65"/>
        <v>0</v>
      </c>
      <c r="M860">
        <v>20429</v>
      </c>
      <c r="N860">
        <f t="shared" si="66"/>
        <v>328077</v>
      </c>
      <c r="O860">
        <f t="shared" si="67"/>
        <v>328077</v>
      </c>
      <c r="P860">
        <f>I860*IFERROR(_xlfn.XLOOKUP(F860,Lookup_Tables!Product,Cost),0)</f>
        <v>25992</v>
      </c>
      <c r="Q860">
        <f t="shared" si="68"/>
        <v>302085</v>
      </c>
      <c r="R860" s="2">
        <f t="shared" si="69"/>
        <v>0.92077469618412755</v>
      </c>
    </row>
    <row r="861" spans="1:18" x14ac:dyDescent="0.3">
      <c r="A861" t="s">
        <v>918</v>
      </c>
      <c r="B861" s="1">
        <v>45512</v>
      </c>
      <c r="C861" t="s">
        <v>4</v>
      </c>
      <c r="D861" t="s">
        <v>69</v>
      </c>
      <c r="E861" t="s">
        <v>29</v>
      </c>
      <c r="F861" t="s">
        <v>58</v>
      </c>
      <c r="G861" t="str">
        <f>INDEX(Lookup_Tables!$B$1:$B$7,MATCH(Cleaned_Data!F861,Lookup_Tables!$A$1:$A$7,0))</f>
        <v>Electronics</v>
      </c>
      <c r="H861" t="s">
        <v>54</v>
      </c>
      <c r="I861">
        <v>3</v>
      </c>
      <c r="J861">
        <v>47696</v>
      </c>
      <c r="K861">
        <v>0</v>
      </c>
      <c r="L861">
        <f t="shared" si="65"/>
        <v>0</v>
      </c>
      <c r="M861">
        <v>4488</v>
      </c>
      <c r="N861">
        <f t="shared" si="66"/>
        <v>143088</v>
      </c>
      <c r="O861">
        <f t="shared" si="67"/>
        <v>143088</v>
      </c>
      <c r="P861">
        <f>I861*IFERROR(_xlfn.XLOOKUP(F861,Lookup_Tables!Product,Cost),0)</f>
        <v>8664</v>
      </c>
      <c r="Q861">
        <f t="shared" si="68"/>
        <v>134424</v>
      </c>
      <c r="R861" s="2">
        <f t="shared" si="69"/>
        <v>0.93944984904394502</v>
      </c>
    </row>
    <row r="862" spans="1:18" x14ac:dyDescent="0.3">
      <c r="A862" t="s">
        <v>919</v>
      </c>
      <c r="B862" s="1">
        <v>45652</v>
      </c>
      <c r="C862" t="s">
        <v>5</v>
      </c>
      <c r="D862" t="s">
        <v>53</v>
      </c>
      <c r="E862" t="s">
        <v>25</v>
      </c>
      <c r="F862" t="s">
        <v>23</v>
      </c>
      <c r="G862" t="str">
        <f>INDEX(Lookup_Tables!$B$1:$B$7,MATCH(Cleaned_Data!F862,Lookup_Tables!$A$1:$A$7,0))</f>
        <v>Electronics</v>
      </c>
      <c r="H862" t="s">
        <v>54</v>
      </c>
      <c r="I862">
        <v>5</v>
      </c>
      <c r="J862">
        <v>27092</v>
      </c>
      <c r="K862">
        <v>0.05</v>
      </c>
      <c r="L862">
        <f t="shared" si="65"/>
        <v>0.05</v>
      </c>
      <c r="M862">
        <v>7951</v>
      </c>
      <c r="N862">
        <f t="shared" si="66"/>
        <v>135460</v>
      </c>
      <c r="O862">
        <f t="shared" si="67"/>
        <v>128687</v>
      </c>
      <c r="P862">
        <f>I862*IFERROR(_xlfn.XLOOKUP(F862,Lookup_Tables!Product,Cost),0)</f>
        <v>96325</v>
      </c>
      <c r="Q862">
        <f t="shared" si="68"/>
        <v>32362</v>
      </c>
      <c r="R862" s="2">
        <f t="shared" si="69"/>
        <v>0.25147839331090166</v>
      </c>
    </row>
    <row r="863" spans="1:18" x14ac:dyDescent="0.3">
      <c r="A863" t="s">
        <v>920</v>
      </c>
      <c r="B863" s="1">
        <v>45328</v>
      </c>
      <c r="C863" t="s">
        <v>5</v>
      </c>
      <c r="D863" t="s">
        <v>56</v>
      </c>
      <c r="E863" t="s">
        <v>28</v>
      </c>
      <c r="F863" t="s">
        <v>24</v>
      </c>
      <c r="G863" t="str">
        <f>INDEX(Lookup_Tables!$B$1:$B$7,MATCH(Cleaned_Data!F863,Lookup_Tables!$A$1:$A$7,0))</f>
        <v>Electronics</v>
      </c>
      <c r="H863" t="s">
        <v>54</v>
      </c>
      <c r="I863">
        <v>7</v>
      </c>
      <c r="J863">
        <v>8504</v>
      </c>
      <c r="K863">
        <v>0.1</v>
      </c>
      <c r="L863">
        <f t="shared" si="65"/>
        <v>0.1</v>
      </c>
      <c r="N863">
        <f t="shared" si="66"/>
        <v>59528</v>
      </c>
      <c r="O863">
        <f t="shared" si="67"/>
        <v>53575.199999999997</v>
      </c>
      <c r="P863">
        <f>I863*IFERROR(_xlfn.XLOOKUP(F863,Lookup_Tables!Product,Cost),0)</f>
        <v>196322</v>
      </c>
      <c r="Q863">
        <f t="shared" si="68"/>
        <v>-142746.79999999999</v>
      </c>
      <c r="R863" s="2">
        <f t="shared" si="69"/>
        <v>-2.6644193582105151</v>
      </c>
    </row>
    <row r="864" spans="1:18" x14ac:dyDescent="0.3">
      <c r="A864" t="s">
        <v>921</v>
      </c>
      <c r="B864" s="1">
        <v>45537</v>
      </c>
      <c r="C864" t="s">
        <v>3</v>
      </c>
      <c r="D864" t="s">
        <v>64</v>
      </c>
      <c r="E864" t="s">
        <v>26</v>
      </c>
      <c r="F864" t="s">
        <v>58</v>
      </c>
      <c r="G864" t="str">
        <f>INDEX(Lookup_Tables!$B$1:$B$7,MATCH(Cleaned_Data!F864,Lookup_Tables!$A$1:$A$7,0))</f>
        <v>Electronics</v>
      </c>
      <c r="H864" t="s">
        <v>54</v>
      </c>
      <c r="I864">
        <v>1</v>
      </c>
      <c r="J864">
        <v>18353</v>
      </c>
      <c r="K864">
        <v>0</v>
      </c>
      <c r="L864">
        <f t="shared" si="65"/>
        <v>0</v>
      </c>
      <c r="M864">
        <v>22062</v>
      </c>
      <c r="N864">
        <f t="shared" si="66"/>
        <v>18353</v>
      </c>
      <c r="O864">
        <f t="shared" si="67"/>
        <v>18353</v>
      </c>
      <c r="P864">
        <f>I864*IFERROR(_xlfn.XLOOKUP(F864,Lookup_Tables!Product,Cost),0)</f>
        <v>2888</v>
      </c>
      <c r="Q864">
        <f t="shared" si="68"/>
        <v>15465</v>
      </c>
      <c r="R864" s="2">
        <f t="shared" si="69"/>
        <v>0.84264152999509612</v>
      </c>
    </row>
    <row r="865" spans="1:18" x14ac:dyDescent="0.3">
      <c r="A865" t="s">
        <v>922</v>
      </c>
      <c r="B865" s="1">
        <v>45619</v>
      </c>
      <c r="C865" t="s">
        <v>6</v>
      </c>
      <c r="D865" t="s">
        <v>76</v>
      </c>
      <c r="E865" t="s">
        <v>26</v>
      </c>
      <c r="F865" t="s">
        <v>22</v>
      </c>
      <c r="G865" t="str">
        <f>INDEX(Lookup_Tables!$B$1:$B$7,MATCH(Cleaned_Data!F865,Lookup_Tables!$A$1:$A$7,0))</f>
        <v>Furniture</v>
      </c>
      <c r="H865" t="s">
        <v>51</v>
      </c>
      <c r="I865">
        <v>1</v>
      </c>
      <c r="J865">
        <v>49649</v>
      </c>
      <c r="K865">
        <v>0</v>
      </c>
      <c r="L865">
        <f t="shared" si="65"/>
        <v>0</v>
      </c>
      <c r="N865">
        <f t="shared" si="66"/>
        <v>49649</v>
      </c>
      <c r="O865">
        <f t="shared" si="67"/>
        <v>49649</v>
      </c>
      <c r="P865">
        <f>I865*IFERROR(_xlfn.XLOOKUP(F865,Lookup_Tables!Product,Cost),0)</f>
        <v>13040</v>
      </c>
      <c r="Q865">
        <f t="shared" si="68"/>
        <v>36609</v>
      </c>
      <c r="R865" s="2">
        <f t="shared" si="69"/>
        <v>0.73735624081048967</v>
      </c>
    </row>
    <row r="866" spans="1:18" x14ac:dyDescent="0.3">
      <c r="A866" t="s">
        <v>923</v>
      </c>
      <c r="B866" s="1">
        <v>45538</v>
      </c>
      <c r="C866" t="s">
        <v>6</v>
      </c>
      <c r="D866" t="s">
        <v>69</v>
      </c>
      <c r="E866" t="s">
        <v>28</v>
      </c>
      <c r="F866" t="s">
        <v>23</v>
      </c>
      <c r="G866" t="str">
        <f>INDEX(Lookup_Tables!$B$1:$B$7,MATCH(Cleaned_Data!F866,Lookup_Tables!$A$1:$A$7,0))</f>
        <v>Electronics</v>
      </c>
      <c r="H866" t="s">
        <v>54</v>
      </c>
      <c r="I866">
        <v>7</v>
      </c>
      <c r="J866">
        <v>3467</v>
      </c>
      <c r="K866">
        <v>0.1</v>
      </c>
      <c r="L866">
        <f t="shared" si="65"/>
        <v>0.1</v>
      </c>
      <c r="M866">
        <v>6647</v>
      </c>
      <c r="N866">
        <f t="shared" si="66"/>
        <v>24269</v>
      </c>
      <c r="O866">
        <f t="shared" si="67"/>
        <v>21842.1</v>
      </c>
      <c r="P866">
        <f>I866*IFERROR(_xlfn.XLOOKUP(F866,Lookup_Tables!Product,Cost),0)</f>
        <v>134855</v>
      </c>
      <c r="Q866">
        <f t="shared" si="68"/>
        <v>-113012.9</v>
      </c>
      <c r="R866" s="2">
        <f t="shared" si="69"/>
        <v>-5.1740858250809216</v>
      </c>
    </row>
    <row r="867" spans="1:18" x14ac:dyDescent="0.3">
      <c r="A867" t="s">
        <v>924</v>
      </c>
      <c r="B867" s="1">
        <v>45426</v>
      </c>
      <c r="C867" t="s">
        <v>3</v>
      </c>
      <c r="D867" t="s">
        <v>49</v>
      </c>
      <c r="E867" t="s">
        <v>29</v>
      </c>
      <c r="F867" t="s">
        <v>23</v>
      </c>
      <c r="G867" t="str">
        <f>INDEX(Lookup_Tables!$B$1:$B$7,MATCH(Cleaned_Data!F867,Lookup_Tables!$A$1:$A$7,0))</f>
        <v>Electronics</v>
      </c>
      <c r="H867" t="s">
        <v>54</v>
      </c>
      <c r="I867">
        <v>8</v>
      </c>
      <c r="J867">
        <v>18788</v>
      </c>
      <c r="K867">
        <v>0.05</v>
      </c>
      <c r="L867">
        <f t="shared" si="65"/>
        <v>0.05</v>
      </c>
      <c r="M867">
        <v>25768</v>
      </c>
      <c r="N867">
        <f t="shared" si="66"/>
        <v>150304</v>
      </c>
      <c r="O867">
        <f t="shared" si="67"/>
        <v>142788.79999999999</v>
      </c>
      <c r="P867">
        <f>I867*IFERROR(_xlfn.XLOOKUP(F867,Lookup_Tables!Product,Cost),0)</f>
        <v>154120</v>
      </c>
      <c r="Q867">
        <f t="shared" si="68"/>
        <v>-11331.200000000012</v>
      </c>
      <c r="R867" s="2">
        <f t="shared" si="69"/>
        <v>-7.9356364084578149E-2</v>
      </c>
    </row>
    <row r="868" spans="1:18" x14ac:dyDescent="0.3">
      <c r="A868" t="s">
        <v>925</v>
      </c>
      <c r="B868" s="1">
        <v>45359</v>
      </c>
      <c r="C868" t="s">
        <v>5</v>
      </c>
      <c r="D868" t="s">
        <v>53</v>
      </c>
      <c r="E868" t="s">
        <v>29</v>
      </c>
      <c r="F868" t="s">
        <v>61</v>
      </c>
      <c r="G868" t="str">
        <f>INDEX(Lookup_Tables!$B$1:$B$7,MATCH(Cleaned_Data!F868,Lookup_Tables!$A$1:$A$7,0))</f>
        <v>Electronics</v>
      </c>
      <c r="H868" t="s">
        <v>54</v>
      </c>
      <c r="I868">
        <v>5</v>
      </c>
      <c r="J868">
        <v>24427</v>
      </c>
      <c r="K868">
        <v>0.1</v>
      </c>
      <c r="L868">
        <f t="shared" si="65"/>
        <v>0.1</v>
      </c>
      <c r="M868">
        <v>17526</v>
      </c>
      <c r="N868">
        <f t="shared" si="66"/>
        <v>122135</v>
      </c>
      <c r="O868">
        <f t="shared" si="67"/>
        <v>109921.5</v>
      </c>
      <c r="P868">
        <f>I868*IFERROR(_xlfn.XLOOKUP(F868,Lookup_Tables!Product,Cost),0)</f>
        <v>36920</v>
      </c>
      <c r="Q868">
        <f t="shared" si="68"/>
        <v>73001.5</v>
      </c>
      <c r="R868" s="2">
        <f t="shared" si="69"/>
        <v>0.66412394299568334</v>
      </c>
    </row>
    <row r="869" spans="1:18" x14ac:dyDescent="0.3">
      <c r="A869" t="s">
        <v>926</v>
      </c>
      <c r="B869" s="1">
        <v>45299</v>
      </c>
      <c r="C869" t="s">
        <v>6</v>
      </c>
      <c r="D869" t="s">
        <v>49</v>
      </c>
      <c r="E869" t="s">
        <v>27</v>
      </c>
      <c r="F869" t="s">
        <v>61</v>
      </c>
      <c r="G869" t="str">
        <f>INDEX(Lookup_Tables!$B$1:$B$7,MATCH(Cleaned_Data!F869,Lookup_Tables!$A$1:$A$7,0))</f>
        <v>Electronics</v>
      </c>
      <c r="H869" t="s">
        <v>54</v>
      </c>
      <c r="I869">
        <v>2</v>
      </c>
      <c r="J869">
        <v>32286</v>
      </c>
      <c r="K869">
        <v>0.05</v>
      </c>
      <c r="L869">
        <f t="shared" si="65"/>
        <v>0.05</v>
      </c>
      <c r="M869">
        <v>15542</v>
      </c>
      <c r="N869">
        <f t="shared" si="66"/>
        <v>64572</v>
      </c>
      <c r="O869">
        <f t="shared" si="67"/>
        <v>61343.4</v>
      </c>
      <c r="P869">
        <f>I869*IFERROR(_xlfn.XLOOKUP(F869,Lookup_Tables!Product,Cost),0)</f>
        <v>14768</v>
      </c>
      <c r="Q869">
        <f t="shared" si="68"/>
        <v>46575.4</v>
      </c>
      <c r="R869" s="2">
        <f t="shared" si="69"/>
        <v>0.75925690457327111</v>
      </c>
    </row>
    <row r="870" spans="1:18" x14ac:dyDescent="0.3">
      <c r="A870" t="s">
        <v>927</v>
      </c>
      <c r="B870" s="1">
        <v>45403</v>
      </c>
      <c r="C870" t="s">
        <v>4</v>
      </c>
      <c r="D870" t="s">
        <v>53</v>
      </c>
      <c r="E870" t="s">
        <v>26</v>
      </c>
      <c r="F870" t="s">
        <v>24</v>
      </c>
      <c r="G870" t="str">
        <f>INDEX(Lookup_Tables!$B$1:$B$7,MATCH(Cleaned_Data!F870,Lookup_Tables!$A$1:$A$7,0))</f>
        <v>Electronics</v>
      </c>
      <c r="H870" t="s">
        <v>54</v>
      </c>
      <c r="I870">
        <v>6</v>
      </c>
      <c r="J870">
        <v>14804</v>
      </c>
      <c r="K870">
        <v>0.05</v>
      </c>
      <c r="L870">
        <f t="shared" si="65"/>
        <v>0.05</v>
      </c>
      <c r="M870">
        <v>28186</v>
      </c>
      <c r="N870">
        <f t="shared" si="66"/>
        <v>88824</v>
      </c>
      <c r="O870">
        <f t="shared" si="67"/>
        <v>84382.8</v>
      </c>
      <c r="P870">
        <f>I870*IFERROR(_xlfn.XLOOKUP(F870,Lookup_Tables!Product,Cost),0)</f>
        <v>168276</v>
      </c>
      <c r="Q870">
        <f t="shared" si="68"/>
        <v>-83893.2</v>
      </c>
      <c r="R870" s="2">
        <f t="shared" si="69"/>
        <v>-0.99419786970804469</v>
      </c>
    </row>
    <row r="871" spans="1:18" x14ac:dyDescent="0.3">
      <c r="A871" t="s">
        <v>928</v>
      </c>
      <c r="B871" s="1">
        <v>45530</v>
      </c>
      <c r="C871" t="s">
        <v>3</v>
      </c>
      <c r="D871" t="s">
        <v>64</v>
      </c>
      <c r="E871" t="s">
        <v>25</v>
      </c>
      <c r="F871" t="s">
        <v>24</v>
      </c>
      <c r="G871" t="str">
        <f>INDEX(Lookup_Tables!$B$1:$B$7,MATCH(Cleaned_Data!F871,Lookup_Tables!$A$1:$A$7,0))</f>
        <v>Electronics</v>
      </c>
      <c r="H871" t="s">
        <v>54</v>
      </c>
      <c r="I871">
        <v>7</v>
      </c>
      <c r="J871">
        <v>2023</v>
      </c>
      <c r="K871">
        <v>0.1</v>
      </c>
      <c r="L871">
        <f t="shared" si="65"/>
        <v>0.1</v>
      </c>
      <c r="N871">
        <f t="shared" si="66"/>
        <v>14161</v>
      </c>
      <c r="O871">
        <f t="shared" si="67"/>
        <v>12744.9</v>
      </c>
      <c r="P871">
        <f>I871*IFERROR(_xlfn.XLOOKUP(F871,Lookup_Tables!Product,Cost),0)</f>
        <v>196322</v>
      </c>
      <c r="Q871">
        <f t="shared" si="68"/>
        <v>-183577.1</v>
      </c>
      <c r="R871" s="2">
        <f t="shared" si="69"/>
        <v>-14.403965507771737</v>
      </c>
    </row>
    <row r="872" spans="1:18" x14ac:dyDescent="0.3">
      <c r="A872" t="s">
        <v>929</v>
      </c>
      <c r="B872" s="1">
        <v>45552</v>
      </c>
      <c r="C872" t="s">
        <v>3</v>
      </c>
      <c r="D872" t="s">
        <v>56</v>
      </c>
      <c r="E872" t="s">
        <v>27</v>
      </c>
      <c r="F872" t="s">
        <v>24</v>
      </c>
      <c r="G872" t="str">
        <f>INDEX(Lookup_Tables!$B$1:$B$7,MATCH(Cleaned_Data!F872,Lookup_Tables!$A$1:$A$7,0))</f>
        <v>Electronics</v>
      </c>
      <c r="H872" t="s">
        <v>54</v>
      </c>
      <c r="I872">
        <v>7</v>
      </c>
      <c r="J872">
        <v>36613</v>
      </c>
      <c r="L872">
        <f t="shared" si="65"/>
        <v>0</v>
      </c>
      <c r="N872">
        <f t="shared" si="66"/>
        <v>256291</v>
      </c>
      <c r="O872">
        <f t="shared" si="67"/>
        <v>256291</v>
      </c>
      <c r="P872">
        <f>I872*IFERROR(_xlfn.XLOOKUP(F872,Lookup_Tables!Product,Cost),0)</f>
        <v>196322</v>
      </c>
      <c r="Q872">
        <f t="shared" si="68"/>
        <v>59969</v>
      </c>
      <c r="R872" s="2">
        <f t="shared" si="69"/>
        <v>0.23398792778521291</v>
      </c>
    </row>
    <row r="873" spans="1:18" x14ac:dyDescent="0.3">
      <c r="A873" t="s">
        <v>930</v>
      </c>
      <c r="B873" s="1">
        <v>45617</v>
      </c>
      <c r="C873" t="s">
        <v>4</v>
      </c>
      <c r="D873" t="s">
        <v>49</v>
      </c>
      <c r="E873" t="s">
        <v>28</v>
      </c>
      <c r="F873" t="s">
        <v>23</v>
      </c>
      <c r="G873" t="str">
        <f>INDEX(Lookup_Tables!$B$1:$B$7,MATCH(Cleaned_Data!F873,Lookup_Tables!$A$1:$A$7,0))</f>
        <v>Electronics</v>
      </c>
      <c r="H873" t="s">
        <v>54</v>
      </c>
      <c r="I873">
        <v>2</v>
      </c>
      <c r="J873">
        <v>14279</v>
      </c>
      <c r="L873">
        <f t="shared" si="65"/>
        <v>0</v>
      </c>
      <c r="N873">
        <f t="shared" si="66"/>
        <v>28558</v>
      </c>
      <c r="O873">
        <f t="shared" si="67"/>
        <v>28558</v>
      </c>
      <c r="P873">
        <f>I873*IFERROR(_xlfn.XLOOKUP(F873,Lookup_Tables!Product,Cost),0)</f>
        <v>38530</v>
      </c>
      <c r="Q873">
        <f t="shared" si="68"/>
        <v>-9972</v>
      </c>
      <c r="R873" s="2">
        <f t="shared" si="69"/>
        <v>-0.34918411653477133</v>
      </c>
    </row>
    <row r="874" spans="1:18" x14ac:dyDescent="0.3">
      <c r="A874" t="s">
        <v>931</v>
      </c>
      <c r="B874" s="1">
        <v>45510</v>
      </c>
      <c r="C874" t="s">
        <v>6</v>
      </c>
      <c r="D874" t="s">
        <v>64</v>
      </c>
      <c r="E874" t="s">
        <v>28</v>
      </c>
      <c r="F874" t="s">
        <v>23</v>
      </c>
      <c r="G874" t="str">
        <f>INDEX(Lookup_Tables!$B$1:$B$7,MATCH(Cleaned_Data!F874,Lookup_Tables!$A$1:$A$7,0))</f>
        <v>Electronics</v>
      </c>
      <c r="H874" t="s">
        <v>54</v>
      </c>
      <c r="I874">
        <v>1</v>
      </c>
      <c r="J874">
        <v>32783</v>
      </c>
      <c r="K874">
        <v>0</v>
      </c>
      <c r="L874">
        <f t="shared" si="65"/>
        <v>0</v>
      </c>
      <c r="N874">
        <f t="shared" si="66"/>
        <v>32783</v>
      </c>
      <c r="O874">
        <f t="shared" si="67"/>
        <v>32783</v>
      </c>
      <c r="P874">
        <f>I874*IFERROR(_xlfn.XLOOKUP(F874,Lookup_Tables!Product,Cost),0)</f>
        <v>19265</v>
      </c>
      <c r="Q874">
        <f t="shared" si="68"/>
        <v>13518</v>
      </c>
      <c r="R874" s="2">
        <f t="shared" si="69"/>
        <v>0.41234786322179179</v>
      </c>
    </row>
    <row r="875" spans="1:18" x14ac:dyDescent="0.3">
      <c r="A875" t="s">
        <v>932</v>
      </c>
      <c r="B875" s="1">
        <v>45493</v>
      </c>
      <c r="C875" t="s">
        <v>5</v>
      </c>
      <c r="D875" t="s">
        <v>69</v>
      </c>
      <c r="E875" t="s">
        <v>29</v>
      </c>
      <c r="F875" t="s">
        <v>22</v>
      </c>
      <c r="G875" t="str">
        <f>INDEX(Lookup_Tables!$B$1:$B$7,MATCH(Cleaned_Data!F875,Lookup_Tables!$A$1:$A$7,0))</f>
        <v>Furniture</v>
      </c>
      <c r="H875" t="s">
        <v>51</v>
      </c>
      <c r="I875">
        <v>6</v>
      </c>
      <c r="J875">
        <v>33498</v>
      </c>
      <c r="K875">
        <v>0.05</v>
      </c>
      <c r="L875">
        <f t="shared" si="65"/>
        <v>0.05</v>
      </c>
      <c r="N875">
        <f t="shared" si="66"/>
        <v>200988</v>
      </c>
      <c r="O875">
        <f t="shared" si="67"/>
        <v>190938.6</v>
      </c>
      <c r="P875">
        <f>I875*IFERROR(_xlfn.XLOOKUP(F875,Lookup_Tables!Product,Cost),0)</f>
        <v>78240</v>
      </c>
      <c r="Q875">
        <f t="shared" si="68"/>
        <v>112698.6</v>
      </c>
      <c r="R875" s="2">
        <f t="shared" si="69"/>
        <v>0.59023476656893892</v>
      </c>
    </row>
    <row r="876" spans="1:18" x14ac:dyDescent="0.3">
      <c r="A876" t="s">
        <v>933</v>
      </c>
      <c r="B876" s="1">
        <v>45651</v>
      </c>
      <c r="C876" t="s">
        <v>5</v>
      </c>
      <c r="D876" t="s">
        <v>69</v>
      </c>
      <c r="E876" t="s">
        <v>26</v>
      </c>
      <c r="F876" t="s">
        <v>22</v>
      </c>
      <c r="G876" t="str">
        <f>INDEX(Lookup_Tables!$B$1:$B$7,MATCH(Cleaned_Data!F876,Lookup_Tables!$A$1:$A$7,0))</f>
        <v>Furniture</v>
      </c>
      <c r="H876" t="s">
        <v>51</v>
      </c>
      <c r="I876">
        <v>10</v>
      </c>
      <c r="J876">
        <v>6849</v>
      </c>
      <c r="K876">
        <v>0.05</v>
      </c>
      <c r="L876">
        <f t="shared" si="65"/>
        <v>0.05</v>
      </c>
      <c r="N876">
        <f t="shared" si="66"/>
        <v>68490</v>
      </c>
      <c r="O876">
        <f t="shared" si="67"/>
        <v>65065.5</v>
      </c>
      <c r="P876">
        <f>I876*IFERROR(_xlfn.XLOOKUP(F876,Lookup_Tables!Product,Cost),0)</f>
        <v>130400</v>
      </c>
      <c r="Q876">
        <f t="shared" si="68"/>
        <v>-65334.5</v>
      </c>
      <c r="R876" s="2">
        <f t="shared" si="69"/>
        <v>-1.0041342954407482</v>
      </c>
    </row>
    <row r="877" spans="1:18" x14ac:dyDescent="0.3">
      <c r="A877" t="s">
        <v>934</v>
      </c>
      <c r="B877" s="1">
        <v>45298</v>
      </c>
      <c r="C877" t="s">
        <v>3</v>
      </c>
      <c r="D877" t="s">
        <v>64</v>
      </c>
      <c r="E877" t="s">
        <v>26</v>
      </c>
      <c r="F877" t="s">
        <v>50</v>
      </c>
      <c r="G877" t="str">
        <f>INDEX(Lookup_Tables!$B$1:$B$7,MATCH(Cleaned_Data!F877,Lookup_Tables!$A$1:$A$7,0))</f>
        <v>Furniture</v>
      </c>
      <c r="H877" t="s">
        <v>51</v>
      </c>
      <c r="I877">
        <v>10</v>
      </c>
      <c r="J877">
        <v>11200</v>
      </c>
      <c r="K877">
        <v>0</v>
      </c>
      <c r="L877">
        <f t="shared" si="65"/>
        <v>0</v>
      </c>
      <c r="M877">
        <v>27256</v>
      </c>
      <c r="N877">
        <f t="shared" si="66"/>
        <v>112000</v>
      </c>
      <c r="O877">
        <f t="shared" si="67"/>
        <v>112000</v>
      </c>
      <c r="P877">
        <f>I877*IFERROR(_xlfn.XLOOKUP(F877,Lookup_Tables!Product,Cost),0)</f>
        <v>132710</v>
      </c>
      <c r="Q877">
        <f t="shared" si="68"/>
        <v>-20710</v>
      </c>
      <c r="R877" s="2">
        <f t="shared" si="69"/>
        <v>-0.18491071428571429</v>
      </c>
    </row>
    <row r="878" spans="1:18" x14ac:dyDescent="0.3">
      <c r="A878" t="s">
        <v>935</v>
      </c>
      <c r="B878" s="1">
        <v>45441</v>
      </c>
      <c r="C878" t="s">
        <v>5</v>
      </c>
      <c r="D878" t="s">
        <v>69</v>
      </c>
      <c r="E878" t="s">
        <v>27</v>
      </c>
      <c r="F878" t="s">
        <v>50</v>
      </c>
      <c r="G878" t="str">
        <f>INDEX(Lookup_Tables!$B$1:$B$7,MATCH(Cleaned_Data!F878,Lookup_Tables!$A$1:$A$7,0))</f>
        <v>Furniture</v>
      </c>
      <c r="H878" t="s">
        <v>51</v>
      </c>
      <c r="I878">
        <v>7</v>
      </c>
      <c r="J878">
        <v>2106</v>
      </c>
      <c r="K878">
        <v>0</v>
      </c>
      <c r="L878">
        <f t="shared" si="65"/>
        <v>0</v>
      </c>
      <c r="M878">
        <v>6236</v>
      </c>
      <c r="N878">
        <f t="shared" si="66"/>
        <v>14742</v>
      </c>
      <c r="O878">
        <f t="shared" si="67"/>
        <v>14742</v>
      </c>
      <c r="P878">
        <f>I878*IFERROR(_xlfn.XLOOKUP(F878,Lookup_Tables!Product,Cost),0)</f>
        <v>92897</v>
      </c>
      <c r="Q878">
        <f t="shared" si="68"/>
        <v>-78155</v>
      </c>
      <c r="R878" s="2">
        <f t="shared" si="69"/>
        <v>-5.3015194681861351</v>
      </c>
    </row>
    <row r="879" spans="1:18" x14ac:dyDescent="0.3">
      <c r="A879" t="s">
        <v>936</v>
      </c>
      <c r="B879" s="1">
        <v>45321</v>
      </c>
      <c r="C879" t="s">
        <v>4</v>
      </c>
      <c r="D879" t="s">
        <v>69</v>
      </c>
      <c r="E879" t="s">
        <v>29</v>
      </c>
      <c r="F879" t="s">
        <v>23</v>
      </c>
      <c r="G879" t="str">
        <f>INDEX(Lookup_Tables!$B$1:$B$7,MATCH(Cleaned_Data!F879,Lookup_Tables!$A$1:$A$7,0))</f>
        <v>Electronics</v>
      </c>
      <c r="H879" t="s">
        <v>54</v>
      </c>
      <c r="I879">
        <v>6</v>
      </c>
      <c r="J879">
        <v>10939</v>
      </c>
      <c r="K879">
        <v>0.1</v>
      </c>
      <c r="L879">
        <f t="shared" si="65"/>
        <v>0.1</v>
      </c>
      <c r="N879">
        <f t="shared" si="66"/>
        <v>65634</v>
      </c>
      <c r="O879">
        <f t="shared" si="67"/>
        <v>59070.6</v>
      </c>
      <c r="P879">
        <f>I879*IFERROR(_xlfn.XLOOKUP(F879,Lookup_Tables!Product,Cost),0)</f>
        <v>115590</v>
      </c>
      <c r="Q879">
        <f t="shared" si="68"/>
        <v>-56519.4</v>
      </c>
      <c r="R879" s="2">
        <f t="shared" si="69"/>
        <v>-0.95681100242760364</v>
      </c>
    </row>
    <row r="880" spans="1:18" x14ac:dyDescent="0.3">
      <c r="A880" t="s">
        <v>937</v>
      </c>
      <c r="B880" s="1">
        <v>45379</v>
      </c>
      <c r="C880" t="s">
        <v>5</v>
      </c>
      <c r="D880" t="s">
        <v>56</v>
      </c>
      <c r="E880" t="s">
        <v>29</v>
      </c>
      <c r="F880" t="s">
        <v>22</v>
      </c>
      <c r="G880" t="str">
        <f>INDEX(Lookup_Tables!$B$1:$B$7,MATCH(Cleaned_Data!F880,Lookup_Tables!$A$1:$A$7,0))</f>
        <v>Furniture</v>
      </c>
      <c r="H880" t="s">
        <v>51</v>
      </c>
      <c r="I880">
        <v>7</v>
      </c>
      <c r="J880">
        <v>36295</v>
      </c>
      <c r="K880">
        <v>0</v>
      </c>
      <c r="L880">
        <f t="shared" si="65"/>
        <v>0</v>
      </c>
      <c r="M880">
        <v>7739</v>
      </c>
      <c r="N880">
        <f t="shared" si="66"/>
        <v>254065</v>
      </c>
      <c r="O880">
        <f t="shared" si="67"/>
        <v>254065</v>
      </c>
      <c r="P880">
        <f>I880*IFERROR(_xlfn.XLOOKUP(F880,Lookup_Tables!Product,Cost),0)</f>
        <v>91280</v>
      </c>
      <c r="Q880">
        <f t="shared" si="68"/>
        <v>162785</v>
      </c>
      <c r="R880" s="2">
        <f t="shared" si="69"/>
        <v>0.64072186251549801</v>
      </c>
    </row>
    <row r="881" spans="1:18" x14ac:dyDescent="0.3">
      <c r="A881" t="s">
        <v>938</v>
      </c>
      <c r="B881" s="1">
        <v>45561</v>
      </c>
      <c r="C881" t="s">
        <v>4</v>
      </c>
      <c r="D881" t="s">
        <v>76</v>
      </c>
      <c r="E881" t="s">
        <v>26</v>
      </c>
      <c r="F881" t="s">
        <v>22</v>
      </c>
      <c r="G881" t="str">
        <f>INDEX(Lookup_Tables!$B$1:$B$7,MATCH(Cleaned_Data!F881,Lookup_Tables!$A$1:$A$7,0))</f>
        <v>Furniture</v>
      </c>
      <c r="H881" t="s">
        <v>51</v>
      </c>
      <c r="I881">
        <v>3</v>
      </c>
      <c r="J881">
        <v>41894</v>
      </c>
      <c r="K881">
        <v>0</v>
      </c>
      <c r="L881">
        <f t="shared" si="65"/>
        <v>0</v>
      </c>
      <c r="N881">
        <f t="shared" si="66"/>
        <v>125682</v>
      </c>
      <c r="O881">
        <f t="shared" si="67"/>
        <v>125682</v>
      </c>
      <c r="P881">
        <f>I881*IFERROR(_xlfn.XLOOKUP(F881,Lookup_Tables!Product,Cost),0)</f>
        <v>39120</v>
      </c>
      <c r="Q881">
        <f t="shared" si="68"/>
        <v>86562</v>
      </c>
      <c r="R881" s="2">
        <f t="shared" si="69"/>
        <v>0.68873824413997231</v>
      </c>
    </row>
    <row r="882" spans="1:18" x14ac:dyDescent="0.3">
      <c r="A882" t="s">
        <v>939</v>
      </c>
      <c r="B882" s="1">
        <v>45341</v>
      </c>
      <c r="C882" t="s">
        <v>4</v>
      </c>
      <c r="D882" t="s">
        <v>64</v>
      </c>
      <c r="E882" t="s">
        <v>26</v>
      </c>
      <c r="F882" t="s">
        <v>22</v>
      </c>
      <c r="G882" t="str">
        <f>INDEX(Lookup_Tables!$B$1:$B$7,MATCH(Cleaned_Data!F882,Lookup_Tables!$A$1:$A$7,0))</f>
        <v>Furniture</v>
      </c>
      <c r="H882" t="s">
        <v>51</v>
      </c>
      <c r="I882">
        <v>10</v>
      </c>
      <c r="J882">
        <v>8549</v>
      </c>
      <c r="L882">
        <f t="shared" si="65"/>
        <v>0</v>
      </c>
      <c r="M882">
        <v>23962</v>
      </c>
      <c r="N882">
        <f t="shared" si="66"/>
        <v>85490</v>
      </c>
      <c r="O882">
        <f t="shared" si="67"/>
        <v>85490</v>
      </c>
      <c r="P882">
        <f>I882*IFERROR(_xlfn.XLOOKUP(F882,Lookup_Tables!Product,Cost),0)</f>
        <v>130400</v>
      </c>
      <c r="Q882">
        <f t="shared" si="68"/>
        <v>-44910</v>
      </c>
      <c r="R882" s="2">
        <f t="shared" si="69"/>
        <v>-0.52532459936834719</v>
      </c>
    </row>
    <row r="883" spans="1:18" x14ac:dyDescent="0.3">
      <c r="A883" t="s">
        <v>940</v>
      </c>
      <c r="B883" s="1">
        <v>45433</v>
      </c>
      <c r="C883" t="s">
        <v>3</v>
      </c>
      <c r="D883" t="s">
        <v>49</v>
      </c>
      <c r="E883" t="s">
        <v>27</v>
      </c>
      <c r="F883" t="s">
        <v>61</v>
      </c>
      <c r="G883" t="str">
        <f>INDEX(Lookup_Tables!$B$1:$B$7,MATCH(Cleaned_Data!F883,Lookup_Tables!$A$1:$A$7,0))</f>
        <v>Electronics</v>
      </c>
      <c r="H883" t="s">
        <v>54</v>
      </c>
      <c r="I883">
        <v>4</v>
      </c>
      <c r="J883">
        <v>41642</v>
      </c>
      <c r="K883">
        <v>0</v>
      </c>
      <c r="L883">
        <f t="shared" si="65"/>
        <v>0</v>
      </c>
      <c r="N883">
        <f t="shared" si="66"/>
        <v>166568</v>
      </c>
      <c r="O883">
        <f t="shared" si="67"/>
        <v>166568</v>
      </c>
      <c r="P883">
        <f>I883*IFERROR(_xlfn.XLOOKUP(F883,Lookup_Tables!Product,Cost),0)</f>
        <v>29536</v>
      </c>
      <c r="Q883">
        <f t="shared" si="68"/>
        <v>137032</v>
      </c>
      <c r="R883" s="2">
        <f t="shared" si="69"/>
        <v>0.82267902598338216</v>
      </c>
    </row>
    <row r="884" spans="1:18" x14ac:dyDescent="0.3">
      <c r="A884" t="s">
        <v>941</v>
      </c>
      <c r="B884" s="1">
        <v>45377</v>
      </c>
      <c r="C884" t="s">
        <v>6</v>
      </c>
      <c r="D884" t="s">
        <v>76</v>
      </c>
      <c r="E884" t="s">
        <v>27</v>
      </c>
      <c r="F884" t="s">
        <v>23</v>
      </c>
      <c r="G884" t="str">
        <f>INDEX(Lookup_Tables!$B$1:$B$7,MATCH(Cleaned_Data!F884,Lookup_Tables!$A$1:$A$7,0))</f>
        <v>Electronics</v>
      </c>
      <c r="H884" t="s">
        <v>54</v>
      </c>
      <c r="I884">
        <v>2</v>
      </c>
      <c r="J884">
        <v>28115</v>
      </c>
      <c r="K884">
        <v>0.1</v>
      </c>
      <c r="L884">
        <f t="shared" si="65"/>
        <v>0.1</v>
      </c>
      <c r="N884">
        <f t="shared" si="66"/>
        <v>56230</v>
      </c>
      <c r="O884">
        <f t="shared" si="67"/>
        <v>50607</v>
      </c>
      <c r="P884">
        <f>I884*IFERROR(_xlfn.XLOOKUP(F884,Lookup_Tables!Product,Cost),0)</f>
        <v>38530</v>
      </c>
      <c r="Q884">
        <f t="shared" si="68"/>
        <v>12077</v>
      </c>
      <c r="R884" s="2">
        <f t="shared" si="69"/>
        <v>0.23864287549153279</v>
      </c>
    </row>
    <row r="885" spans="1:18" x14ac:dyDescent="0.3">
      <c r="A885" t="s">
        <v>942</v>
      </c>
      <c r="B885" s="1">
        <v>45363</v>
      </c>
      <c r="C885" t="s">
        <v>4</v>
      </c>
      <c r="D885" t="s">
        <v>49</v>
      </c>
      <c r="E885" t="s">
        <v>27</v>
      </c>
      <c r="F885" t="s">
        <v>23</v>
      </c>
      <c r="G885" t="str">
        <f>INDEX(Lookup_Tables!$B$1:$B$7,MATCH(Cleaned_Data!F885,Lookup_Tables!$A$1:$A$7,0))</f>
        <v>Electronics</v>
      </c>
      <c r="H885" t="s">
        <v>54</v>
      </c>
      <c r="I885">
        <v>5</v>
      </c>
      <c r="J885">
        <v>23872</v>
      </c>
      <c r="K885">
        <v>0.05</v>
      </c>
      <c r="L885">
        <f t="shared" si="65"/>
        <v>0.05</v>
      </c>
      <c r="N885">
        <f t="shared" si="66"/>
        <v>119360</v>
      </c>
      <c r="O885">
        <f t="shared" si="67"/>
        <v>113392</v>
      </c>
      <c r="P885">
        <f>I885*IFERROR(_xlfn.XLOOKUP(F885,Lookup_Tables!Product,Cost),0)</f>
        <v>96325</v>
      </c>
      <c r="Q885">
        <f t="shared" si="68"/>
        <v>17067</v>
      </c>
      <c r="R885" s="2">
        <f t="shared" si="69"/>
        <v>0.15051326372230844</v>
      </c>
    </row>
    <row r="886" spans="1:18" x14ac:dyDescent="0.3">
      <c r="A886" t="s">
        <v>943</v>
      </c>
      <c r="B886" s="1">
        <v>45455</v>
      </c>
      <c r="C886" t="s">
        <v>5</v>
      </c>
      <c r="D886" t="s">
        <v>69</v>
      </c>
      <c r="E886" t="s">
        <v>26</v>
      </c>
      <c r="F886" t="s">
        <v>61</v>
      </c>
      <c r="G886" t="str">
        <f>INDEX(Lookup_Tables!$B$1:$B$7,MATCH(Cleaned_Data!F886,Lookup_Tables!$A$1:$A$7,0))</f>
        <v>Electronics</v>
      </c>
      <c r="H886" t="s">
        <v>54</v>
      </c>
      <c r="I886">
        <v>4</v>
      </c>
      <c r="J886">
        <v>14632</v>
      </c>
      <c r="L886">
        <f t="shared" si="65"/>
        <v>0</v>
      </c>
      <c r="N886">
        <f t="shared" si="66"/>
        <v>58528</v>
      </c>
      <c r="O886">
        <f t="shared" si="67"/>
        <v>58528</v>
      </c>
      <c r="P886">
        <f>I886*IFERROR(_xlfn.XLOOKUP(F886,Lookup_Tables!Product,Cost),0)</f>
        <v>29536</v>
      </c>
      <c r="Q886">
        <f t="shared" si="68"/>
        <v>28992</v>
      </c>
      <c r="R886" s="2">
        <f t="shared" si="69"/>
        <v>0.49535265172225262</v>
      </c>
    </row>
    <row r="887" spans="1:18" x14ac:dyDescent="0.3">
      <c r="A887" t="s">
        <v>944</v>
      </c>
      <c r="B887" s="1">
        <v>45292</v>
      </c>
      <c r="C887" t="s">
        <v>5</v>
      </c>
      <c r="D887" t="s">
        <v>49</v>
      </c>
      <c r="E887" t="s">
        <v>26</v>
      </c>
      <c r="F887" t="s">
        <v>61</v>
      </c>
      <c r="G887" t="str">
        <f>INDEX(Lookup_Tables!$B$1:$B$7,MATCH(Cleaned_Data!F887,Lookup_Tables!$A$1:$A$7,0))</f>
        <v>Electronics</v>
      </c>
      <c r="H887" t="s">
        <v>54</v>
      </c>
      <c r="I887">
        <v>8</v>
      </c>
      <c r="J887">
        <v>39882</v>
      </c>
      <c r="L887">
        <f t="shared" si="65"/>
        <v>0</v>
      </c>
      <c r="M887">
        <v>15420</v>
      </c>
      <c r="N887">
        <f t="shared" si="66"/>
        <v>319056</v>
      </c>
      <c r="O887">
        <f t="shared" si="67"/>
        <v>319056</v>
      </c>
      <c r="P887">
        <f>I887*IFERROR(_xlfn.XLOOKUP(F887,Lookup_Tables!Product,Cost),0)</f>
        <v>59072</v>
      </c>
      <c r="Q887">
        <f t="shared" si="68"/>
        <v>259984</v>
      </c>
      <c r="R887" s="2">
        <f t="shared" si="69"/>
        <v>0.81485381876535778</v>
      </c>
    </row>
    <row r="888" spans="1:18" x14ac:dyDescent="0.3">
      <c r="A888" t="s">
        <v>945</v>
      </c>
      <c r="B888" s="1">
        <v>45337</v>
      </c>
      <c r="C888" t="s">
        <v>4</v>
      </c>
      <c r="D888" t="s">
        <v>64</v>
      </c>
      <c r="E888" t="s">
        <v>27</v>
      </c>
      <c r="F888" t="s">
        <v>23</v>
      </c>
      <c r="G888" t="str">
        <f>INDEX(Lookup_Tables!$B$1:$B$7,MATCH(Cleaned_Data!F888,Lookup_Tables!$A$1:$A$7,0))</f>
        <v>Electronics</v>
      </c>
      <c r="H888" t="s">
        <v>54</v>
      </c>
      <c r="I888">
        <v>7</v>
      </c>
      <c r="J888">
        <v>12584</v>
      </c>
      <c r="K888">
        <v>0.05</v>
      </c>
      <c r="L888">
        <f t="shared" si="65"/>
        <v>0.05</v>
      </c>
      <c r="N888">
        <f t="shared" si="66"/>
        <v>88088</v>
      </c>
      <c r="O888">
        <f t="shared" si="67"/>
        <v>83683.600000000006</v>
      </c>
      <c r="P888">
        <f>I888*IFERROR(_xlfn.XLOOKUP(F888,Lookup_Tables!Product,Cost),0)</f>
        <v>134855</v>
      </c>
      <c r="Q888">
        <f t="shared" si="68"/>
        <v>-51171.399999999994</v>
      </c>
      <c r="R888" s="2">
        <f t="shared" si="69"/>
        <v>-0.61148659952487694</v>
      </c>
    </row>
    <row r="889" spans="1:18" x14ac:dyDescent="0.3">
      <c r="A889" t="s">
        <v>946</v>
      </c>
      <c r="B889" s="1">
        <v>45396</v>
      </c>
      <c r="C889" t="s">
        <v>3</v>
      </c>
      <c r="D889" t="s">
        <v>76</v>
      </c>
      <c r="E889" t="s">
        <v>26</v>
      </c>
      <c r="F889" t="s">
        <v>23</v>
      </c>
      <c r="G889" t="str">
        <f>INDEX(Lookup_Tables!$B$1:$B$7,MATCH(Cleaned_Data!F889,Lookup_Tables!$A$1:$A$7,0))</f>
        <v>Electronics</v>
      </c>
      <c r="H889" t="s">
        <v>54</v>
      </c>
      <c r="I889">
        <v>2</v>
      </c>
      <c r="J889">
        <v>41741</v>
      </c>
      <c r="L889">
        <f t="shared" si="65"/>
        <v>0</v>
      </c>
      <c r="N889">
        <f t="shared" si="66"/>
        <v>83482</v>
      </c>
      <c r="O889">
        <f t="shared" si="67"/>
        <v>83482</v>
      </c>
      <c r="P889">
        <f>I889*IFERROR(_xlfn.XLOOKUP(F889,Lookup_Tables!Product,Cost),0)</f>
        <v>38530</v>
      </c>
      <c r="Q889">
        <f t="shared" si="68"/>
        <v>44952</v>
      </c>
      <c r="R889" s="2">
        <f t="shared" si="69"/>
        <v>0.53846338132771132</v>
      </c>
    </row>
    <row r="890" spans="1:18" x14ac:dyDescent="0.3">
      <c r="A890" t="s">
        <v>947</v>
      </c>
      <c r="B890" s="1">
        <v>45565</v>
      </c>
      <c r="C890" t="s">
        <v>6</v>
      </c>
      <c r="D890" t="s">
        <v>76</v>
      </c>
      <c r="E890" t="s">
        <v>26</v>
      </c>
      <c r="F890" t="s">
        <v>24</v>
      </c>
      <c r="G890" t="str">
        <f>INDEX(Lookup_Tables!$B$1:$B$7,MATCH(Cleaned_Data!F890,Lookup_Tables!$A$1:$A$7,0))</f>
        <v>Electronics</v>
      </c>
      <c r="H890" t="s">
        <v>54</v>
      </c>
      <c r="I890">
        <v>8</v>
      </c>
      <c r="J890">
        <v>24528</v>
      </c>
      <c r="K890">
        <v>0.05</v>
      </c>
      <c r="L890">
        <f t="shared" si="65"/>
        <v>0.05</v>
      </c>
      <c r="N890">
        <f t="shared" si="66"/>
        <v>196224</v>
      </c>
      <c r="O890">
        <f t="shared" si="67"/>
        <v>186412.79999999999</v>
      </c>
      <c r="P890">
        <f>I890*IFERROR(_xlfn.XLOOKUP(F890,Lookup_Tables!Product,Cost),0)</f>
        <v>224368</v>
      </c>
      <c r="Q890">
        <f t="shared" si="68"/>
        <v>-37955.200000000012</v>
      </c>
      <c r="R890" s="2">
        <f t="shared" si="69"/>
        <v>-0.20360833590826388</v>
      </c>
    </row>
    <row r="891" spans="1:18" x14ac:dyDescent="0.3">
      <c r="A891" t="s">
        <v>948</v>
      </c>
      <c r="B891" s="1">
        <v>45652</v>
      </c>
      <c r="C891" t="s">
        <v>3</v>
      </c>
      <c r="D891" t="s">
        <v>56</v>
      </c>
      <c r="E891" t="s">
        <v>27</v>
      </c>
      <c r="F891" t="s">
        <v>22</v>
      </c>
      <c r="G891" t="str">
        <f>INDEX(Lookup_Tables!$B$1:$B$7,MATCH(Cleaned_Data!F891,Lookup_Tables!$A$1:$A$7,0))</f>
        <v>Furniture</v>
      </c>
      <c r="H891" t="s">
        <v>51</v>
      </c>
      <c r="I891">
        <v>2</v>
      </c>
      <c r="J891">
        <v>48438</v>
      </c>
      <c r="L891">
        <f t="shared" si="65"/>
        <v>0</v>
      </c>
      <c r="M891">
        <v>481</v>
      </c>
      <c r="N891">
        <f t="shared" si="66"/>
        <v>96876</v>
      </c>
      <c r="O891">
        <f t="shared" si="67"/>
        <v>96876</v>
      </c>
      <c r="P891">
        <f>I891*IFERROR(_xlfn.XLOOKUP(F891,Lookup_Tables!Product,Cost),0)</f>
        <v>26080</v>
      </c>
      <c r="Q891">
        <f t="shared" si="68"/>
        <v>70796</v>
      </c>
      <c r="R891" s="2">
        <f t="shared" si="69"/>
        <v>0.73078987571741194</v>
      </c>
    </row>
    <row r="892" spans="1:18" x14ac:dyDescent="0.3">
      <c r="A892" t="s">
        <v>949</v>
      </c>
      <c r="B892" s="1">
        <v>45481</v>
      </c>
      <c r="C892" t="s">
        <v>4</v>
      </c>
      <c r="D892" t="s">
        <v>53</v>
      </c>
      <c r="E892" t="s">
        <v>25</v>
      </c>
      <c r="F892" t="s">
        <v>50</v>
      </c>
      <c r="G892" t="str">
        <f>INDEX(Lookup_Tables!$B$1:$B$7,MATCH(Cleaned_Data!F892,Lookup_Tables!$A$1:$A$7,0))</f>
        <v>Furniture</v>
      </c>
      <c r="H892" t="s">
        <v>51</v>
      </c>
      <c r="I892">
        <v>6</v>
      </c>
      <c r="J892">
        <v>6857</v>
      </c>
      <c r="K892">
        <v>0.1</v>
      </c>
      <c r="L892">
        <f t="shared" si="65"/>
        <v>0.1</v>
      </c>
      <c r="M892">
        <v>27794</v>
      </c>
      <c r="N892">
        <f t="shared" si="66"/>
        <v>41142</v>
      </c>
      <c r="O892">
        <f t="shared" si="67"/>
        <v>37027.800000000003</v>
      </c>
      <c r="P892">
        <f>I892*IFERROR(_xlfn.XLOOKUP(F892,Lookup_Tables!Product,Cost),0)</f>
        <v>79626</v>
      </c>
      <c r="Q892">
        <f t="shared" si="68"/>
        <v>-42598.2</v>
      </c>
      <c r="R892" s="2">
        <f t="shared" si="69"/>
        <v>-1.1504383193168375</v>
      </c>
    </row>
    <row r="893" spans="1:18" x14ac:dyDescent="0.3">
      <c r="A893" t="s">
        <v>950</v>
      </c>
      <c r="B893" s="1">
        <v>45526</v>
      </c>
      <c r="C893" t="s">
        <v>4</v>
      </c>
      <c r="D893" t="s">
        <v>49</v>
      </c>
      <c r="E893" t="s">
        <v>28</v>
      </c>
      <c r="F893" t="s">
        <v>23</v>
      </c>
      <c r="G893" t="str">
        <f>INDEX(Lookup_Tables!$B$1:$B$7,MATCH(Cleaned_Data!F893,Lookup_Tables!$A$1:$A$7,0))</f>
        <v>Electronics</v>
      </c>
      <c r="H893" t="s">
        <v>54</v>
      </c>
      <c r="I893">
        <v>4</v>
      </c>
      <c r="J893">
        <v>46243</v>
      </c>
      <c r="K893">
        <v>0.1</v>
      </c>
      <c r="L893">
        <f t="shared" si="65"/>
        <v>0.1</v>
      </c>
      <c r="M893">
        <v>14704</v>
      </c>
      <c r="N893">
        <f t="shared" si="66"/>
        <v>184972</v>
      </c>
      <c r="O893">
        <f t="shared" si="67"/>
        <v>166474.79999999999</v>
      </c>
      <c r="P893">
        <f>I893*IFERROR(_xlfn.XLOOKUP(F893,Lookup_Tables!Product,Cost),0)</f>
        <v>77060</v>
      </c>
      <c r="Q893">
        <f t="shared" si="68"/>
        <v>89414.799999999988</v>
      </c>
      <c r="R893" s="2">
        <f t="shared" si="69"/>
        <v>0.53710711771391217</v>
      </c>
    </row>
    <row r="894" spans="1:18" x14ac:dyDescent="0.3">
      <c r="A894" t="s">
        <v>951</v>
      </c>
      <c r="B894" s="1">
        <v>45652</v>
      </c>
      <c r="C894" t="s">
        <v>4</v>
      </c>
      <c r="D894" t="s">
        <v>76</v>
      </c>
      <c r="E894" t="s">
        <v>28</v>
      </c>
      <c r="F894" t="s">
        <v>22</v>
      </c>
      <c r="G894" t="str">
        <f>INDEX(Lookup_Tables!$B$1:$B$7,MATCH(Cleaned_Data!F894,Lookup_Tables!$A$1:$A$7,0))</f>
        <v>Furniture</v>
      </c>
      <c r="H894" t="s">
        <v>51</v>
      </c>
      <c r="I894">
        <v>8</v>
      </c>
      <c r="J894">
        <v>7975</v>
      </c>
      <c r="L894">
        <f t="shared" si="65"/>
        <v>0</v>
      </c>
      <c r="N894">
        <f t="shared" si="66"/>
        <v>63800</v>
      </c>
      <c r="O894">
        <f t="shared" si="67"/>
        <v>63800</v>
      </c>
      <c r="P894">
        <f>I894*IFERROR(_xlfn.XLOOKUP(F894,Lookup_Tables!Product,Cost),0)</f>
        <v>104320</v>
      </c>
      <c r="Q894">
        <f t="shared" si="68"/>
        <v>-40520</v>
      </c>
      <c r="R894" s="2">
        <f t="shared" si="69"/>
        <v>-0.63510971786833859</v>
      </c>
    </row>
    <row r="895" spans="1:18" x14ac:dyDescent="0.3">
      <c r="A895" t="s">
        <v>952</v>
      </c>
      <c r="B895" s="1">
        <v>45621</v>
      </c>
      <c r="C895" t="s">
        <v>6</v>
      </c>
      <c r="D895" t="s">
        <v>49</v>
      </c>
      <c r="E895" t="s">
        <v>28</v>
      </c>
      <c r="F895" t="s">
        <v>22</v>
      </c>
      <c r="G895" t="str">
        <f>INDEX(Lookup_Tables!$B$1:$B$7,MATCH(Cleaned_Data!F895,Lookup_Tables!$A$1:$A$7,0))</f>
        <v>Furniture</v>
      </c>
      <c r="H895" t="s">
        <v>51</v>
      </c>
      <c r="I895">
        <v>4</v>
      </c>
      <c r="J895">
        <v>31151</v>
      </c>
      <c r="K895">
        <v>0</v>
      </c>
      <c r="L895">
        <f t="shared" si="65"/>
        <v>0</v>
      </c>
      <c r="N895">
        <f t="shared" si="66"/>
        <v>124604</v>
      </c>
      <c r="O895">
        <f t="shared" si="67"/>
        <v>124604</v>
      </c>
      <c r="P895">
        <f>I895*IFERROR(_xlfn.XLOOKUP(F895,Lookup_Tables!Product,Cost),0)</f>
        <v>52160</v>
      </c>
      <c r="Q895">
        <f t="shared" si="68"/>
        <v>72444</v>
      </c>
      <c r="R895" s="2">
        <f t="shared" si="69"/>
        <v>0.58139385573496838</v>
      </c>
    </row>
    <row r="896" spans="1:18" x14ac:dyDescent="0.3">
      <c r="A896" t="s">
        <v>953</v>
      </c>
      <c r="B896" s="1">
        <v>45402</v>
      </c>
      <c r="C896" t="s">
        <v>5</v>
      </c>
      <c r="D896" t="s">
        <v>69</v>
      </c>
      <c r="E896" t="s">
        <v>25</v>
      </c>
      <c r="F896" t="s">
        <v>58</v>
      </c>
      <c r="G896" t="str">
        <f>INDEX(Lookup_Tables!$B$1:$B$7,MATCH(Cleaned_Data!F896,Lookup_Tables!$A$1:$A$7,0))</f>
        <v>Electronics</v>
      </c>
      <c r="H896" t="s">
        <v>54</v>
      </c>
      <c r="I896">
        <v>10</v>
      </c>
      <c r="J896">
        <v>30538</v>
      </c>
      <c r="K896">
        <v>0.05</v>
      </c>
      <c r="L896">
        <f t="shared" si="65"/>
        <v>0.05</v>
      </c>
      <c r="N896">
        <f t="shared" si="66"/>
        <v>305380</v>
      </c>
      <c r="O896">
        <f t="shared" si="67"/>
        <v>290111</v>
      </c>
      <c r="P896">
        <f>I896*IFERROR(_xlfn.XLOOKUP(F896,Lookup_Tables!Product,Cost),0)</f>
        <v>28880</v>
      </c>
      <c r="Q896">
        <f t="shared" si="68"/>
        <v>261231</v>
      </c>
      <c r="R896" s="2">
        <f t="shared" si="69"/>
        <v>0.90045189599842823</v>
      </c>
    </row>
    <row r="897" spans="1:18" x14ac:dyDescent="0.3">
      <c r="A897" t="s">
        <v>954</v>
      </c>
      <c r="B897" s="1">
        <v>45575</v>
      </c>
      <c r="C897" t="s">
        <v>5</v>
      </c>
      <c r="D897" t="s">
        <v>49</v>
      </c>
      <c r="E897" t="s">
        <v>28</v>
      </c>
      <c r="F897" t="s">
        <v>22</v>
      </c>
      <c r="G897" t="str">
        <f>INDEX(Lookup_Tables!$B$1:$B$7,MATCH(Cleaned_Data!F897,Lookup_Tables!$A$1:$A$7,0))</f>
        <v>Furniture</v>
      </c>
      <c r="H897" t="s">
        <v>51</v>
      </c>
      <c r="I897">
        <v>7</v>
      </c>
      <c r="J897">
        <v>9759</v>
      </c>
      <c r="K897">
        <v>0.1</v>
      </c>
      <c r="L897">
        <f t="shared" si="65"/>
        <v>0.1</v>
      </c>
      <c r="N897">
        <f t="shared" si="66"/>
        <v>68313</v>
      </c>
      <c r="O897">
        <f t="shared" si="67"/>
        <v>61481.7</v>
      </c>
      <c r="P897">
        <f>I897*IFERROR(_xlfn.XLOOKUP(F897,Lookup_Tables!Product,Cost),0)</f>
        <v>91280</v>
      </c>
      <c r="Q897">
        <f t="shared" si="68"/>
        <v>-29798.300000000003</v>
      </c>
      <c r="R897" s="2">
        <f t="shared" si="69"/>
        <v>-0.48466942195807866</v>
      </c>
    </row>
    <row r="898" spans="1:18" x14ac:dyDescent="0.3">
      <c r="A898" t="s">
        <v>955</v>
      </c>
      <c r="B898" s="1">
        <v>45524</v>
      </c>
      <c r="C898" t="s">
        <v>5</v>
      </c>
      <c r="D898" t="s">
        <v>76</v>
      </c>
      <c r="E898" t="s">
        <v>28</v>
      </c>
      <c r="F898" t="s">
        <v>24</v>
      </c>
      <c r="G898" t="str">
        <f>INDEX(Lookup_Tables!$B$1:$B$7,MATCH(Cleaned_Data!F898,Lookup_Tables!$A$1:$A$7,0))</f>
        <v>Electronics</v>
      </c>
      <c r="H898" t="s">
        <v>54</v>
      </c>
      <c r="I898">
        <v>8</v>
      </c>
      <c r="J898">
        <v>31715</v>
      </c>
      <c r="K898">
        <v>0.05</v>
      </c>
      <c r="L898">
        <f t="shared" si="65"/>
        <v>0.05</v>
      </c>
      <c r="N898">
        <f t="shared" si="66"/>
        <v>253720</v>
      </c>
      <c r="O898">
        <f t="shared" si="67"/>
        <v>241034</v>
      </c>
      <c r="P898">
        <f>I898*IFERROR(_xlfn.XLOOKUP(F898,Lookup_Tables!Product,Cost),0)</f>
        <v>224368</v>
      </c>
      <c r="Q898">
        <f t="shared" si="68"/>
        <v>16666</v>
      </c>
      <c r="R898" s="2">
        <f t="shared" si="69"/>
        <v>6.9143772247898638E-2</v>
      </c>
    </row>
    <row r="899" spans="1:18" x14ac:dyDescent="0.3">
      <c r="A899" t="s">
        <v>956</v>
      </c>
      <c r="B899" s="1">
        <v>45448</v>
      </c>
      <c r="C899" t="s">
        <v>4</v>
      </c>
      <c r="D899" t="s">
        <v>56</v>
      </c>
      <c r="E899" t="s">
        <v>27</v>
      </c>
      <c r="F899" t="s">
        <v>22</v>
      </c>
      <c r="G899" t="str">
        <f>INDEX(Lookup_Tables!$B$1:$B$7,MATCH(Cleaned_Data!F899,Lookup_Tables!$A$1:$A$7,0))</f>
        <v>Furniture</v>
      </c>
      <c r="H899" t="s">
        <v>51</v>
      </c>
      <c r="I899">
        <v>1</v>
      </c>
      <c r="J899">
        <v>21603</v>
      </c>
      <c r="K899">
        <v>0</v>
      </c>
      <c r="L899">
        <f t="shared" ref="L899:L962" si="70">IF(ISBLANK(K899),0,K899)</f>
        <v>0</v>
      </c>
      <c r="M899">
        <v>8642</v>
      </c>
      <c r="N899">
        <f t="shared" ref="N899:N962" si="71">I899*J899</f>
        <v>21603</v>
      </c>
      <c r="O899">
        <f t="shared" ref="O899:O962" si="72">N899-(N899*L899)</f>
        <v>21603</v>
      </c>
      <c r="P899">
        <f>I899*IFERROR(_xlfn.XLOOKUP(F899,Lookup_Tables!Product,Cost),0)</f>
        <v>13040</v>
      </c>
      <c r="Q899">
        <f t="shared" ref="Q899:Q962" si="73">O899-P899</f>
        <v>8563</v>
      </c>
      <c r="R899" s="2">
        <f t="shared" ref="R899:R962" si="74">Q899/O899</f>
        <v>0.39638013238902003</v>
      </c>
    </row>
    <row r="900" spans="1:18" x14ac:dyDescent="0.3">
      <c r="A900" t="s">
        <v>957</v>
      </c>
      <c r="B900" s="1">
        <v>45601</v>
      </c>
      <c r="C900" t="s">
        <v>3</v>
      </c>
      <c r="D900" t="s">
        <v>56</v>
      </c>
      <c r="E900" t="s">
        <v>27</v>
      </c>
      <c r="F900" t="s">
        <v>24</v>
      </c>
      <c r="G900" t="str">
        <f>INDEX(Lookup_Tables!$B$1:$B$7,MATCH(Cleaned_Data!F900,Lookup_Tables!$A$1:$A$7,0))</f>
        <v>Electronics</v>
      </c>
      <c r="H900" t="s">
        <v>54</v>
      </c>
      <c r="I900">
        <v>8</v>
      </c>
      <c r="J900">
        <v>21655</v>
      </c>
      <c r="K900">
        <v>0</v>
      </c>
      <c r="L900">
        <f t="shared" si="70"/>
        <v>0</v>
      </c>
      <c r="M900">
        <v>18271</v>
      </c>
      <c r="N900">
        <f t="shared" si="71"/>
        <v>173240</v>
      </c>
      <c r="O900">
        <f t="shared" si="72"/>
        <v>173240</v>
      </c>
      <c r="P900">
        <f>I900*IFERROR(_xlfn.XLOOKUP(F900,Lookup_Tables!Product,Cost),0)</f>
        <v>224368</v>
      </c>
      <c r="Q900">
        <f t="shared" si="73"/>
        <v>-51128</v>
      </c>
      <c r="R900" s="2">
        <f t="shared" si="74"/>
        <v>-0.29512814592472869</v>
      </c>
    </row>
    <row r="901" spans="1:18" x14ac:dyDescent="0.3">
      <c r="A901" t="s">
        <v>958</v>
      </c>
      <c r="B901" s="1">
        <v>45295</v>
      </c>
      <c r="C901" t="s">
        <v>4</v>
      </c>
      <c r="D901" t="s">
        <v>76</v>
      </c>
      <c r="E901" t="s">
        <v>27</v>
      </c>
      <c r="F901" t="s">
        <v>58</v>
      </c>
      <c r="G901" t="str">
        <f>INDEX(Lookup_Tables!$B$1:$B$7,MATCH(Cleaned_Data!F901,Lookup_Tables!$A$1:$A$7,0))</f>
        <v>Electronics</v>
      </c>
      <c r="H901" t="s">
        <v>54</v>
      </c>
      <c r="I901">
        <v>6</v>
      </c>
      <c r="J901">
        <v>13216</v>
      </c>
      <c r="K901">
        <v>0.1</v>
      </c>
      <c r="L901">
        <f t="shared" si="70"/>
        <v>0.1</v>
      </c>
      <c r="M901">
        <v>9830</v>
      </c>
      <c r="N901">
        <f t="shared" si="71"/>
        <v>79296</v>
      </c>
      <c r="O901">
        <f t="shared" si="72"/>
        <v>71366.399999999994</v>
      </c>
      <c r="P901">
        <f>I901*IFERROR(_xlfn.XLOOKUP(F901,Lookup_Tables!Product,Cost),0)</f>
        <v>17328</v>
      </c>
      <c r="Q901">
        <f t="shared" si="73"/>
        <v>54038.399999999994</v>
      </c>
      <c r="R901" s="2">
        <f t="shared" si="74"/>
        <v>0.75719666397632501</v>
      </c>
    </row>
    <row r="902" spans="1:18" x14ac:dyDescent="0.3">
      <c r="A902" t="s">
        <v>959</v>
      </c>
      <c r="B902" s="1">
        <v>45406</v>
      </c>
      <c r="C902" t="s">
        <v>4</v>
      </c>
      <c r="D902" t="s">
        <v>49</v>
      </c>
      <c r="E902" t="s">
        <v>27</v>
      </c>
      <c r="F902" t="s">
        <v>50</v>
      </c>
      <c r="G902" t="str">
        <f>INDEX(Lookup_Tables!$B$1:$B$7,MATCH(Cleaned_Data!F902,Lookup_Tables!$A$1:$A$7,0))</f>
        <v>Furniture</v>
      </c>
      <c r="H902" t="s">
        <v>51</v>
      </c>
      <c r="I902">
        <v>3</v>
      </c>
      <c r="J902">
        <v>10566</v>
      </c>
      <c r="K902">
        <v>0</v>
      </c>
      <c r="L902">
        <f t="shared" si="70"/>
        <v>0</v>
      </c>
      <c r="M902">
        <v>18985</v>
      </c>
      <c r="N902">
        <f t="shared" si="71"/>
        <v>31698</v>
      </c>
      <c r="O902">
        <f t="shared" si="72"/>
        <v>31698</v>
      </c>
      <c r="P902">
        <f>I902*IFERROR(_xlfn.XLOOKUP(F902,Lookup_Tables!Product,Cost),0)</f>
        <v>39813</v>
      </c>
      <c r="Q902">
        <f t="shared" si="73"/>
        <v>-8115</v>
      </c>
      <c r="R902" s="2">
        <f t="shared" si="74"/>
        <v>-0.25600984289229606</v>
      </c>
    </row>
    <row r="903" spans="1:18" x14ac:dyDescent="0.3">
      <c r="A903" t="s">
        <v>960</v>
      </c>
      <c r="B903" s="1">
        <v>45382</v>
      </c>
      <c r="C903" t="s">
        <v>5</v>
      </c>
      <c r="D903" t="s">
        <v>56</v>
      </c>
      <c r="E903" t="s">
        <v>29</v>
      </c>
      <c r="F903" t="s">
        <v>23</v>
      </c>
      <c r="G903" t="str">
        <f>INDEX(Lookup_Tables!$B$1:$B$7,MATCH(Cleaned_Data!F903,Lookup_Tables!$A$1:$A$7,0))</f>
        <v>Electronics</v>
      </c>
      <c r="H903" t="s">
        <v>54</v>
      </c>
      <c r="I903">
        <v>3</v>
      </c>
      <c r="J903">
        <v>43611</v>
      </c>
      <c r="L903">
        <f t="shared" si="70"/>
        <v>0</v>
      </c>
      <c r="M903">
        <v>28485</v>
      </c>
      <c r="N903">
        <f t="shared" si="71"/>
        <v>130833</v>
      </c>
      <c r="O903">
        <f t="shared" si="72"/>
        <v>130833</v>
      </c>
      <c r="P903">
        <f>I903*IFERROR(_xlfn.XLOOKUP(F903,Lookup_Tables!Product,Cost),0)</f>
        <v>57795</v>
      </c>
      <c r="Q903">
        <f t="shared" si="73"/>
        <v>73038</v>
      </c>
      <c r="R903" s="2">
        <f t="shared" si="74"/>
        <v>0.55825365160166018</v>
      </c>
    </row>
    <row r="904" spans="1:18" x14ac:dyDescent="0.3">
      <c r="A904" t="s">
        <v>961</v>
      </c>
      <c r="B904" s="1">
        <v>45444</v>
      </c>
      <c r="C904" t="s">
        <v>5</v>
      </c>
      <c r="D904" t="s">
        <v>64</v>
      </c>
      <c r="E904" t="s">
        <v>25</v>
      </c>
      <c r="F904" t="s">
        <v>22</v>
      </c>
      <c r="G904" t="str">
        <f>INDEX(Lookup_Tables!$B$1:$B$7,MATCH(Cleaned_Data!F904,Lookup_Tables!$A$1:$A$7,0))</f>
        <v>Furniture</v>
      </c>
      <c r="H904" t="s">
        <v>51</v>
      </c>
      <c r="I904">
        <v>3</v>
      </c>
      <c r="J904">
        <v>47928</v>
      </c>
      <c r="K904">
        <v>0.1</v>
      </c>
      <c r="L904">
        <f t="shared" si="70"/>
        <v>0.1</v>
      </c>
      <c r="N904">
        <f t="shared" si="71"/>
        <v>143784</v>
      </c>
      <c r="O904">
        <f t="shared" si="72"/>
        <v>129405.6</v>
      </c>
      <c r="P904">
        <f>I904*IFERROR(_xlfn.XLOOKUP(F904,Lookup_Tables!Product,Cost),0)</f>
        <v>39120</v>
      </c>
      <c r="Q904">
        <f t="shared" si="73"/>
        <v>90285.6</v>
      </c>
      <c r="R904" s="2">
        <f t="shared" si="74"/>
        <v>0.69769469018342334</v>
      </c>
    </row>
    <row r="905" spans="1:18" x14ac:dyDescent="0.3">
      <c r="A905" t="s">
        <v>962</v>
      </c>
      <c r="B905" s="1">
        <v>45583</v>
      </c>
      <c r="C905" t="s">
        <v>3</v>
      </c>
      <c r="D905" t="s">
        <v>64</v>
      </c>
      <c r="E905" t="s">
        <v>27</v>
      </c>
      <c r="F905" t="s">
        <v>61</v>
      </c>
      <c r="G905" t="str">
        <f>INDEX(Lookup_Tables!$B$1:$B$7,MATCH(Cleaned_Data!F905,Lookup_Tables!$A$1:$A$7,0))</f>
        <v>Electronics</v>
      </c>
      <c r="H905" t="s">
        <v>54</v>
      </c>
      <c r="I905">
        <v>1</v>
      </c>
      <c r="J905">
        <v>45488</v>
      </c>
      <c r="K905">
        <v>0</v>
      </c>
      <c r="L905">
        <f t="shared" si="70"/>
        <v>0</v>
      </c>
      <c r="N905">
        <f t="shared" si="71"/>
        <v>45488</v>
      </c>
      <c r="O905">
        <f t="shared" si="72"/>
        <v>45488</v>
      </c>
      <c r="P905">
        <f>I905*IFERROR(_xlfn.XLOOKUP(F905,Lookup_Tables!Product,Cost),0)</f>
        <v>7384</v>
      </c>
      <c r="Q905">
        <f t="shared" si="73"/>
        <v>38104</v>
      </c>
      <c r="R905" s="2">
        <f t="shared" si="74"/>
        <v>0.83767147379528661</v>
      </c>
    </row>
    <row r="906" spans="1:18" x14ac:dyDescent="0.3">
      <c r="A906" t="s">
        <v>963</v>
      </c>
      <c r="B906" s="1">
        <v>45297</v>
      </c>
      <c r="C906" t="s">
        <v>3</v>
      </c>
      <c r="D906" t="s">
        <v>64</v>
      </c>
      <c r="E906" t="s">
        <v>26</v>
      </c>
      <c r="F906" t="s">
        <v>24</v>
      </c>
      <c r="G906" t="str">
        <f>INDEX(Lookup_Tables!$B$1:$B$7,MATCH(Cleaned_Data!F906,Lookup_Tables!$A$1:$A$7,0))</f>
        <v>Electronics</v>
      </c>
      <c r="H906" t="s">
        <v>54</v>
      </c>
      <c r="I906">
        <v>10</v>
      </c>
      <c r="J906">
        <v>4406</v>
      </c>
      <c r="L906">
        <f t="shared" si="70"/>
        <v>0</v>
      </c>
      <c r="M906">
        <v>18751</v>
      </c>
      <c r="N906">
        <f t="shared" si="71"/>
        <v>44060</v>
      </c>
      <c r="O906">
        <f t="shared" si="72"/>
        <v>44060</v>
      </c>
      <c r="P906">
        <f>I906*IFERROR(_xlfn.XLOOKUP(F906,Lookup_Tables!Product,Cost),0)</f>
        <v>280460</v>
      </c>
      <c r="Q906">
        <f t="shared" si="73"/>
        <v>-236400</v>
      </c>
      <c r="R906" s="2">
        <f t="shared" si="74"/>
        <v>-5.3654108034498416</v>
      </c>
    </row>
    <row r="907" spans="1:18" x14ac:dyDescent="0.3">
      <c r="A907" t="s">
        <v>964</v>
      </c>
      <c r="B907" s="1">
        <v>45634</v>
      </c>
      <c r="C907" t="s">
        <v>3</v>
      </c>
      <c r="D907" t="s">
        <v>56</v>
      </c>
      <c r="E907" t="s">
        <v>26</v>
      </c>
      <c r="F907" t="s">
        <v>61</v>
      </c>
      <c r="G907" t="str">
        <f>INDEX(Lookup_Tables!$B$1:$B$7,MATCH(Cleaned_Data!F907,Lookup_Tables!$A$1:$A$7,0))</f>
        <v>Electronics</v>
      </c>
      <c r="H907" t="s">
        <v>54</v>
      </c>
      <c r="I907">
        <v>9</v>
      </c>
      <c r="J907">
        <v>15441</v>
      </c>
      <c r="L907">
        <f t="shared" si="70"/>
        <v>0</v>
      </c>
      <c r="N907">
        <f t="shared" si="71"/>
        <v>138969</v>
      </c>
      <c r="O907">
        <f t="shared" si="72"/>
        <v>138969</v>
      </c>
      <c r="P907">
        <f>I907*IFERROR(_xlfn.XLOOKUP(F907,Lookup_Tables!Product,Cost),0)</f>
        <v>66456</v>
      </c>
      <c r="Q907">
        <f t="shared" si="73"/>
        <v>72513</v>
      </c>
      <c r="R907" s="2">
        <f t="shared" si="74"/>
        <v>0.52179263001100962</v>
      </c>
    </row>
    <row r="908" spans="1:18" x14ac:dyDescent="0.3">
      <c r="A908" t="s">
        <v>965</v>
      </c>
      <c r="B908" s="1">
        <v>45409</v>
      </c>
      <c r="C908" t="s">
        <v>5</v>
      </c>
      <c r="D908" t="s">
        <v>53</v>
      </c>
      <c r="E908" t="s">
        <v>28</v>
      </c>
      <c r="F908" t="s">
        <v>23</v>
      </c>
      <c r="G908" t="str">
        <f>INDEX(Lookup_Tables!$B$1:$B$7,MATCH(Cleaned_Data!F908,Lookup_Tables!$A$1:$A$7,0))</f>
        <v>Electronics</v>
      </c>
      <c r="H908" t="s">
        <v>54</v>
      </c>
      <c r="I908">
        <v>9</v>
      </c>
      <c r="J908">
        <v>3800</v>
      </c>
      <c r="L908">
        <f t="shared" si="70"/>
        <v>0</v>
      </c>
      <c r="M908">
        <v>15741</v>
      </c>
      <c r="N908">
        <f t="shared" si="71"/>
        <v>34200</v>
      </c>
      <c r="O908">
        <f t="shared" si="72"/>
        <v>34200</v>
      </c>
      <c r="P908">
        <f>I908*IFERROR(_xlfn.XLOOKUP(F908,Lookup_Tables!Product,Cost),0)</f>
        <v>173385</v>
      </c>
      <c r="Q908">
        <f t="shared" si="73"/>
        <v>-139185</v>
      </c>
      <c r="R908" s="2">
        <f t="shared" si="74"/>
        <v>-4.0697368421052635</v>
      </c>
    </row>
    <row r="909" spans="1:18" x14ac:dyDescent="0.3">
      <c r="A909" t="s">
        <v>966</v>
      </c>
      <c r="B909" s="1">
        <v>45487</v>
      </c>
      <c r="C909" t="s">
        <v>4</v>
      </c>
      <c r="D909" t="s">
        <v>49</v>
      </c>
      <c r="E909" t="s">
        <v>25</v>
      </c>
      <c r="F909" t="s">
        <v>58</v>
      </c>
      <c r="G909" t="str">
        <f>INDEX(Lookup_Tables!$B$1:$B$7,MATCH(Cleaned_Data!F909,Lookup_Tables!$A$1:$A$7,0))</f>
        <v>Electronics</v>
      </c>
      <c r="H909" t="s">
        <v>54</v>
      </c>
      <c r="I909">
        <v>10</v>
      </c>
      <c r="J909">
        <v>33638</v>
      </c>
      <c r="K909">
        <v>0</v>
      </c>
      <c r="L909">
        <f t="shared" si="70"/>
        <v>0</v>
      </c>
      <c r="M909">
        <v>26546</v>
      </c>
      <c r="N909">
        <f t="shared" si="71"/>
        <v>336380</v>
      </c>
      <c r="O909">
        <f t="shared" si="72"/>
        <v>336380</v>
      </c>
      <c r="P909">
        <f>I909*IFERROR(_xlfn.XLOOKUP(F909,Lookup_Tables!Product,Cost),0)</f>
        <v>28880</v>
      </c>
      <c r="Q909">
        <f t="shared" si="73"/>
        <v>307500</v>
      </c>
      <c r="R909" s="2">
        <f t="shared" si="74"/>
        <v>0.91414471728402402</v>
      </c>
    </row>
    <row r="910" spans="1:18" x14ac:dyDescent="0.3">
      <c r="A910" t="s">
        <v>967</v>
      </c>
      <c r="B910" s="1">
        <v>45413</v>
      </c>
      <c r="C910" t="s">
        <v>3</v>
      </c>
      <c r="D910" t="s">
        <v>76</v>
      </c>
      <c r="E910" t="s">
        <v>25</v>
      </c>
      <c r="F910" t="s">
        <v>22</v>
      </c>
      <c r="G910" t="str">
        <f>INDEX(Lookup_Tables!$B$1:$B$7,MATCH(Cleaned_Data!F910,Lookup_Tables!$A$1:$A$7,0))</f>
        <v>Furniture</v>
      </c>
      <c r="H910" t="s">
        <v>51</v>
      </c>
      <c r="I910">
        <v>10</v>
      </c>
      <c r="J910">
        <v>36260</v>
      </c>
      <c r="K910">
        <v>0.05</v>
      </c>
      <c r="L910">
        <f t="shared" si="70"/>
        <v>0.05</v>
      </c>
      <c r="N910">
        <f t="shared" si="71"/>
        <v>362600</v>
      </c>
      <c r="O910">
        <f t="shared" si="72"/>
        <v>344470</v>
      </c>
      <c r="P910">
        <f>I910*IFERROR(_xlfn.XLOOKUP(F910,Lookup_Tables!Product,Cost),0)</f>
        <v>130400</v>
      </c>
      <c r="Q910">
        <f t="shared" si="73"/>
        <v>214070</v>
      </c>
      <c r="R910" s="2">
        <f t="shared" si="74"/>
        <v>0.62144744099631322</v>
      </c>
    </row>
    <row r="911" spans="1:18" x14ac:dyDescent="0.3">
      <c r="A911" t="s">
        <v>968</v>
      </c>
      <c r="B911" s="1">
        <v>45340</v>
      </c>
      <c r="C911" t="s">
        <v>5</v>
      </c>
      <c r="D911" t="s">
        <v>53</v>
      </c>
      <c r="E911" t="s">
        <v>28</v>
      </c>
      <c r="F911" t="s">
        <v>24</v>
      </c>
      <c r="G911" t="str">
        <f>INDEX(Lookup_Tables!$B$1:$B$7,MATCH(Cleaned_Data!F911,Lookup_Tables!$A$1:$A$7,0))</f>
        <v>Electronics</v>
      </c>
      <c r="H911" t="s">
        <v>54</v>
      </c>
      <c r="I911">
        <v>1</v>
      </c>
      <c r="J911">
        <v>2059</v>
      </c>
      <c r="L911">
        <f t="shared" si="70"/>
        <v>0</v>
      </c>
      <c r="M911">
        <v>7321</v>
      </c>
      <c r="N911">
        <f t="shared" si="71"/>
        <v>2059</v>
      </c>
      <c r="O911">
        <f t="shared" si="72"/>
        <v>2059</v>
      </c>
      <c r="P911">
        <f>I911*IFERROR(_xlfn.XLOOKUP(F911,Lookup_Tables!Product,Cost),0)</f>
        <v>28046</v>
      </c>
      <c r="Q911">
        <f t="shared" si="73"/>
        <v>-25987</v>
      </c>
      <c r="R911" s="2">
        <f t="shared" si="74"/>
        <v>-12.621175327829043</v>
      </c>
    </row>
    <row r="912" spans="1:18" x14ac:dyDescent="0.3">
      <c r="A912" t="s">
        <v>969</v>
      </c>
      <c r="B912" s="1">
        <v>45354</v>
      </c>
      <c r="C912" t="s">
        <v>3</v>
      </c>
      <c r="D912" t="s">
        <v>53</v>
      </c>
      <c r="E912" t="s">
        <v>29</v>
      </c>
      <c r="F912" t="s">
        <v>24</v>
      </c>
      <c r="G912" t="str">
        <f>INDEX(Lookup_Tables!$B$1:$B$7,MATCH(Cleaned_Data!F912,Lookup_Tables!$A$1:$A$7,0))</f>
        <v>Electronics</v>
      </c>
      <c r="H912" t="s">
        <v>54</v>
      </c>
      <c r="I912">
        <v>1</v>
      </c>
      <c r="J912">
        <v>40692</v>
      </c>
      <c r="K912">
        <v>0.05</v>
      </c>
      <c r="L912">
        <f t="shared" si="70"/>
        <v>0.05</v>
      </c>
      <c r="N912">
        <f t="shared" si="71"/>
        <v>40692</v>
      </c>
      <c r="O912">
        <f t="shared" si="72"/>
        <v>38657.4</v>
      </c>
      <c r="P912">
        <f>I912*IFERROR(_xlfn.XLOOKUP(F912,Lookup_Tables!Product,Cost),0)</f>
        <v>28046</v>
      </c>
      <c r="Q912">
        <f t="shared" si="73"/>
        <v>10611.400000000001</v>
      </c>
      <c r="R912" s="2">
        <f t="shared" si="74"/>
        <v>0.2744985436164874</v>
      </c>
    </row>
    <row r="913" spans="1:18" x14ac:dyDescent="0.3">
      <c r="A913" t="s">
        <v>970</v>
      </c>
      <c r="B913" s="1">
        <v>45475</v>
      </c>
      <c r="C913" t="s">
        <v>6</v>
      </c>
      <c r="D913" t="s">
        <v>53</v>
      </c>
      <c r="E913" t="s">
        <v>25</v>
      </c>
      <c r="F913" t="s">
        <v>23</v>
      </c>
      <c r="G913" t="str">
        <f>INDEX(Lookup_Tables!$B$1:$B$7,MATCH(Cleaned_Data!F913,Lookup_Tables!$A$1:$A$7,0))</f>
        <v>Electronics</v>
      </c>
      <c r="H913" t="s">
        <v>54</v>
      </c>
      <c r="I913">
        <v>7</v>
      </c>
      <c r="J913">
        <v>16082</v>
      </c>
      <c r="L913">
        <f t="shared" si="70"/>
        <v>0</v>
      </c>
      <c r="N913">
        <f t="shared" si="71"/>
        <v>112574</v>
      </c>
      <c r="O913">
        <f t="shared" si="72"/>
        <v>112574</v>
      </c>
      <c r="P913">
        <f>I913*IFERROR(_xlfn.XLOOKUP(F913,Lookup_Tables!Product,Cost),0)</f>
        <v>134855</v>
      </c>
      <c r="Q913">
        <f t="shared" si="73"/>
        <v>-22281</v>
      </c>
      <c r="R913" s="2">
        <f t="shared" si="74"/>
        <v>-0.19792314388757618</v>
      </c>
    </row>
    <row r="914" spans="1:18" x14ac:dyDescent="0.3">
      <c r="A914" t="s">
        <v>971</v>
      </c>
      <c r="B914" s="1">
        <v>45414</v>
      </c>
      <c r="C914" t="s">
        <v>4</v>
      </c>
      <c r="D914" t="s">
        <v>69</v>
      </c>
      <c r="E914" t="s">
        <v>25</v>
      </c>
      <c r="F914" t="s">
        <v>50</v>
      </c>
      <c r="G914" t="str">
        <f>INDEX(Lookup_Tables!$B$1:$B$7,MATCH(Cleaned_Data!F914,Lookup_Tables!$A$1:$A$7,0))</f>
        <v>Furniture</v>
      </c>
      <c r="H914" t="s">
        <v>51</v>
      </c>
      <c r="I914">
        <v>8</v>
      </c>
      <c r="J914">
        <v>11123</v>
      </c>
      <c r="K914">
        <v>0.05</v>
      </c>
      <c r="L914">
        <f t="shared" si="70"/>
        <v>0.05</v>
      </c>
      <c r="M914">
        <v>22481</v>
      </c>
      <c r="N914">
        <f t="shared" si="71"/>
        <v>88984</v>
      </c>
      <c r="O914">
        <f t="shared" si="72"/>
        <v>84534.8</v>
      </c>
      <c r="P914">
        <f>I914*IFERROR(_xlfn.XLOOKUP(F914,Lookup_Tables!Product,Cost),0)</f>
        <v>106168</v>
      </c>
      <c r="Q914">
        <f t="shared" si="73"/>
        <v>-21633.199999999997</v>
      </c>
      <c r="R914" s="2">
        <f t="shared" si="74"/>
        <v>-0.25590880915315345</v>
      </c>
    </row>
    <row r="915" spans="1:18" x14ac:dyDescent="0.3">
      <c r="A915" t="s">
        <v>972</v>
      </c>
      <c r="B915" s="1">
        <v>45307</v>
      </c>
      <c r="C915" t="s">
        <v>4</v>
      </c>
      <c r="D915" t="s">
        <v>69</v>
      </c>
      <c r="E915" t="s">
        <v>27</v>
      </c>
      <c r="F915" t="s">
        <v>22</v>
      </c>
      <c r="G915" t="str">
        <f>INDEX(Lookup_Tables!$B$1:$B$7,MATCH(Cleaned_Data!F915,Lookup_Tables!$A$1:$A$7,0))</f>
        <v>Furniture</v>
      </c>
      <c r="H915" t="s">
        <v>51</v>
      </c>
      <c r="I915">
        <v>7</v>
      </c>
      <c r="J915">
        <v>33352</v>
      </c>
      <c r="K915">
        <v>0.1</v>
      </c>
      <c r="L915">
        <f t="shared" si="70"/>
        <v>0.1</v>
      </c>
      <c r="N915">
        <f t="shared" si="71"/>
        <v>233464</v>
      </c>
      <c r="O915">
        <f t="shared" si="72"/>
        <v>210117.6</v>
      </c>
      <c r="P915">
        <f>I915*IFERROR(_xlfn.XLOOKUP(F915,Lookup_Tables!Product,Cost),0)</f>
        <v>91280</v>
      </c>
      <c r="Q915">
        <f t="shared" si="73"/>
        <v>118837.6</v>
      </c>
      <c r="R915" s="2">
        <f t="shared" si="74"/>
        <v>0.56557661043149166</v>
      </c>
    </row>
    <row r="916" spans="1:18" x14ac:dyDescent="0.3">
      <c r="A916" t="s">
        <v>973</v>
      </c>
      <c r="B916" s="1">
        <v>45466</v>
      </c>
      <c r="C916" t="s">
        <v>6</v>
      </c>
      <c r="D916" t="s">
        <v>53</v>
      </c>
      <c r="E916" t="s">
        <v>25</v>
      </c>
      <c r="F916" t="s">
        <v>24</v>
      </c>
      <c r="G916" t="str">
        <f>INDEX(Lookup_Tables!$B$1:$B$7,MATCH(Cleaned_Data!F916,Lookup_Tables!$A$1:$A$7,0))</f>
        <v>Electronics</v>
      </c>
      <c r="H916" t="s">
        <v>54</v>
      </c>
      <c r="I916">
        <v>5</v>
      </c>
      <c r="J916">
        <v>35959</v>
      </c>
      <c r="K916">
        <v>0.1</v>
      </c>
      <c r="L916">
        <f t="shared" si="70"/>
        <v>0.1</v>
      </c>
      <c r="N916">
        <f t="shared" si="71"/>
        <v>179795</v>
      </c>
      <c r="O916">
        <f t="shared" si="72"/>
        <v>161815.5</v>
      </c>
      <c r="P916">
        <f>I916*IFERROR(_xlfn.XLOOKUP(F916,Lookup_Tables!Product,Cost),0)</f>
        <v>140230</v>
      </c>
      <c r="Q916">
        <f t="shared" si="73"/>
        <v>21585.5</v>
      </c>
      <c r="R916" s="2">
        <f t="shared" si="74"/>
        <v>0.13339575009810556</v>
      </c>
    </row>
    <row r="917" spans="1:18" x14ac:dyDescent="0.3">
      <c r="A917" t="s">
        <v>974</v>
      </c>
      <c r="B917" s="1">
        <v>45470</v>
      </c>
      <c r="C917" t="s">
        <v>4</v>
      </c>
      <c r="D917" t="s">
        <v>69</v>
      </c>
      <c r="E917" t="s">
        <v>27</v>
      </c>
      <c r="F917" t="s">
        <v>58</v>
      </c>
      <c r="G917" t="str">
        <f>INDEX(Lookup_Tables!$B$1:$B$7,MATCH(Cleaned_Data!F917,Lookup_Tables!$A$1:$A$7,0))</f>
        <v>Electronics</v>
      </c>
      <c r="H917" t="s">
        <v>54</v>
      </c>
      <c r="I917">
        <v>5</v>
      </c>
      <c r="J917">
        <v>7781</v>
      </c>
      <c r="K917">
        <v>0.05</v>
      </c>
      <c r="L917">
        <f t="shared" si="70"/>
        <v>0.05</v>
      </c>
      <c r="N917">
        <f t="shared" si="71"/>
        <v>38905</v>
      </c>
      <c r="O917">
        <f t="shared" si="72"/>
        <v>36959.75</v>
      </c>
      <c r="P917">
        <f>I917*IFERROR(_xlfn.XLOOKUP(F917,Lookup_Tables!Product,Cost),0)</f>
        <v>14440</v>
      </c>
      <c r="Q917">
        <f t="shared" si="73"/>
        <v>22519.75</v>
      </c>
      <c r="R917" s="2">
        <f t="shared" si="74"/>
        <v>0.60930471661740138</v>
      </c>
    </row>
    <row r="918" spans="1:18" x14ac:dyDescent="0.3">
      <c r="A918" t="s">
        <v>975</v>
      </c>
      <c r="B918" s="1">
        <v>45456</v>
      </c>
      <c r="C918" t="s">
        <v>5</v>
      </c>
      <c r="D918" t="s">
        <v>69</v>
      </c>
      <c r="E918" t="s">
        <v>25</v>
      </c>
      <c r="F918" t="s">
        <v>24</v>
      </c>
      <c r="G918" t="str">
        <f>INDEX(Lookup_Tables!$B$1:$B$7,MATCH(Cleaned_Data!F918,Lookup_Tables!$A$1:$A$7,0))</f>
        <v>Electronics</v>
      </c>
      <c r="H918" t="s">
        <v>54</v>
      </c>
      <c r="I918">
        <v>7</v>
      </c>
      <c r="J918">
        <v>33764</v>
      </c>
      <c r="K918">
        <v>0</v>
      </c>
      <c r="L918">
        <f t="shared" si="70"/>
        <v>0</v>
      </c>
      <c r="M918">
        <v>17232</v>
      </c>
      <c r="N918">
        <f t="shared" si="71"/>
        <v>236348</v>
      </c>
      <c r="O918">
        <f t="shared" si="72"/>
        <v>236348</v>
      </c>
      <c r="P918">
        <f>I918*IFERROR(_xlfn.XLOOKUP(F918,Lookup_Tables!Product,Cost),0)</f>
        <v>196322</v>
      </c>
      <c r="Q918">
        <f t="shared" si="73"/>
        <v>40026</v>
      </c>
      <c r="R918" s="2">
        <f t="shared" si="74"/>
        <v>0.16935197251510484</v>
      </c>
    </row>
    <row r="919" spans="1:18" x14ac:dyDescent="0.3">
      <c r="A919" t="s">
        <v>976</v>
      </c>
      <c r="B919" s="1">
        <v>45360</v>
      </c>
      <c r="C919" t="s">
        <v>6</v>
      </c>
      <c r="D919" t="s">
        <v>64</v>
      </c>
      <c r="E919" t="s">
        <v>27</v>
      </c>
      <c r="F919" t="s">
        <v>50</v>
      </c>
      <c r="G919" t="str">
        <f>INDEX(Lookup_Tables!$B$1:$B$7,MATCH(Cleaned_Data!F919,Lookup_Tables!$A$1:$A$7,0))</f>
        <v>Furniture</v>
      </c>
      <c r="H919" t="s">
        <v>51</v>
      </c>
      <c r="I919">
        <v>4</v>
      </c>
      <c r="J919">
        <v>23956</v>
      </c>
      <c r="K919">
        <v>0</v>
      </c>
      <c r="L919">
        <f t="shared" si="70"/>
        <v>0</v>
      </c>
      <c r="N919">
        <f t="shared" si="71"/>
        <v>95824</v>
      </c>
      <c r="O919">
        <f t="shared" si="72"/>
        <v>95824</v>
      </c>
      <c r="P919">
        <f>I919*IFERROR(_xlfn.XLOOKUP(F919,Lookup_Tables!Product,Cost),0)</f>
        <v>53084</v>
      </c>
      <c r="Q919">
        <f t="shared" si="73"/>
        <v>42740</v>
      </c>
      <c r="R919" s="2">
        <f t="shared" si="74"/>
        <v>0.44602604775421606</v>
      </c>
    </row>
    <row r="920" spans="1:18" x14ac:dyDescent="0.3">
      <c r="A920" t="s">
        <v>977</v>
      </c>
      <c r="B920" s="1">
        <v>45557</v>
      </c>
      <c r="C920" t="s">
        <v>5</v>
      </c>
      <c r="D920" t="s">
        <v>49</v>
      </c>
      <c r="E920" t="s">
        <v>29</v>
      </c>
      <c r="F920" t="s">
        <v>58</v>
      </c>
      <c r="G920" t="str">
        <f>INDEX(Lookup_Tables!$B$1:$B$7,MATCH(Cleaned_Data!F920,Lookup_Tables!$A$1:$A$7,0))</f>
        <v>Electronics</v>
      </c>
      <c r="H920" t="s">
        <v>54</v>
      </c>
      <c r="I920">
        <v>3</v>
      </c>
      <c r="J920">
        <v>2873</v>
      </c>
      <c r="K920">
        <v>0.1</v>
      </c>
      <c r="L920">
        <f t="shared" si="70"/>
        <v>0.1</v>
      </c>
      <c r="M920">
        <v>13912</v>
      </c>
      <c r="N920">
        <f t="shared" si="71"/>
        <v>8619</v>
      </c>
      <c r="O920">
        <f t="shared" si="72"/>
        <v>7757.1</v>
      </c>
      <c r="P920">
        <f>I920*IFERROR(_xlfn.XLOOKUP(F920,Lookup_Tables!Product,Cost),0)</f>
        <v>8664</v>
      </c>
      <c r="Q920">
        <f t="shared" si="73"/>
        <v>-906.89999999999964</v>
      </c>
      <c r="R920" s="2">
        <f t="shared" si="74"/>
        <v>-0.11691224813396754</v>
      </c>
    </row>
    <row r="921" spans="1:18" x14ac:dyDescent="0.3">
      <c r="A921" t="s">
        <v>978</v>
      </c>
      <c r="B921" s="1">
        <v>45540</v>
      </c>
      <c r="C921" t="s">
        <v>4</v>
      </c>
      <c r="D921" t="s">
        <v>49</v>
      </c>
      <c r="E921" t="s">
        <v>28</v>
      </c>
      <c r="F921" t="s">
        <v>23</v>
      </c>
      <c r="G921" t="str">
        <f>INDEX(Lookup_Tables!$B$1:$B$7,MATCH(Cleaned_Data!F921,Lookup_Tables!$A$1:$A$7,0))</f>
        <v>Electronics</v>
      </c>
      <c r="H921" t="s">
        <v>54</v>
      </c>
      <c r="I921">
        <v>5</v>
      </c>
      <c r="J921">
        <v>41058</v>
      </c>
      <c r="K921">
        <v>0.05</v>
      </c>
      <c r="L921">
        <f t="shared" si="70"/>
        <v>0.05</v>
      </c>
      <c r="N921">
        <f t="shared" si="71"/>
        <v>205290</v>
      </c>
      <c r="O921">
        <f t="shared" si="72"/>
        <v>195025.5</v>
      </c>
      <c r="P921">
        <f>I921*IFERROR(_xlfn.XLOOKUP(F921,Lookup_Tables!Product,Cost),0)</f>
        <v>96325</v>
      </c>
      <c r="Q921">
        <f t="shared" si="73"/>
        <v>98700.5</v>
      </c>
      <c r="R921" s="2">
        <f t="shared" si="74"/>
        <v>0.50609022922643454</v>
      </c>
    </row>
    <row r="922" spans="1:18" x14ac:dyDescent="0.3">
      <c r="A922" t="s">
        <v>979</v>
      </c>
      <c r="B922" s="1">
        <v>45628</v>
      </c>
      <c r="C922" t="s">
        <v>5</v>
      </c>
      <c r="D922" t="s">
        <v>56</v>
      </c>
      <c r="E922" t="s">
        <v>26</v>
      </c>
      <c r="F922" t="s">
        <v>22</v>
      </c>
      <c r="G922" t="str">
        <f>INDEX(Lookup_Tables!$B$1:$B$7,MATCH(Cleaned_Data!F922,Lookup_Tables!$A$1:$A$7,0))</f>
        <v>Furniture</v>
      </c>
      <c r="H922" t="s">
        <v>51</v>
      </c>
      <c r="I922">
        <v>5</v>
      </c>
      <c r="J922">
        <v>18400</v>
      </c>
      <c r="L922">
        <f t="shared" si="70"/>
        <v>0</v>
      </c>
      <c r="N922">
        <f t="shared" si="71"/>
        <v>92000</v>
      </c>
      <c r="O922">
        <f t="shared" si="72"/>
        <v>92000</v>
      </c>
      <c r="P922">
        <f>I922*IFERROR(_xlfn.XLOOKUP(F922,Lookup_Tables!Product,Cost),0)</f>
        <v>65200</v>
      </c>
      <c r="Q922">
        <f t="shared" si="73"/>
        <v>26800</v>
      </c>
      <c r="R922" s="2">
        <f t="shared" si="74"/>
        <v>0.29130434782608694</v>
      </c>
    </row>
    <row r="923" spans="1:18" x14ac:dyDescent="0.3">
      <c r="A923" t="s">
        <v>980</v>
      </c>
      <c r="B923" s="1">
        <v>45535</v>
      </c>
      <c r="C923" t="s">
        <v>4</v>
      </c>
      <c r="D923" t="s">
        <v>64</v>
      </c>
      <c r="E923" t="s">
        <v>25</v>
      </c>
      <c r="F923" t="s">
        <v>23</v>
      </c>
      <c r="G923" t="str">
        <f>INDEX(Lookup_Tables!$B$1:$B$7,MATCH(Cleaned_Data!F923,Lookup_Tables!$A$1:$A$7,0))</f>
        <v>Electronics</v>
      </c>
      <c r="H923" t="s">
        <v>54</v>
      </c>
      <c r="I923">
        <v>9</v>
      </c>
      <c r="J923">
        <v>5796</v>
      </c>
      <c r="K923">
        <v>0.1</v>
      </c>
      <c r="L923">
        <f t="shared" si="70"/>
        <v>0.1</v>
      </c>
      <c r="M923">
        <v>890</v>
      </c>
      <c r="N923">
        <f t="shared" si="71"/>
        <v>52164</v>
      </c>
      <c r="O923">
        <f t="shared" si="72"/>
        <v>46947.6</v>
      </c>
      <c r="P923">
        <f>I923*IFERROR(_xlfn.XLOOKUP(F923,Lookup_Tables!Product,Cost),0)</f>
        <v>173385</v>
      </c>
      <c r="Q923">
        <f t="shared" si="73"/>
        <v>-126437.4</v>
      </c>
      <c r="R923" s="2">
        <f t="shared" si="74"/>
        <v>-2.6931600337397437</v>
      </c>
    </row>
    <row r="924" spans="1:18" x14ac:dyDescent="0.3">
      <c r="A924" t="s">
        <v>981</v>
      </c>
      <c r="B924" s="1">
        <v>45643</v>
      </c>
      <c r="C924" t="s">
        <v>4</v>
      </c>
      <c r="D924" t="s">
        <v>53</v>
      </c>
      <c r="E924" t="s">
        <v>29</v>
      </c>
      <c r="F924" t="s">
        <v>22</v>
      </c>
      <c r="G924" t="str">
        <f>INDEX(Lookup_Tables!$B$1:$B$7,MATCH(Cleaned_Data!F924,Lookup_Tables!$A$1:$A$7,0))</f>
        <v>Furniture</v>
      </c>
      <c r="H924" t="s">
        <v>51</v>
      </c>
      <c r="I924">
        <v>9</v>
      </c>
      <c r="J924">
        <v>21484</v>
      </c>
      <c r="K924">
        <v>0.1</v>
      </c>
      <c r="L924">
        <f t="shared" si="70"/>
        <v>0.1</v>
      </c>
      <c r="N924">
        <f t="shared" si="71"/>
        <v>193356</v>
      </c>
      <c r="O924">
        <f t="shared" si="72"/>
        <v>174020.4</v>
      </c>
      <c r="P924">
        <f>I924*IFERROR(_xlfn.XLOOKUP(F924,Lookup_Tables!Product,Cost),0)</f>
        <v>117360</v>
      </c>
      <c r="Q924">
        <f t="shared" si="73"/>
        <v>56660.399999999994</v>
      </c>
      <c r="R924" s="2">
        <f t="shared" si="74"/>
        <v>0.32559630939820844</v>
      </c>
    </row>
    <row r="925" spans="1:18" x14ac:dyDescent="0.3">
      <c r="A925" t="s">
        <v>982</v>
      </c>
      <c r="B925" s="1">
        <v>45324</v>
      </c>
      <c r="C925" t="s">
        <v>6</v>
      </c>
      <c r="D925" t="s">
        <v>64</v>
      </c>
      <c r="E925" t="s">
        <v>27</v>
      </c>
      <c r="F925" t="s">
        <v>58</v>
      </c>
      <c r="G925" t="str">
        <f>INDEX(Lookup_Tables!$B$1:$B$7,MATCH(Cleaned_Data!F925,Lookup_Tables!$A$1:$A$7,0))</f>
        <v>Electronics</v>
      </c>
      <c r="H925" t="s">
        <v>54</v>
      </c>
      <c r="I925">
        <v>2</v>
      </c>
      <c r="J925">
        <v>673</v>
      </c>
      <c r="K925">
        <v>0.1</v>
      </c>
      <c r="L925">
        <f t="shared" si="70"/>
        <v>0.1</v>
      </c>
      <c r="M925">
        <v>4134</v>
      </c>
      <c r="N925">
        <f t="shared" si="71"/>
        <v>1346</v>
      </c>
      <c r="O925">
        <f t="shared" si="72"/>
        <v>1211.4000000000001</v>
      </c>
      <c r="P925">
        <f>I925*IFERROR(_xlfn.XLOOKUP(F925,Lookup_Tables!Product,Cost),0)</f>
        <v>5776</v>
      </c>
      <c r="Q925">
        <f t="shared" si="73"/>
        <v>-4564.6000000000004</v>
      </c>
      <c r="R925" s="2">
        <f t="shared" si="74"/>
        <v>-3.7680369820042925</v>
      </c>
    </row>
    <row r="926" spans="1:18" x14ac:dyDescent="0.3">
      <c r="A926" t="s">
        <v>983</v>
      </c>
      <c r="B926" s="1">
        <v>45363</v>
      </c>
      <c r="C926" t="s">
        <v>5</v>
      </c>
      <c r="D926" t="s">
        <v>53</v>
      </c>
      <c r="E926" t="s">
        <v>26</v>
      </c>
      <c r="F926" t="s">
        <v>61</v>
      </c>
      <c r="G926" t="str">
        <f>INDEX(Lookup_Tables!$B$1:$B$7,MATCH(Cleaned_Data!F926,Lookup_Tables!$A$1:$A$7,0))</f>
        <v>Electronics</v>
      </c>
      <c r="H926" t="s">
        <v>54</v>
      </c>
      <c r="I926">
        <v>5</v>
      </c>
      <c r="J926">
        <v>30157</v>
      </c>
      <c r="K926">
        <v>0.05</v>
      </c>
      <c r="L926">
        <f t="shared" si="70"/>
        <v>0.05</v>
      </c>
      <c r="M926">
        <v>28728</v>
      </c>
      <c r="N926">
        <f t="shared" si="71"/>
        <v>150785</v>
      </c>
      <c r="O926">
        <f t="shared" si="72"/>
        <v>143245.75</v>
      </c>
      <c r="P926">
        <f>I926*IFERROR(_xlfn.XLOOKUP(F926,Lookup_Tables!Product,Cost),0)</f>
        <v>36920</v>
      </c>
      <c r="Q926">
        <f t="shared" si="73"/>
        <v>106325.75</v>
      </c>
      <c r="R926" s="2">
        <f t="shared" si="74"/>
        <v>0.74226111420408636</v>
      </c>
    </row>
    <row r="927" spans="1:18" x14ac:dyDescent="0.3">
      <c r="A927" t="s">
        <v>984</v>
      </c>
      <c r="B927" s="1">
        <v>45501</v>
      </c>
      <c r="C927" t="s">
        <v>4</v>
      </c>
      <c r="D927" t="s">
        <v>56</v>
      </c>
      <c r="E927" t="s">
        <v>27</v>
      </c>
      <c r="F927" t="s">
        <v>58</v>
      </c>
      <c r="G927" t="str">
        <f>INDEX(Lookup_Tables!$B$1:$B$7,MATCH(Cleaned_Data!F927,Lookup_Tables!$A$1:$A$7,0))</f>
        <v>Electronics</v>
      </c>
      <c r="H927" t="s">
        <v>54</v>
      </c>
      <c r="I927">
        <v>4</v>
      </c>
      <c r="J927">
        <v>37879</v>
      </c>
      <c r="L927">
        <f t="shared" si="70"/>
        <v>0</v>
      </c>
      <c r="M927">
        <v>20479</v>
      </c>
      <c r="N927">
        <f t="shared" si="71"/>
        <v>151516</v>
      </c>
      <c r="O927">
        <f t="shared" si="72"/>
        <v>151516</v>
      </c>
      <c r="P927">
        <f>I927*IFERROR(_xlfn.XLOOKUP(F927,Lookup_Tables!Product,Cost),0)</f>
        <v>11552</v>
      </c>
      <c r="Q927">
        <f t="shared" si="73"/>
        <v>139964</v>
      </c>
      <c r="R927" s="2">
        <f t="shared" si="74"/>
        <v>0.923757226959529</v>
      </c>
    </row>
    <row r="928" spans="1:18" x14ac:dyDescent="0.3">
      <c r="A928" t="s">
        <v>985</v>
      </c>
      <c r="B928" s="1">
        <v>45639</v>
      </c>
      <c r="C928" t="s">
        <v>6</v>
      </c>
      <c r="D928" t="s">
        <v>64</v>
      </c>
      <c r="E928" t="s">
        <v>26</v>
      </c>
      <c r="F928" t="s">
        <v>61</v>
      </c>
      <c r="G928" t="str">
        <f>INDEX(Lookup_Tables!$B$1:$B$7,MATCH(Cleaned_Data!F928,Lookup_Tables!$A$1:$A$7,0))</f>
        <v>Electronics</v>
      </c>
      <c r="H928" t="s">
        <v>54</v>
      </c>
      <c r="I928">
        <v>1</v>
      </c>
      <c r="J928">
        <v>37080</v>
      </c>
      <c r="K928">
        <v>0</v>
      </c>
      <c r="L928">
        <f t="shared" si="70"/>
        <v>0</v>
      </c>
      <c r="M928">
        <v>21249</v>
      </c>
      <c r="N928">
        <f t="shared" si="71"/>
        <v>37080</v>
      </c>
      <c r="O928">
        <f t="shared" si="72"/>
        <v>37080</v>
      </c>
      <c r="P928">
        <f>I928*IFERROR(_xlfn.XLOOKUP(F928,Lookup_Tables!Product,Cost),0)</f>
        <v>7384</v>
      </c>
      <c r="Q928">
        <f t="shared" si="73"/>
        <v>29696</v>
      </c>
      <c r="R928" s="2">
        <f t="shared" si="74"/>
        <v>0.80086299892125135</v>
      </c>
    </row>
    <row r="929" spans="1:18" x14ac:dyDescent="0.3">
      <c r="A929" t="s">
        <v>986</v>
      </c>
      <c r="B929" s="1">
        <v>45390</v>
      </c>
      <c r="C929" t="s">
        <v>4</v>
      </c>
      <c r="D929" t="s">
        <v>49</v>
      </c>
      <c r="E929" t="s">
        <v>29</v>
      </c>
      <c r="F929" t="s">
        <v>50</v>
      </c>
      <c r="G929" t="str">
        <f>INDEX(Lookup_Tables!$B$1:$B$7,MATCH(Cleaned_Data!F929,Lookup_Tables!$A$1:$A$7,0))</f>
        <v>Furniture</v>
      </c>
      <c r="H929" t="s">
        <v>51</v>
      </c>
      <c r="I929">
        <v>4</v>
      </c>
      <c r="J929">
        <v>14012</v>
      </c>
      <c r="K929">
        <v>0.1</v>
      </c>
      <c r="L929">
        <f t="shared" si="70"/>
        <v>0.1</v>
      </c>
      <c r="M929">
        <v>5485</v>
      </c>
      <c r="N929">
        <f t="shared" si="71"/>
        <v>56048</v>
      </c>
      <c r="O929">
        <f t="shared" si="72"/>
        <v>50443.199999999997</v>
      </c>
      <c r="P929">
        <f>I929*IFERROR(_xlfn.XLOOKUP(F929,Lookup_Tables!Product,Cost),0)</f>
        <v>53084</v>
      </c>
      <c r="Q929">
        <f t="shared" si="73"/>
        <v>-2640.8000000000029</v>
      </c>
      <c r="R929" s="2">
        <f t="shared" si="74"/>
        <v>-5.2351952294858436E-2</v>
      </c>
    </row>
    <row r="930" spans="1:18" x14ac:dyDescent="0.3">
      <c r="A930" t="s">
        <v>987</v>
      </c>
      <c r="B930" s="1">
        <v>45547</v>
      </c>
      <c r="C930" t="s">
        <v>5</v>
      </c>
      <c r="D930" t="s">
        <v>76</v>
      </c>
      <c r="E930" t="s">
        <v>27</v>
      </c>
      <c r="F930" t="s">
        <v>58</v>
      </c>
      <c r="G930" t="str">
        <f>INDEX(Lookup_Tables!$B$1:$B$7,MATCH(Cleaned_Data!F930,Lookup_Tables!$A$1:$A$7,0))</f>
        <v>Electronics</v>
      </c>
      <c r="H930" t="s">
        <v>54</v>
      </c>
      <c r="I930">
        <v>3</v>
      </c>
      <c r="J930">
        <v>17706</v>
      </c>
      <c r="L930">
        <f t="shared" si="70"/>
        <v>0</v>
      </c>
      <c r="N930">
        <f t="shared" si="71"/>
        <v>53118</v>
      </c>
      <c r="O930">
        <f t="shared" si="72"/>
        <v>53118</v>
      </c>
      <c r="P930">
        <f>I930*IFERROR(_xlfn.XLOOKUP(F930,Lookup_Tables!Product,Cost),0)</f>
        <v>8664</v>
      </c>
      <c r="Q930">
        <f t="shared" si="73"/>
        <v>44454</v>
      </c>
      <c r="R930" s="2">
        <f t="shared" si="74"/>
        <v>0.83689144922625103</v>
      </c>
    </row>
    <row r="931" spans="1:18" x14ac:dyDescent="0.3">
      <c r="A931" t="s">
        <v>988</v>
      </c>
      <c r="B931" s="1">
        <v>45380</v>
      </c>
      <c r="C931" t="s">
        <v>4</v>
      </c>
      <c r="D931" t="s">
        <v>56</v>
      </c>
      <c r="E931" t="s">
        <v>28</v>
      </c>
      <c r="F931" t="s">
        <v>50</v>
      </c>
      <c r="G931" t="str">
        <f>INDEX(Lookup_Tables!$B$1:$B$7,MATCH(Cleaned_Data!F931,Lookup_Tables!$A$1:$A$7,0))</f>
        <v>Furniture</v>
      </c>
      <c r="H931" t="s">
        <v>51</v>
      </c>
      <c r="I931">
        <v>4</v>
      </c>
      <c r="J931">
        <v>26930</v>
      </c>
      <c r="L931">
        <f t="shared" si="70"/>
        <v>0</v>
      </c>
      <c r="M931">
        <v>14937</v>
      </c>
      <c r="N931">
        <f t="shared" si="71"/>
        <v>107720</v>
      </c>
      <c r="O931">
        <f t="shared" si="72"/>
        <v>107720</v>
      </c>
      <c r="P931">
        <f>I931*IFERROR(_xlfn.XLOOKUP(F931,Lookup_Tables!Product,Cost),0)</f>
        <v>53084</v>
      </c>
      <c r="Q931">
        <f t="shared" si="73"/>
        <v>54636</v>
      </c>
      <c r="R931" s="2">
        <f t="shared" si="74"/>
        <v>0.50720386186409205</v>
      </c>
    </row>
    <row r="932" spans="1:18" x14ac:dyDescent="0.3">
      <c r="A932" t="s">
        <v>989</v>
      </c>
      <c r="B932" s="1">
        <v>45472</v>
      </c>
      <c r="C932" t="s">
        <v>6</v>
      </c>
      <c r="D932" t="s">
        <v>76</v>
      </c>
      <c r="E932" t="s">
        <v>26</v>
      </c>
      <c r="F932" t="s">
        <v>22</v>
      </c>
      <c r="G932" t="str">
        <f>INDEX(Lookup_Tables!$B$1:$B$7,MATCH(Cleaned_Data!F932,Lookup_Tables!$A$1:$A$7,0))</f>
        <v>Furniture</v>
      </c>
      <c r="H932" t="s">
        <v>51</v>
      </c>
      <c r="I932">
        <v>8</v>
      </c>
      <c r="J932">
        <v>16311</v>
      </c>
      <c r="K932">
        <v>0.05</v>
      </c>
      <c r="L932">
        <f t="shared" si="70"/>
        <v>0.05</v>
      </c>
      <c r="N932">
        <f t="shared" si="71"/>
        <v>130488</v>
      </c>
      <c r="O932">
        <f t="shared" si="72"/>
        <v>123963.6</v>
      </c>
      <c r="P932">
        <f>I932*IFERROR(_xlfn.XLOOKUP(F932,Lookup_Tables!Product,Cost),0)</f>
        <v>104320</v>
      </c>
      <c r="Q932">
        <f t="shared" si="73"/>
        <v>19643.600000000006</v>
      </c>
      <c r="R932" s="2">
        <f t="shared" si="74"/>
        <v>0.15846264548625569</v>
      </c>
    </row>
    <row r="933" spans="1:18" x14ac:dyDescent="0.3">
      <c r="A933" t="s">
        <v>990</v>
      </c>
      <c r="B933" s="1">
        <v>45424</v>
      </c>
      <c r="C933" t="s">
        <v>4</v>
      </c>
      <c r="D933" t="s">
        <v>69</v>
      </c>
      <c r="E933" t="s">
        <v>28</v>
      </c>
      <c r="F933" t="s">
        <v>61</v>
      </c>
      <c r="G933" t="str">
        <f>INDEX(Lookup_Tables!$B$1:$B$7,MATCH(Cleaned_Data!F933,Lookup_Tables!$A$1:$A$7,0))</f>
        <v>Electronics</v>
      </c>
      <c r="H933" t="s">
        <v>54</v>
      </c>
      <c r="I933">
        <v>9</v>
      </c>
      <c r="J933">
        <v>45902</v>
      </c>
      <c r="K933">
        <v>0.05</v>
      </c>
      <c r="L933">
        <f t="shared" si="70"/>
        <v>0.05</v>
      </c>
      <c r="M933">
        <v>5070</v>
      </c>
      <c r="N933">
        <f t="shared" si="71"/>
        <v>413118</v>
      </c>
      <c r="O933">
        <f t="shared" si="72"/>
        <v>392462.1</v>
      </c>
      <c r="P933">
        <f>I933*IFERROR(_xlfn.XLOOKUP(F933,Lookup_Tables!Product,Cost),0)</f>
        <v>66456</v>
      </c>
      <c r="Q933">
        <f t="shared" si="73"/>
        <v>326006.09999999998</v>
      </c>
      <c r="R933" s="2">
        <f t="shared" si="74"/>
        <v>0.83066899963079233</v>
      </c>
    </row>
    <row r="934" spans="1:18" x14ac:dyDescent="0.3">
      <c r="A934" t="s">
        <v>991</v>
      </c>
      <c r="B934" s="1">
        <v>45346</v>
      </c>
      <c r="C934" t="s">
        <v>5</v>
      </c>
      <c r="D934" t="s">
        <v>49</v>
      </c>
      <c r="E934" t="s">
        <v>29</v>
      </c>
      <c r="F934" t="s">
        <v>22</v>
      </c>
      <c r="G934" t="str">
        <f>INDEX(Lookup_Tables!$B$1:$B$7,MATCH(Cleaned_Data!F934,Lookup_Tables!$A$1:$A$7,0))</f>
        <v>Furniture</v>
      </c>
      <c r="H934" t="s">
        <v>51</v>
      </c>
      <c r="I934">
        <v>10</v>
      </c>
      <c r="J934">
        <v>29706</v>
      </c>
      <c r="K934">
        <v>0.05</v>
      </c>
      <c r="L934">
        <f t="shared" si="70"/>
        <v>0.05</v>
      </c>
      <c r="N934">
        <f t="shared" si="71"/>
        <v>297060</v>
      </c>
      <c r="O934">
        <f t="shared" si="72"/>
        <v>282207</v>
      </c>
      <c r="P934">
        <f>I934*IFERROR(_xlfn.XLOOKUP(F934,Lookup_Tables!Product,Cost),0)</f>
        <v>130400</v>
      </c>
      <c r="Q934">
        <f t="shared" si="73"/>
        <v>151807</v>
      </c>
      <c r="R934" s="2">
        <f t="shared" si="74"/>
        <v>0.53792783311540815</v>
      </c>
    </row>
    <row r="935" spans="1:18" x14ac:dyDescent="0.3">
      <c r="A935" t="s">
        <v>992</v>
      </c>
      <c r="B935" s="1">
        <v>45296</v>
      </c>
      <c r="C935" t="s">
        <v>3</v>
      </c>
      <c r="D935" t="s">
        <v>64</v>
      </c>
      <c r="E935" t="s">
        <v>28</v>
      </c>
      <c r="F935" t="s">
        <v>50</v>
      </c>
      <c r="G935" t="str">
        <f>INDEX(Lookup_Tables!$B$1:$B$7,MATCH(Cleaned_Data!F935,Lookup_Tables!$A$1:$A$7,0))</f>
        <v>Furniture</v>
      </c>
      <c r="H935" t="s">
        <v>51</v>
      </c>
      <c r="I935">
        <v>8</v>
      </c>
      <c r="J935">
        <v>27968</v>
      </c>
      <c r="K935">
        <v>0</v>
      </c>
      <c r="L935">
        <f t="shared" si="70"/>
        <v>0</v>
      </c>
      <c r="M935">
        <v>25940</v>
      </c>
      <c r="N935">
        <f t="shared" si="71"/>
        <v>223744</v>
      </c>
      <c r="O935">
        <f t="shared" si="72"/>
        <v>223744</v>
      </c>
      <c r="P935">
        <f>I935*IFERROR(_xlfn.XLOOKUP(F935,Lookup_Tables!Product,Cost),0)</f>
        <v>106168</v>
      </c>
      <c r="Q935">
        <f t="shared" si="73"/>
        <v>117576</v>
      </c>
      <c r="R935" s="2">
        <f t="shared" si="74"/>
        <v>0.52549342105263153</v>
      </c>
    </row>
    <row r="936" spans="1:18" x14ac:dyDescent="0.3">
      <c r="A936" t="s">
        <v>993</v>
      </c>
      <c r="B936" s="1">
        <v>45555</v>
      </c>
      <c r="C936" t="s">
        <v>5</v>
      </c>
      <c r="D936" t="s">
        <v>49</v>
      </c>
      <c r="E936" t="s">
        <v>28</v>
      </c>
      <c r="F936" t="s">
        <v>24</v>
      </c>
      <c r="G936" t="str">
        <f>INDEX(Lookup_Tables!$B$1:$B$7,MATCH(Cleaned_Data!F936,Lookup_Tables!$A$1:$A$7,0))</f>
        <v>Electronics</v>
      </c>
      <c r="H936" t="s">
        <v>54</v>
      </c>
      <c r="I936">
        <v>7</v>
      </c>
      <c r="J936">
        <v>9904</v>
      </c>
      <c r="K936">
        <v>0</v>
      </c>
      <c r="L936">
        <f t="shared" si="70"/>
        <v>0</v>
      </c>
      <c r="N936">
        <f t="shared" si="71"/>
        <v>69328</v>
      </c>
      <c r="O936">
        <f t="shared" si="72"/>
        <v>69328</v>
      </c>
      <c r="P936">
        <f>I936*IFERROR(_xlfn.XLOOKUP(F936,Lookup_Tables!Product,Cost),0)</f>
        <v>196322</v>
      </c>
      <c r="Q936">
        <f t="shared" si="73"/>
        <v>-126994</v>
      </c>
      <c r="R936" s="2">
        <f t="shared" si="74"/>
        <v>-1.8317851373182552</v>
      </c>
    </row>
    <row r="937" spans="1:18" x14ac:dyDescent="0.3">
      <c r="A937" t="s">
        <v>994</v>
      </c>
      <c r="B937" s="1">
        <v>45624</v>
      </c>
      <c r="C937" t="s">
        <v>4</v>
      </c>
      <c r="D937" t="s">
        <v>56</v>
      </c>
      <c r="E937" t="s">
        <v>25</v>
      </c>
      <c r="F937" t="s">
        <v>58</v>
      </c>
      <c r="G937" t="str">
        <f>INDEX(Lookup_Tables!$B$1:$B$7,MATCH(Cleaned_Data!F937,Lookup_Tables!$A$1:$A$7,0))</f>
        <v>Electronics</v>
      </c>
      <c r="H937" t="s">
        <v>54</v>
      </c>
      <c r="I937">
        <v>5</v>
      </c>
      <c r="J937">
        <v>23463</v>
      </c>
      <c r="K937">
        <v>0.1</v>
      </c>
      <c r="L937">
        <f t="shared" si="70"/>
        <v>0.1</v>
      </c>
      <c r="M937">
        <v>12225</v>
      </c>
      <c r="N937">
        <f t="shared" si="71"/>
        <v>117315</v>
      </c>
      <c r="O937">
        <f t="shared" si="72"/>
        <v>105583.5</v>
      </c>
      <c r="P937">
        <f>I937*IFERROR(_xlfn.XLOOKUP(F937,Lookup_Tables!Product,Cost),0)</f>
        <v>14440</v>
      </c>
      <c r="Q937">
        <f t="shared" si="73"/>
        <v>91143.5</v>
      </c>
      <c r="R937" s="2">
        <f t="shared" si="74"/>
        <v>0.86323620641482812</v>
      </c>
    </row>
    <row r="938" spans="1:18" x14ac:dyDescent="0.3">
      <c r="A938" t="s">
        <v>995</v>
      </c>
      <c r="B938" s="1">
        <v>45490</v>
      </c>
      <c r="C938" t="s">
        <v>5</v>
      </c>
      <c r="D938" t="s">
        <v>76</v>
      </c>
      <c r="E938" t="s">
        <v>27</v>
      </c>
      <c r="F938" t="s">
        <v>23</v>
      </c>
      <c r="G938" t="str">
        <f>INDEX(Lookup_Tables!$B$1:$B$7,MATCH(Cleaned_Data!F938,Lookup_Tables!$A$1:$A$7,0))</f>
        <v>Electronics</v>
      </c>
      <c r="H938" t="s">
        <v>54</v>
      </c>
      <c r="I938">
        <v>5</v>
      </c>
      <c r="J938">
        <v>39300</v>
      </c>
      <c r="K938">
        <v>0.05</v>
      </c>
      <c r="L938">
        <f t="shared" si="70"/>
        <v>0.05</v>
      </c>
      <c r="N938">
        <f t="shared" si="71"/>
        <v>196500</v>
      </c>
      <c r="O938">
        <f t="shared" si="72"/>
        <v>186675</v>
      </c>
      <c r="P938">
        <f>I938*IFERROR(_xlfn.XLOOKUP(F938,Lookup_Tables!Product,Cost),0)</f>
        <v>96325</v>
      </c>
      <c r="Q938">
        <f t="shared" si="73"/>
        <v>90350</v>
      </c>
      <c r="R938" s="2">
        <f t="shared" si="74"/>
        <v>0.48399625016740322</v>
      </c>
    </row>
    <row r="939" spans="1:18" x14ac:dyDescent="0.3">
      <c r="A939" t="s">
        <v>996</v>
      </c>
      <c r="B939" s="1">
        <v>45449</v>
      </c>
      <c r="C939" t="s">
        <v>3</v>
      </c>
      <c r="D939" t="s">
        <v>69</v>
      </c>
      <c r="E939" t="s">
        <v>27</v>
      </c>
      <c r="F939" t="s">
        <v>22</v>
      </c>
      <c r="G939" t="str">
        <f>INDEX(Lookup_Tables!$B$1:$B$7,MATCH(Cleaned_Data!F939,Lookup_Tables!$A$1:$A$7,0))</f>
        <v>Furniture</v>
      </c>
      <c r="H939" t="s">
        <v>51</v>
      </c>
      <c r="I939">
        <v>1</v>
      </c>
      <c r="J939">
        <v>24013</v>
      </c>
      <c r="K939">
        <v>0.05</v>
      </c>
      <c r="L939">
        <f t="shared" si="70"/>
        <v>0.05</v>
      </c>
      <c r="M939">
        <v>27140</v>
      </c>
      <c r="N939">
        <f t="shared" si="71"/>
        <v>24013</v>
      </c>
      <c r="O939">
        <f t="shared" si="72"/>
        <v>22812.35</v>
      </c>
      <c r="P939">
        <f>I939*IFERROR(_xlfn.XLOOKUP(F939,Lookup_Tables!Product,Cost),0)</f>
        <v>13040</v>
      </c>
      <c r="Q939">
        <f t="shared" si="73"/>
        <v>9772.3499999999985</v>
      </c>
      <c r="R939" s="2">
        <f t="shared" si="74"/>
        <v>0.42837980304528028</v>
      </c>
    </row>
    <row r="940" spans="1:18" x14ac:dyDescent="0.3">
      <c r="A940" t="s">
        <v>997</v>
      </c>
      <c r="B940" s="1">
        <v>45423</v>
      </c>
      <c r="C940" t="s">
        <v>4</v>
      </c>
      <c r="D940" t="s">
        <v>56</v>
      </c>
      <c r="E940" t="s">
        <v>27</v>
      </c>
      <c r="F940" t="s">
        <v>61</v>
      </c>
      <c r="G940" t="str">
        <f>INDEX(Lookup_Tables!$B$1:$B$7,MATCH(Cleaned_Data!F940,Lookup_Tables!$A$1:$A$7,0))</f>
        <v>Electronics</v>
      </c>
      <c r="H940" t="s">
        <v>54</v>
      </c>
      <c r="I940">
        <v>2</v>
      </c>
      <c r="J940">
        <v>41794</v>
      </c>
      <c r="K940">
        <v>0</v>
      </c>
      <c r="L940">
        <f t="shared" si="70"/>
        <v>0</v>
      </c>
      <c r="N940">
        <f t="shared" si="71"/>
        <v>83588</v>
      </c>
      <c r="O940">
        <f t="shared" si="72"/>
        <v>83588</v>
      </c>
      <c r="P940">
        <f>I940*IFERROR(_xlfn.XLOOKUP(F940,Lookup_Tables!Product,Cost),0)</f>
        <v>14768</v>
      </c>
      <c r="Q940">
        <f t="shared" si="73"/>
        <v>68820</v>
      </c>
      <c r="R940" s="2">
        <f t="shared" si="74"/>
        <v>0.82332392209408045</v>
      </c>
    </row>
    <row r="941" spans="1:18" x14ac:dyDescent="0.3">
      <c r="A941" t="s">
        <v>998</v>
      </c>
      <c r="B941" s="1">
        <v>45410</v>
      </c>
      <c r="C941" t="s">
        <v>6</v>
      </c>
      <c r="D941" t="s">
        <v>53</v>
      </c>
      <c r="E941" t="s">
        <v>28</v>
      </c>
      <c r="F941" t="s">
        <v>22</v>
      </c>
      <c r="G941" t="str">
        <f>INDEX(Lookup_Tables!$B$1:$B$7,MATCH(Cleaned_Data!F941,Lookup_Tables!$A$1:$A$7,0))</f>
        <v>Furniture</v>
      </c>
      <c r="H941" t="s">
        <v>51</v>
      </c>
      <c r="I941">
        <v>1</v>
      </c>
      <c r="J941">
        <v>534</v>
      </c>
      <c r="K941">
        <v>0</v>
      </c>
      <c r="L941">
        <f t="shared" si="70"/>
        <v>0</v>
      </c>
      <c r="N941">
        <f t="shared" si="71"/>
        <v>534</v>
      </c>
      <c r="O941">
        <f t="shared" si="72"/>
        <v>534</v>
      </c>
      <c r="P941">
        <f>I941*IFERROR(_xlfn.XLOOKUP(F941,Lookup_Tables!Product,Cost),0)</f>
        <v>13040</v>
      </c>
      <c r="Q941">
        <f t="shared" si="73"/>
        <v>-12506</v>
      </c>
      <c r="R941" s="2">
        <f t="shared" si="74"/>
        <v>-23.419475655430713</v>
      </c>
    </row>
    <row r="942" spans="1:18" x14ac:dyDescent="0.3">
      <c r="A942" t="s">
        <v>999</v>
      </c>
      <c r="B942" s="1">
        <v>45527</v>
      </c>
      <c r="C942" t="s">
        <v>6</v>
      </c>
      <c r="D942" t="s">
        <v>69</v>
      </c>
      <c r="E942" t="s">
        <v>25</v>
      </c>
      <c r="F942" t="s">
        <v>58</v>
      </c>
      <c r="G942" t="str">
        <f>INDEX(Lookup_Tables!$B$1:$B$7,MATCH(Cleaned_Data!F942,Lookup_Tables!$A$1:$A$7,0))</f>
        <v>Electronics</v>
      </c>
      <c r="H942" t="s">
        <v>54</v>
      </c>
      <c r="I942">
        <v>3</v>
      </c>
      <c r="J942">
        <v>29533</v>
      </c>
      <c r="L942">
        <f t="shared" si="70"/>
        <v>0</v>
      </c>
      <c r="M942">
        <v>10238</v>
      </c>
      <c r="N942">
        <f t="shared" si="71"/>
        <v>88599</v>
      </c>
      <c r="O942">
        <f t="shared" si="72"/>
        <v>88599</v>
      </c>
      <c r="P942">
        <f>I942*IFERROR(_xlfn.XLOOKUP(F942,Lookup_Tables!Product,Cost),0)</f>
        <v>8664</v>
      </c>
      <c r="Q942">
        <f t="shared" si="73"/>
        <v>79935</v>
      </c>
      <c r="R942" s="2">
        <f t="shared" si="74"/>
        <v>0.90221108590390409</v>
      </c>
    </row>
    <row r="943" spans="1:18" x14ac:dyDescent="0.3">
      <c r="A943" t="s">
        <v>1000</v>
      </c>
      <c r="B943" s="1">
        <v>45435</v>
      </c>
      <c r="C943" t="s">
        <v>4</v>
      </c>
      <c r="D943" t="s">
        <v>76</v>
      </c>
      <c r="E943" t="s">
        <v>25</v>
      </c>
      <c r="F943" t="s">
        <v>24</v>
      </c>
      <c r="G943" t="str">
        <f>INDEX(Lookup_Tables!$B$1:$B$7,MATCH(Cleaned_Data!F943,Lookup_Tables!$A$1:$A$7,0))</f>
        <v>Electronics</v>
      </c>
      <c r="H943" t="s">
        <v>54</v>
      </c>
      <c r="I943">
        <v>3</v>
      </c>
      <c r="J943">
        <v>45381</v>
      </c>
      <c r="K943">
        <v>0.1</v>
      </c>
      <c r="L943">
        <f t="shared" si="70"/>
        <v>0.1</v>
      </c>
      <c r="M943">
        <v>3499</v>
      </c>
      <c r="N943">
        <f t="shared" si="71"/>
        <v>136143</v>
      </c>
      <c r="O943">
        <f t="shared" si="72"/>
        <v>122528.7</v>
      </c>
      <c r="P943">
        <f>I943*IFERROR(_xlfn.XLOOKUP(F943,Lookup_Tables!Product,Cost),0)</f>
        <v>84138</v>
      </c>
      <c r="Q943">
        <f t="shared" si="73"/>
        <v>38390.699999999997</v>
      </c>
      <c r="R943" s="2">
        <f t="shared" si="74"/>
        <v>0.31332006297300141</v>
      </c>
    </row>
    <row r="944" spans="1:18" x14ac:dyDescent="0.3">
      <c r="A944" t="s">
        <v>1001</v>
      </c>
      <c r="B944" s="1">
        <v>45470</v>
      </c>
      <c r="C944" t="s">
        <v>5</v>
      </c>
      <c r="D944" t="s">
        <v>64</v>
      </c>
      <c r="E944" t="s">
        <v>28</v>
      </c>
      <c r="F944" t="s">
        <v>50</v>
      </c>
      <c r="G944" t="str">
        <f>INDEX(Lookup_Tables!$B$1:$B$7,MATCH(Cleaned_Data!F944,Lookup_Tables!$A$1:$A$7,0))</f>
        <v>Furniture</v>
      </c>
      <c r="H944" t="s">
        <v>51</v>
      </c>
      <c r="I944">
        <v>4</v>
      </c>
      <c r="J944">
        <v>38548</v>
      </c>
      <c r="K944">
        <v>0.05</v>
      </c>
      <c r="L944">
        <f t="shared" si="70"/>
        <v>0.05</v>
      </c>
      <c r="M944">
        <v>11263</v>
      </c>
      <c r="N944">
        <f t="shared" si="71"/>
        <v>154192</v>
      </c>
      <c r="O944">
        <f t="shared" si="72"/>
        <v>146482.4</v>
      </c>
      <c r="P944">
        <f>I944*IFERROR(_xlfn.XLOOKUP(F944,Lookup_Tables!Product,Cost),0)</f>
        <v>53084</v>
      </c>
      <c r="Q944">
        <f t="shared" si="73"/>
        <v>93398.399999999994</v>
      </c>
      <c r="R944" s="2">
        <f t="shared" si="74"/>
        <v>0.63760834066072103</v>
      </c>
    </row>
    <row r="945" spans="1:18" x14ac:dyDescent="0.3">
      <c r="A945" t="s">
        <v>1002</v>
      </c>
      <c r="B945" s="1">
        <v>45486</v>
      </c>
      <c r="C945" t="s">
        <v>4</v>
      </c>
      <c r="D945" t="s">
        <v>53</v>
      </c>
      <c r="E945" t="s">
        <v>29</v>
      </c>
      <c r="F945" t="s">
        <v>24</v>
      </c>
      <c r="G945" t="str">
        <f>INDEX(Lookup_Tables!$B$1:$B$7,MATCH(Cleaned_Data!F945,Lookup_Tables!$A$1:$A$7,0))</f>
        <v>Electronics</v>
      </c>
      <c r="H945" t="s">
        <v>54</v>
      </c>
      <c r="I945">
        <v>2</v>
      </c>
      <c r="J945">
        <v>7053</v>
      </c>
      <c r="K945">
        <v>0.05</v>
      </c>
      <c r="L945">
        <f t="shared" si="70"/>
        <v>0.05</v>
      </c>
      <c r="N945">
        <f t="shared" si="71"/>
        <v>14106</v>
      </c>
      <c r="O945">
        <f t="shared" si="72"/>
        <v>13400.7</v>
      </c>
      <c r="P945">
        <f>I945*IFERROR(_xlfn.XLOOKUP(F945,Lookup_Tables!Product,Cost),0)</f>
        <v>56092</v>
      </c>
      <c r="Q945">
        <f t="shared" si="73"/>
        <v>-42691.3</v>
      </c>
      <c r="R945" s="2">
        <f t="shared" si="74"/>
        <v>-3.1857514905937752</v>
      </c>
    </row>
    <row r="946" spans="1:18" x14ac:dyDescent="0.3">
      <c r="A946" t="s">
        <v>1003</v>
      </c>
      <c r="B946" s="1">
        <v>45402</v>
      </c>
      <c r="C946" t="s">
        <v>3</v>
      </c>
      <c r="D946" t="s">
        <v>76</v>
      </c>
      <c r="E946" t="s">
        <v>25</v>
      </c>
      <c r="F946" t="s">
        <v>58</v>
      </c>
      <c r="G946" t="str">
        <f>INDEX(Lookup_Tables!$B$1:$B$7,MATCH(Cleaned_Data!F946,Lookup_Tables!$A$1:$A$7,0))</f>
        <v>Electronics</v>
      </c>
      <c r="H946" t="s">
        <v>54</v>
      </c>
      <c r="I946">
        <v>10</v>
      </c>
      <c r="J946">
        <v>26668</v>
      </c>
      <c r="K946">
        <v>0.1</v>
      </c>
      <c r="L946">
        <f t="shared" si="70"/>
        <v>0.1</v>
      </c>
      <c r="N946">
        <f t="shared" si="71"/>
        <v>266680</v>
      </c>
      <c r="O946">
        <f t="shared" si="72"/>
        <v>240012</v>
      </c>
      <c r="P946">
        <f>I946*IFERROR(_xlfn.XLOOKUP(F946,Lookup_Tables!Product,Cost),0)</f>
        <v>28880</v>
      </c>
      <c r="Q946">
        <f t="shared" si="73"/>
        <v>211132</v>
      </c>
      <c r="R946" s="2">
        <f t="shared" si="74"/>
        <v>0.879672683032515</v>
      </c>
    </row>
    <row r="947" spans="1:18" x14ac:dyDescent="0.3">
      <c r="A947" t="s">
        <v>1004</v>
      </c>
      <c r="B947" s="1">
        <v>45452</v>
      </c>
      <c r="C947" t="s">
        <v>6</v>
      </c>
      <c r="D947" t="s">
        <v>76</v>
      </c>
      <c r="E947" t="s">
        <v>29</v>
      </c>
      <c r="F947" t="s">
        <v>22</v>
      </c>
      <c r="G947" t="str">
        <f>INDEX(Lookup_Tables!$B$1:$B$7,MATCH(Cleaned_Data!F947,Lookup_Tables!$A$1:$A$7,0))</f>
        <v>Furniture</v>
      </c>
      <c r="H947" t="s">
        <v>51</v>
      </c>
      <c r="I947">
        <v>3</v>
      </c>
      <c r="J947">
        <v>18921</v>
      </c>
      <c r="K947">
        <v>0</v>
      </c>
      <c r="L947">
        <f t="shared" si="70"/>
        <v>0</v>
      </c>
      <c r="M947">
        <v>6074</v>
      </c>
      <c r="N947">
        <f t="shared" si="71"/>
        <v>56763</v>
      </c>
      <c r="O947">
        <f t="shared" si="72"/>
        <v>56763</v>
      </c>
      <c r="P947">
        <f>I947*IFERROR(_xlfn.XLOOKUP(F947,Lookup_Tables!Product,Cost),0)</f>
        <v>39120</v>
      </c>
      <c r="Q947">
        <f t="shared" si="73"/>
        <v>17643</v>
      </c>
      <c r="R947" s="2">
        <f t="shared" si="74"/>
        <v>0.31081866708947731</v>
      </c>
    </row>
    <row r="948" spans="1:18" x14ac:dyDescent="0.3">
      <c r="A948" t="s">
        <v>1005</v>
      </c>
      <c r="B948" s="1">
        <v>45549</v>
      </c>
      <c r="C948" t="s">
        <v>6</v>
      </c>
      <c r="D948" t="s">
        <v>64</v>
      </c>
      <c r="E948" t="s">
        <v>26</v>
      </c>
      <c r="F948" t="s">
        <v>24</v>
      </c>
      <c r="G948" t="str">
        <f>INDEX(Lookup_Tables!$B$1:$B$7,MATCH(Cleaned_Data!F948,Lookup_Tables!$A$1:$A$7,0))</f>
        <v>Electronics</v>
      </c>
      <c r="H948" t="s">
        <v>54</v>
      </c>
      <c r="I948">
        <v>7</v>
      </c>
      <c r="J948">
        <v>13348</v>
      </c>
      <c r="L948">
        <f t="shared" si="70"/>
        <v>0</v>
      </c>
      <c r="N948">
        <f t="shared" si="71"/>
        <v>93436</v>
      </c>
      <c r="O948">
        <f t="shared" si="72"/>
        <v>93436</v>
      </c>
      <c r="P948">
        <f>I948*IFERROR(_xlfn.XLOOKUP(F948,Lookup_Tables!Product,Cost),0)</f>
        <v>196322</v>
      </c>
      <c r="Q948">
        <f t="shared" si="73"/>
        <v>-102886</v>
      </c>
      <c r="R948" s="2">
        <f t="shared" si="74"/>
        <v>-1.1011387473778844</v>
      </c>
    </row>
    <row r="949" spans="1:18" x14ac:dyDescent="0.3">
      <c r="A949" t="s">
        <v>1006</v>
      </c>
      <c r="B949" s="1">
        <v>45538</v>
      </c>
      <c r="C949" t="s">
        <v>5</v>
      </c>
      <c r="D949" t="s">
        <v>49</v>
      </c>
      <c r="E949" t="s">
        <v>29</v>
      </c>
      <c r="F949" t="s">
        <v>22</v>
      </c>
      <c r="G949" t="str">
        <f>INDEX(Lookup_Tables!$B$1:$B$7,MATCH(Cleaned_Data!F949,Lookup_Tables!$A$1:$A$7,0))</f>
        <v>Furniture</v>
      </c>
      <c r="H949" t="s">
        <v>51</v>
      </c>
      <c r="I949">
        <v>5</v>
      </c>
      <c r="J949">
        <v>40213</v>
      </c>
      <c r="L949">
        <f t="shared" si="70"/>
        <v>0</v>
      </c>
      <c r="N949">
        <f t="shared" si="71"/>
        <v>201065</v>
      </c>
      <c r="O949">
        <f t="shared" si="72"/>
        <v>201065</v>
      </c>
      <c r="P949">
        <f>I949*IFERROR(_xlfn.XLOOKUP(F949,Lookup_Tables!Product,Cost),0)</f>
        <v>65200</v>
      </c>
      <c r="Q949">
        <f t="shared" si="73"/>
        <v>135865</v>
      </c>
      <c r="R949" s="2">
        <f t="shared" si="74"/>
        <v>0.67572675502946811</v>
      </c>
    </row>
    <row r="950" spans="1:18" x14ac:dyDescent="0.3">
      <c r="A950" t="s">
        <v>1007</v>
      </c>
      <c r="B950" s="1">
        <v>45583</v>
      </c>
      <c r="C950" t="s">
        <v>6</v>
      </c>
      <c r="D950" t="s">
        <v>56</v>
      </c>
      <c r="E950" t="s">
        <v>28</v>
      </c>
      <c r="F950" t="s">
        <v>50</v>
      </c>
      <c r="G950" t="str">
        <f>INDEX(Lookup_Tables!$B$1:$B$7,MATCH(Cleaned_Data!F950,Lookup_Tables!$A$1:$A$7,0))</f>
        <v>Furniture</v>
      </c>
      <c r="H950" t="s">
        <v>51</v>
      </c>
      <c r="I950">
        <v>3</v>
      </c>
      <c r="J950">
        <v>14501</v>
      </c>
      <c r="K950">
        <v>0.05</v>
      </c>
      <c r="L950">
        <f t="shared" si="70"/>
        <v>0.05</v>
      </c>
      <c r="N950">
        <f t="shared" si="71"/>
        <v>43503</v>
      </c>
      <c r="O950">
        <f t="shared" si="72"/>
        <v>41327.85</v>
      </c>
      <c r="P950">
        <f>I950*IFERROR(_xlfn.XLOOKUP(F950,Lookup_Tables!Product,Cost),0)</f>
        <v>39813</v>
      </c>
      <c r="Q950">
        <f t="shared" si="73"/>
        <v>1514.8499999999985</v>
      </c>
      <c r="R950" s="2">
        <f t="shared" si="74"/>
        <v>3.6654459402073868E-2</v>
      </c>
    </row>
    <row r="951" spans="1:18" x14ac:dyDescent="0.3">
      <c r="A951" t="s">
        <v>1008</v>
      </c>
      <c r="B951" s="1">
        <v>45418</v>
      </c>
      <c r="C951" t="s">
        <v>3</v>
      </c>
      <c r="D951" t="s">
        <v>69</v>
      </c>
      <c r="E951" t="s">
        <v>29</v>
      </c>
      <c r="F951" t="s">
        <v>23</v>
      </c>
      <c r="G951" t="str">
        <f>INDEX(Lookup_Tables!$B$1:$B$7,MATCH(Cleaned_Data!F951,Lookup_Tables!$A$1:$A$7,0))</f>
        <v>Electronics</v>
      </c>
      <c r="H951" t="s">
        <v>54</v>
      </c>
      <c r="I951">
        <v>4</v>
      </c>
      <c r="J951">
        <v>49397</v>
      </c>
      <c r="K951">
        <v>0.1</v>
      </c>
      <c r="L951">
        <f t="shared" si="70"/>
        <v>0.1</v>
      </c>
      <c r="N951">
        <f t="shared" si="71"/>
        <v>197588</v>
      </c>
      <c r="O951">
        <f t="shared" si="72"/>
        <v>177829.2</v>
      </c>
      <c r="P951">
        <f>I951*IFERROR(_xlfn.XLOOKUP(F951,Lookup_Tables!Product,Cost),0)</f>
        <v>77060</v>
      </c>
      <c r="Q951">
        <f t="shared" si="73"/>
        <v>100769.20000000001</v>
      </c>
      <c r="R951" s="2">
        <f t="shared" si="74"/>
        <v>0.56666284277272805</v>
      </c>
    </row>
    <row r="952" spans="1:18" x14ac:dyDescent="0.3">
      <c r="A952" t="s">
        <v>1009</v>
      </c>
      <c r="B952" s="1">
        <v>45330</v>
      </c>
      <c r="C952" t="s">
        <v>6</v>
      </c>
      <c r="D952" t="s">
        <v>56</v>
      </c>
      <c r="E952" t="s">
        <v>28</v>
      </c>
      <c r="F952" t="s">
        <v>50</v>
      </c>
      <c r="G952" t="str">
        <f>INDEX(Lookup_Tables!$B$1:$B$7,MATCH(Cleaned_Data!F952,Lookup_Tables!$A$1:$A$7,0))</f>
        <v>Furniture</v>
      </c>
      <c r="H952" t="s">
        <v>51</v>
      </c>
      <c r="I952">
        <v>10</v>
      </c>
      <c r="J952">
        <v>28968</v>
      </c>
      <c r="K952">
        <v>0.05</v>
      </c>
      <c r="L952">
        <f t="shared" si="70"/>
        <v>0.05</v>
      </c>
      <c r="N952">
        <f t="shared" si="71"/>
        <v>289680</v>
      </c>
      <c r="O952">
        <f t="shared" si="72"/>
        <v>275196</v>
      </c>
      <c r="P952">
        <f>I952*IFERROR(_xlfn.XLOOKUP(F952,Lookup_Tables!Product,Cost),0)</f>
        <v>132710</v>
      </c>
      <c r="Q952">
        <f t="shared" si="73"/>
        <v>142486</v>
      </c>
      <c r="R952" s="2">
        <f t="shared" si="74"/>
        <v>0.51776188607392548</v>
      </c>
    </row>
    <row r="953" spans="1:18" x14ac:dyDescent="0.3">
      <c r="A953" t="s">
        <v>1010</v>
      </c>
      <c r="B953" s="1">
        <v>45620</v>
      </c>
      <c r="C953" t="s">
        <v>5</v>
      </c>
      <c r="D953" t="s">
        <v>69</v>
      </c>
      <c r="E953" t="s">
        <v>25</v>
      </c>
      <c r="F953" t="s">
        <v>61</v>
      </c>
      <c r="G953" t="str">
        <f>INDEX(Lookup_Tables!$B$1:$B$7,MATCH(Cleaned_Data!F953,Lookup_Tables!$A$1:$A$7,0))</f>
        <v>Electronics</v>
      </c>
      <c r="H953" t="s">
        <v>54</v>
      </c>
      <c r="I953">
        <v>1</v>
      </c>
      <c r="J953">
        <v>2176</v>
      </c>
      <c r="K953">
        <v>0</v>
      </c>
      <c r="L953">
        <f t="shared" si="70"/>
        <v>0</v>
      </c>
      <c r="M953">
        <v>28728</v>
      </c>
      <c r="N953">
        <f t="shared" si="71"/>
        <v>2176</v>
      </c>
      <c r="O953">
        <f t="shared" si="72"/>
        <v>2176</v>
      </c>
      <c r="P953">
        <f>I953*IFERROR(_xlfn.XLOOKUP(F953,Lookup_Tables!Product,Cost),0)</f>
        <v>7384</v>
      </c>
      <c r="Q953">
        <f t="shared" si="73"/>
        <v>-5208</v>
      </c>
      <c r="R953" s="2">
        <f t="shared" si="74"/>
        <v>-2.3933823529411766</v>
      </c>
    </row>
    <row r="954" spans="1:18" x14ac:dyDescent="0.3">
      <c r="A954" t="s">
        <v>1011</v>
      </c>
      <c r="B954" s="1">
        <v>45316</v>
      </c>
      <c r="C954" t="s">
        <v>4</v>
      </c>
      <c r="D954" t="s">
        <v>76</v>
      </c>
      <c r="E954" t="s">
        <v>29</v>
      </c>
      <c r="F954" t="s">
        <v>22</v>
      </c>
      <c r="G954" t="str">
        <f>INDEX(Lookup_Tables!$B$1:$B$7,MATCH(Cleaned_Data!F954,Lookup_Tables!$A$1:$A$7,0))</f>
        <v>Furniture</v>
      </c>
      <c r="H954" t="s">
        <v>51</v>
      </c>
      <c r="I954">
        <v>7</v>
      </c>
      <c r="J954">
        <v>4924</v>
      </c>
      <c r="K954">
        <v>0</v>
      </c>
      <c r="L954">
        <f t="shared" si="70"/>
        <v>0</v>
      </c>
      <c r="N954">
        <f t="shared" si="71"/>
        <v>34468</v>
      </c>
      <c r="O954">
        <f t="shared" si="72"/>
        <v>34468</v>
      </c>
      <c r="P954">
        <f>I954*IFERROR(_xlfn.XLOOKUP(F954,Lookup_Tables!Product,Cost),0)</f>
        <v>91280</v>
      </c>
      <c r="Q954">
        <f t="shared" si="73"/>
        <v>-56812</v>
      </c>
      <c r="R954" s="2">
        <f t="shared" si="74"/>
        <v>-1.6482534524776604</v>
      </c>
    </row>
    <row r="955" spans="1:18" x14ac:dyDescent="0.3">
      <c r="A955" t="s">
        <v>1012</v>
      </c>
      <c r="B955" s="1">
        <v>45632</v>
      </c>
      <c r="C955" t="s">
        <v>4</v>
      </c>
      <c r="D955" t="s">
        <v>56</v>
      </c>
      <c r="E955" t="s">
        <v>28</v>
      </c>
      <c r="F955" t="s">
        <v>50</v>
      </c>
      <c r="G955" t="str">
        <f>INDEX(Lookup_Tables!$B$1:$B$7,MATCH(Cleaned_Data!F955,Lookup_Tables!$A$1:$A$7,0))</f>
        <v>Furniture</v>
      </c>
      <c r="H955" t="s">
        <v>51</v>
      </c>
      <c r="I955">
        <v>10</v>
      </c>
      <c r="J955">
        <v>20631</v>
      </c>
      <c r="K955">
        <v>0</v>
      </c>
      <c r="L955">
        <f t="shared" si="70"/>
        <v>0</v>
      </c>
      <c r="M955">
        <v>8510</v>
      </c>
      <c r="N955">
        <f t="shared" si="71"/>
        <v>206310</v>
      </c>
      <c r="O955">
        <f t="shared" si="72"/>
        <v>206310</v>
      </c>
      <c r="P955">
        <f>I955*IFERROR(_xlfn.XLOOKUP(F955,Lookup_Tables!Product,Cost),0)</f>
        <v>132710</v>
      </c>
      <c r="Q955">
        <f t="shared" si="73"/>
        <v>73600</v>
      </c>
      <c r="R955" s="2">
        <f t="shared" si="74"/>
        <v>0.35674470457079155</v>
      </c>
    </row>
    <row r="956" spans="1:18" x14ac:dyDescent="0.3">
      <c r="A956" t="s">
        <v>1013</v>
      </c>
      <c r="B956" s="1">
        <v>45570</v>
      </c>
      <c r="C956" t="s">
        <v>3</v>
      </c>
      <c r="D956" t="s">
        <v>53</v>
      </c>
      <c r="E956" t="s">
        <v>29</v>
      </c>
      <c r="F956" t="s">
        <v>58</v>
      </c>
      <c r="G956" t="str">
        <f>INDEX(Lookup_Tables!$B$1:$B$7,MATCH(Cleaned_Data!F956,Lookup_Tables!$A$1:$A$7,0))</f>
        <v>Electronics</v>
      </c>
      <c r="H956" t="s">
        <v>54</v>
      </c>
      <c r="I956">
        <v>10</v>
      </c>
      <c r="J956">
        <v>24012</v>
      </c>
      <c r="K956">
        <v>0.1</v>
      </c>
      <c r="L956">
        <f t="shared" si="70"/>
        <v>0.1</v>
      </c>
      <c r="N956">
        <f t="shared" si="71"/>
        <v>240120</v>
      </c>
      <c r="O956">
        <f t="shared" si="72"/>
        <v>216108</v>
      </c>
      <c r="P956">
        <f>I956*IFERROR(_xlfn.XLOOKUP(F956,Lookup_Tables!Product,Cost),0)</f>
        <v>28880</v>
      </c>
      <c r="Q956">
        <f t="shared" si="73"/>
        <v>187228</v>
      </c>
      <c r="R956" s="2">
        <f t="shared" si="74"/>
        <v>0.8663631147389268</v>
      </c>
    </row>
    <row r="957" spans="1:18" x14ac:dyDescent="0.3">
      <c r="A957" t="s">
        <v>1014</v>
      </c>
      <c r="B957" s="1">
        <v>45519</v>
      </c>
      <c r="C957" t="s">
        <v>5</v>
      </c>
      <c r="D957" t="s">
        <v>56</v>
      </c>
      <c r="E957" t="s">
        <v>27</v>
      </c>
      <c r="F957" t="s">
        <v>23</v>
      </c>
      <c r="G957" t="str">
        <f>INDEX(Lookup_Tables!$B$1:$B$7,MATCH(Cleaned_Data!F957,Lookup_Tables!$A$1:$A$7,0))</f>
        <v>Electronics</v>
      </c>
      <c r="H957" t="s">
        <v>54</v>
      </c>
      <c r="I957">
        <v>4</v>
      </c>
      <c r="J957">
        <v>5854</v>
      </c>
      <c r="K957">
        <v>0.1</v>
      </c>
      <c r="L957">
        <f t="shared" si="70"/>
        <v>0.1</v>
      </c>
      <c r="M957">
        <v>19506</v>
      </c>
      <c r="N957">
        <f t="shared" si="71"/>
        <v>23416</v>
      </c>
      <c r="O957">
        <f t="shared" si="72"/>
        <v>21074.400000000001</v>
      </c>
      <c r="P957">
        <f>I957*IFERROR(_xlfn.XLOOKUP(F957,Lookup_Tables!Product,Cost),0)</f>
        <v>77060</v>
      </c>
      <c r="Q957">
        <f t="shared" si="73"/>
        <v>-55985.599999999999</v>
      </c>
      <c r="R957" s="2">
        <f t="shared" si="74"/>
        <v>-2.6565691075428006</v>
      </c>
    </row>
    <row r="958" spans="1:18" x14ac:dyDescent="0.3">
      <c r="A958" t="s">
        <v>1015</v>
      </c>
      <c r="B958" s="1">
        <v>45417</v>
      </c>
      <c r="C958" t="s">
        <v>6</v>
      </c>
      <c r="D958" t="s">
        <v>69</v>
      </c>
      <c r="E958" t="s">
        <v>26</v>
      </c>
      <c r="F958" t="s">
        <v>61</v>
      </c>
      <c r="G958" t="str">
        <f>INDEX(Lookup_Tables!$B$1:$B$7,MATCH(Cleaned_Data!F958,Lookup_Tables!$A$1:$A$7,0))</f>
        <v>Electronics</v>
      </c>
      <c r="H958" t="s">
        <v>54</v>
      </c>
      <c r="I958">
        <v>4</v>
      </c>
      <c r="J958">
        <v>44139</v>
      </c>
      <c r="K958">
        <v>0.1</v>
      </c>
      <c r="L958">
        <f t="shared" si="70"/>
        <v>0.1</v>
      </c>
      <c r="M958">
        <v>24472</v>
      </c>
      <c r="N958">
        <f t="shared" si="71"/>
        <v>176556</v>
      </c>
      <c r="O958">
        <f t="shared" si="72"/>
        <v>158900.4</v>
      </c>
      <c r="P958">
        <f>I958*IFERROR(_xlfn.XLOOKUP(F958,Lookup_Tables!Product,Cost),0)</f>
        <v>29536</v>
      </c>
      <c r="Q958">
        <f t="shared" si="73"/>
        <v>129364.4</v>
      </c>
      <c r="R958" s="2">
        <f t="shared" si="74"/>
        <v>0.81412255727487159</v>
      </c>
    </row>
    <row r="959" spans="1:18" x14ac:dyDescent="0.3">
      <c r="A959" t="s">
        <v>1016</v>
      </c>
      <c r="B959" s="1">
        <v>45442</v>
      </c>
      <c r="C959" t="s">
        <v>3</v>
      </c>
      <c r="D959" t="s">
        <v>64</v>
      </c>
      <c r="E959" t="s">
        <v>25</v>
      </c>
      <c r="F959" t="s">
        <v>50</v>
      </c>
      <c r="G959" t="str">
        <f>INDEX(Lookup_Tables!$B$1:$B$7,MATCH(Cleaned_Data!F959,Lookup_Tables!$A$1:$A$7,0))</f>
        <v>Furniture</v>
      </c>
      <c r="H959" t="s">
        <v>51</v>
      </c>
      <c r="I959">
        <v>1</v>
      </c>
      <c r="J959">
        <v>5686</v>
      </c>
      <c r="K959">
        <v>0.05</v>
      </c>
      <c r="L959">
        <f t="shared" si="70"/>
        <v>0.05</v>
      </c>
      <c r="M959">
        <v>4953</v>
      </c>
      <c r="N959">
        <f t="shared" si="71"/>
        <v>5686</v>
      </c>
      <c r="O959">
        <f t="shared" si="72"/>
        <v>5401.7</v>
      </c>
      <c r="P959">
        <f>I959*IFERROR(_xlfn.XLOOKUP(F959,Lookup_Tables!Product,Cost),0)</f>
        <v>13271</v>
      </c>
      <c r="Q959">
        <f t="shared" si="73"/>
        <v>-7869.3</v>
      </c>
      <c r="R959" s="2">
        <f t="shared" si="74"/>
        <v>-1.4568191495270009</v>
      </c>
    </row>
    <row r="960" spans="1:18" x14ac:dyDescent="0.3">
      <c r="A960" t="s">
        <v>1017</v>
      </c>
      <c r="B960" s="1">
        <v>45558</v>
      </c>
      <c r="C960" t="s">
        <v>3</v>
      </c>
      <c r="D960" t="s">
        <v>76</v>
      </c>
      <c r="E960" t="s">
        <v>27</v>
      </c>
      <c r="F960" t="s">
        <v>50</v>
      </c>
      <c r="G960" t="str">
        <f>INDEX(Lookup_Tables!$B$1:$B$7,MATCH(Cleaned_Data!F960,Lookup_Tables!$A$1:$A$7,0))</f>
        <v>Furniture</v>
      </c>
      <c r="H960" t="s">
        <v>51</v>
      </c>
      <c r="I960">
        <v>5</v>
      </c>
      <c r="J960">
        <v>41447</v>
      </c>
      <c r="K960">
        <v>0.1</v>
      </c>
      <c r="L960">
        <f t="shared" si="70"/>
        <v>0.1</v>
      </c>
      <c r="M960">
        <v>15660</v>
      </c>
      <c r="N960">
        <f t="shared" si="71"/>
        <v>207235</v>
      </c>
      <c r="O960">
        <f t="shared" si="72"/>
        <v>186511.5</v>
      </c>
      <c r="P960">
        <f>I960*IFERROR(_xlfn.XLOOKUP(F960,Lookup_Tables!Product,Cost),0)</f>
        <v>66355</v>
      </c>
      <c r="Q960">
        <f t="shared" si="73"/>
        <v>120156.5</v>
      </c>
      <c r="R960" s="2">
        <f t="shared" si="74"/>
        <v>0.64423105277690651</v>
      </c>
    </row>
    <row r="961" spans="1:18" x14ac:dyDescent="0.3">
      <c r="A961" t="s">
        <v>1018</v>
      </c>
      <c r="B961" s="1">
        <v>45546</v>
      </c>
      <c r="C961" t="s">
        <v>6</v>
      </c>
      <c r="D961" t="s">
        <v>76</v>
      </c>
      <c r="E961" t="s">
        <v>26</v>
      </c>
      <c r="F961" t="s">
        <v>23</v>
      </c>
      <c r="G961" t="str">
        <f>INDEX(Lookup_Tables!$B$1:$B$7,MATCH(Cleaned_Data!F961,Lookup_Tables!$A$1:$A$7,0))</f>
        <v>Electronics</v>
      </c>
      <c r="H961" t="s">
        <v>54</v>
      </c>
      <c r="I961">
        <v>4</v>
      </c>
      <c r="J961">
        <v>10976</v>
      </c>
      <c r="K961">
        <v>0</v>
      </c>
      <c r="L961">
        <f t="shared" si="70"/>
        <v>0</v>
      </c>
      <c r="M961">
        <v>2770</v>
      </c>
      <c r="N961">
        <f t="shared" si="71"/>
        <v>43904</v>
      </c>
      <c r="O961">
        <f t="shared" si="72"/>
        <v>43904</v>
      </c>
      <c r="P961">
        <f>I961*IFERROR(_xlfn.XLOOKUP(F961,Lookup_Tables!Product,Cost),0)</f>
        <v>77060</v>
      </c>
      <c r="Q961">
        <f t="shared" si="73"/>
        <v>-33156</v>
      </c>
      <c r="R961" s="2">
        <f t="shared" si="74"/>
        <v>-0.75519314868804666</v>
      </c>
    </row>
    <row r="962" spans="1:18" x14ac:dyDescent="0.3">
      <c r="A962" t="s">
        <v>1019</v>
      </c>
      <c r="B962" s="1">
        <v>45330</v>
      </c>
      <c r="C962" t="s">
        <v>3</v>
      </c>
      <c r="D962" t="s">
        <v>69</v>
      </c>
      <c r="E962" t="s">
        <v>27</v>
      </c>
      <c r="F962" t="s">
        <v>24</v>
      </c>
      <c r="G962" t="str">
        <f>INDEX(Lookup_Tables!$B$1:$B$7,MATCH(Cleaned_Data!F962,Lookup_Tables!$A$1:$A$7,0))</f>
        <v>Electronics</v>
      </c>
      <c r="H962" t="s">
        <v>54</v>
      </c>
      <c r="I962">
        <v>9</v>
      </c>
      <c r="J962">
        <v>5011</v>
      </c>
      <c r="K962">
        <v>0.05</v>
      </c>
      <c r="L962">
        <f t="shared" si="70"/>
        <v>0.05</v>
      </c>
      <c r="M962">
        <v>14144</v>
      </c>
      <c r="N962">
        <f t="shared" si="71"/>
        <v>45099</v>
      </c>
      <c r="O962">
        <f t="shared" si="72"/>
        <v>42844.05</v>
      </c>
      <c r="P962">
        <f>I962*IFERROR(_xlfn.XLOOKUP(F962,Lookup_Tables!Product,Cost),0)</f>
        <v>252414</v>
      </c>
      <c r="Q962">
        <f t="shared" si="73"/>
        <v>-209569.95</v>
      </c>
      <c r="R962" s="2">
        <f t="shared" si="74"/>
        <v>-4.8914598409814198</v>
      </c>
    </row>
    <row r="963" spans="1:18" x14ac:dyDescent="0.3">
      <c r="A963" t="s">
        <v>1020</v>
      </c>
      <c r="B963" s="1">
        <v>45516</v>
      </c>
      <c r="C963" t="s">
        <v>4</v>
      </c>
      <c r="D963" t="s">
        <v>76</v>
      </c>
      <c r="E963" t="s">
        <v>26</v>
      </c>
      <c r="F963" t="s">
        <v>58</v>
      </c>
      <c r="G963" t="str">
        <f>INDEX(Lookup_Tables!$B$1:$B$7,MATCH(Cleaned_Data!F963,Lookup_Tables!$A$1:$A$7,0))</f>
        <v>Electronics</v>
      </c>
      <c r="H963" t="s">
        <v>54</v>
      </c>
      <c r="I963">
        <v>4</v>
      </c>
      <c r="J963">
        <v>20717</v>
      </c>
      <c r="K963">
        <v>0.1</v>
      </c>
      <c r="L963">
        <f t="shared" ref="L963:L1001" si="75">IF(ISBLANK(K963),0,K963)</f>
        <v>0.1</v>
      </c>
      <c r="N963">
        <f t="shared" ref="N963:N1001" si="76">I963*J963</f>
        <v>82868</v>
      </c>
      <c r="O963">
        <f t="shared" ref="O963:O1001" si="77">N963-(N963*L963)</f>
        <v>74581.2</v>
      </c>
      <c r="P963">
        <f>I963*IFERROR(_xlfn.XLOOKUP(F963,Lookup_Tables!Product,Cost),0)</f>
        <v>11552</v>
      </c>
      <c r="Q963">
        <f t="shared" ref="Q963:Q1001" si="78">O963-P963</f>
        <v>63029.2</v>
      </c>
      <c r="R963" s="2">
        <f t="shared" ref="R963:R1001" si="79">Q963/O963</f>
        <v>0.84510841874359754</v>
      </c>
    </row>
    <row r="964" spans="1:18" x14ac:dyDescent="0.3">
      <c r="A964" t="s">
        <v>1021</v>
      </c>
      <c r="B964" s="1">
        <v>45398</v>
      </c>
      <c r="C964" t="s">
        <v>3</v>
      </c>
      <c r="D964" t="s">
        <v>69</v>
      </c>
      <c r="E964" t="s">
        <v>29</v>
      </c>
      <c r="F964" t="s">
        <v>22</v>
      </c>
      <c r="G964" t="str">
        <f>INDEX(Lookup_Tables!$B$1:$B$7,MATCH(Cleaned_Data!F964,Lookup_Tables!$A$1:$A$7,0))</f>
        <v>Furniture</v>
      </c>
      <c r="H964" t="s">
        <v>51</v>
      </c>
      <c r="I964">
        <v>9</v>
      </c>
      <c r="J964">
        <v>10861</v>
      </c>
      <c r="L964">
        <f t="shared" si="75"/>
        <v>0</v>
      </c>
      <c r="N964">
        <f t="shared" si="76"/>
        <v>97749</v>
      </c>
      <c r="O964">
        <f t="shared" si="77"/>
        <v>97749</v>
      </c>
      <c r="P964">
        <f>I964*IFERROR(_xlfn.XLOOKUP(F964,Lookup_Tables!Product,Cost),0)</f>
        <v>117360</v>
      </c>
      <c r="Q964">
        <f t="shared" si="78"/>
        <v>-19611</v>
      </c>
      <c r="R964" s="2">
        <f t="shared" si="79"/>
        <v>-0.20062609336156892</v>
      </c>
    </row>
    <row r="965" spans="1:18" x14ac:dyDescent="0.3">
      <c r="A965" t="s">
        <v>1022</v>
      </c>
      <c r="B965" s="1">
        <v>45531</v>
      </c>
      <c r="C965" t="s">
        <v>4</v>
      </c>
      <c r="D965" t="s">
        <v>49</v>
      </c>
      <c r="E965" t="s">
        <v>28</v>
      </c>
      <c r="F965" t="s">
        <v>24</v>
      </c>
      <c r="G965" t="str">
        <f>INDEX(Lookup_Tables!$B$1:$B$7,MATCH(Cleaned_Data!F965,Lookup_Tables!$A$1:$A$7,0))</f>
        <v>Electronics</v>
      </c>
      <c r="H965" t="s">
        <v>54</v>
      </c>
      <c r="I965">
        <v>7</v>
      </c>
      <c r="J965">
        <v>40042</v>
      </c>
      <c r="L965">
        <f t="shared" si="75"/>
        <v>0</v>
      </c>
      <c r="M965">
        <v>17028</v>
      </c>
      <c r="N965">
        <f t="shared" si="76"/>
        <v>280294</v>
      </c>
      <c r="O965">
        <f t="shared" si="77"/>
        <v>280294</v>
      </c>
      <c r="P965">
        <f>I965*IFERROR(_xlfn.XLOOKUP(F965,Lookup_Tables!Product,Cost),0)</f>
        <v>196322</v>
      </c>
      <c r="Q965">
        <f t="shared" si="78"/>
        <v>83972</v>
      </c>
      <c r="R965" s="2">
        <f t="shared" si="79"/>
        <v>0.2995854352929424</v>
      </c>
    </row>
    <row r="966" spans="1:18" x14ac:dyDescent="0.3">
      <c r="A966" t="s">
        <v>1023</v>
      </c>
      <c r="B966" s="1">
        <v>45353</v>
      </c>
      <c r="C966" t="s">
        <v>6</v>
      </c>
      <c r="D966" t="s">
        <v>56</v>
      </c>
      <c r="E966" t="s">
        <v>29</v>
      </c>
      <c r="F966" t="s">
        <v>61</v>
      </c>
      <c r="G966" t="str">
        <f>INDEX(Lookup_Tables!$B$1:$B$7,MATCH(Cleaned_Data!F966,Lookup_Tables!$A$1:$A$7,0))</f>
        <v>Electronics</v>
      </c>
      <c r="H966" t="s">
        <v>54</v>
      </c>
      <c r="I966">
        <v>6</v>
      </c>
      <c r="J966">
        <v>26232</v>
      </c>
      <c r="K966">
        <v>0.05</v>
      </c>
      <c r="L966">
        <f t="shared" si="75"/>
        <v>0.05</v>
      </c>
      <c r="M966">
        <v>6187</v>
      </c>
      <c r="N966">
        <f t="shared" si="76"/>
        <v>157392</v>
      </c>
      <c r="O966">
        <f t="shared" si="77"/>
        <v>149522.4</v>
      </c>
      <c r="P966">
        <f>I966*IFERROR(_xlfn.XLOOKUP(F966,Lookup_Tables!Product,Cost),0)</f>
        <v>44304</v>
      </c>
      <c r="Q966">
        <f t="shared" si="78"/>
        <v>105218.4</v>
      </c>
      <c r="R966" s="2">
        <f t="shared" si="79"/>
        <v>0.70369656987849316</v>
      </c>
    </row>
    <row r="967" spans="1:18" x14ac:dyDescent="0.3">
      <c r="A967" t="s">
        <v>1024</v>
      </c>
      <c r="B967" s="1">
        <v>45559</v>
      </c>
      <c r="C967" t="s">
        <v>4</v>
      </c>
      <c r="D967" t="s">
        <v>56</v>
      </c>
      <c r="E967" t="s">
        <v>28</v>
      </c>
      <c r="F967" t="s">
        <v>22</v>
      </c>
      <c r="G967" t="str">
        <f>INDEX(Lookup_Tables!$B$1:$B$7,MATCH(Cleaned_Data!F967,Lookup_Tables!$A$1:$A$7,0))</f>
        <v>Furniture</v>
      </c>
      <c r="H967" t="s">
        <v>51</v>
      </c>
      <c r="I967">
        <v>8</v>
      </c>
      <c r="J967">
        <v>42239</v>
      </c>
      <c r="L967">
        <f t="shared" si="75"/>
        <v>0</v>
      </c>
      <c r="N967">
        <f t="shared" si="76"/>
        <v>337912</v>
      </c>
      <c r="O967">
        <f t="shared" si="77"/>
        <v>337912</v>
      </c>
      <c r="P967">
        <f>I967*IFERROR(_xlfn.XLOOKUP(F967,Lookup_Tables!Product,Cost),0)</f>
        <v>104320</v>
      </c>
      <c r="Q967">
        <f t="shared" si="78"/>
        <v>233592</v>
      </c>
      <c r="R967" s="2">
        <f t="shared" si="79"/>
        <v>0.69128057008925403</v>
      </c>
    </row>
    <row r="968" spans="1:18" x14ac:dyDescent="0.3">
      <c r="A968" t="s">
        <v>1025</v>
      </c>
      <c r="B968" s="1">
        <v>45602</v>
      </c>
      <c r="C968" t="s">
        <v>3</v>
      </c>
      <c r="D968" t="s">
        <v>76</v>
      </c>
      <c r="E968" t="s">
        <v>29</v>
      </c>
      <c r="F968" t="s">
        <v>50</v>
      </c>
      <c r="G968" t="str">
        <f>INDEX(Lookup_Tables!$B$1:$B$7,MATCH(Cleaned_Data!F968,Lookup_Tables!$A$1:$A$7,0))</f>
        <v>Furniture</v>
      </c>
      <c r="H968" t="s">
        <v>51</v>
      </c>
      <c r="I968">
        <v>1</v>
      </c>
      <c r="J968">
        <v>47143</v>
      </c>
      <c r="L968">
        <f t="shared" si="75"/>
        <v>0</v>
      </c>
      <c r="N968">
        <f t="shared" si="76"/>
        <v>47143</v>
      </c>
      <c r="O968">
        <f t="shared" si="77"/>
        <v>47143</v>
      </c>
      <c r="P968">
        <f>I968*IFERROR(_xlfn.XLOOKUP(F968,Lookup_Tables!Product,Cost),0)</f>
        <v>13271</v>
      </c>
      <c r="Q968">
        <f t="shared" si="78"/>
        <v>33872</v>
      </c>
      <c r="R968" s="2">
        <f t="shared" si="79"/>
        <v>0.7184947924400229</v>
      </c>
    </row>
    <row r="969" spans="1:18" x14ac:dyDescent="0.3">
      <c r="A969" t="s">
        <v>1026</v>
      </c>
      <c r="B969" s="1">
        <v>45622</v>
      </c>
      <c r="C969" t="s">
        <v>3</v>
      </c>
      <c r="D969" t="s">
        <v>49</v>
      </c>
      <c r="E969" t="s">
        <v>27</v>
      </c>
      <c r="F969" t="s">
        <v>61</v>
      </c>
      <c r="G969" t="str">
        <f>INDEX(Lookup_Tables!$B$1:$B$7,MATCH(Cleaned_Data!F969,Lookup_Tables!$A$1:$A$7,0))</f>
        <v>Electronics</v>
      </c>
      <c r="H969" t="s">
        <v>54</v>
      </c>
      <c r="I969">
        <v>6</v>
      </c>
      <c r="J969">
        <v>39746</v>
      </c>
      <c r="K969">
        <v>0</v>
      </c>
      <c r="L969">
        <f t="shared" si="75"/>
        <v>0</v>
      </c>
      <c r="M969">
        <v>8121</v>
      </c>
      <c r="N969">
        <f t="shared" si="76"/>
        <v>238476</v>
      </c>
      <c r="O969">
        <f t="shared" si="77"/>
        <v>238476</v>
      </c>
      <c r="P969">
        <f>I969*IFERROR(_xlfn.XLOOKUP(F969,Lookup_Tables!Product,Cost),0)</f>
        <v>44304</v>
      </c>
      <c r="Q969">
        <f t="shared" si="78"/>
        <v>194172</v>
      </c>
      <c r="R969" s="2">
        <f t="shared" si="79"/>
        <v>0.81422029889800229</v>
      </c>
    </row>
    <row r="970" spans="1:18" x14ac:dyDescent="0.3">
      <c r="A970" t="s">
        <v>1027</v>
      </c>
      <c r="B970" s="1">
        <v>45566</v>
      </c>
      <c r="C970" t="s">
        <v>5</v>
      </c>
      <c r="D970" t="s">
        <v>69</v>
      </c>
      <c r="E970" t="s">
        <v>28</v>
      </c>
      <c r="F970" t="s">
        <v>58</v>
      </c>
      <c r="G970" t="str">
        <f>INDEX(Lookup_Tables!$B$1:$B$7,MATCH(Cleaned_Data!F970,Lookup_Tables!$A$1:$A$7,0))</f>
        <v>Electronics</v>
      </c>
      <c r="H970" t="s">
        <v>54</v>
      </c>
      <c r="I970">
        <v>9</v>
      </c>
      <c r="J970">
        <v>10007</v>
      </c>
      <c r="L970">
        <f t="shared" si="75"/>
        <v>0</v>
      </c>
      <c r="N970">
        <f t="shared" si="76"/>
        <v>90063</v>
      </c>
      <c r="O970">
        <f t="shared" si="77"/>
        <v>90063</v>
      </c>
      <c r="P970">
        <f>I970*IFERROR(_xlfn.XLOOKUP(F970,Lookup_Tables!Product,Cost),0)</f>
        <v>25992</v>
      </c>
      <c r="Q970">
        <f t="shared" si="78"/>
        <v>64071</v>
      </c>
      <c r="R970" s="2">
        <f t="shared" si="79"/>
        <v>0.71140201858698915</v>
      </c>
    </row>
    <row r="971" spans="1:18" x14ac:dyDescent="0.3">
      <c r="A971" t="s">
        <v>1028</v>
      </c>
      <c r="B971" s="1">
        <v>45528</v>
      </c>
      <c r="C971" t="s">
        <v>5</v>
      </c>
      <c r="D971" t="s">
        <v>56</v>
      </c>
      <c r="E971" t="s">
        <v>29</v>
      </c>
      <c r="F971" t="s">
        <v>61</v>
      </c>
      <c r="G971" t="str">
        <f>INDEX(Lookup_Tables!$B$1:$B$7,MATCH(Cleaned_Data!F971,Lookup_Tables!$A$1:$A$7,0))</f>
        <v>Electronics</v>
      </c>
      <c r="H971" t="s">
        <v>54</v>
      </c>
      <c r="I971">
        <v>2</v>
      </c>
      <c r="J971">
        <v>24267</v>
      </c>
      <c r="K971">
        <v>0</v>
      </c>
      <c r="L971">
        <f t="shared" si="75"/>
        <v>0</v>
      </c>
      <c r="N971">
        <f t="shared" si="76"/>
        <v>48534</v>
      </c>
      <c r="O971">
        <f t="shared" si="77"/>
        <v>48534</v>
      </c>
      <c r="P971">
        <f>I971*IFERROR(_xlfn.XLOOKUP(F971,Lookup_Tables!Product,Cost),0)</f>
        <v>14768</v>
      </c>
      <c r="Q971">
        <f t="shared" si="78"/>
        <v>33766</v>
      </c>
      <c r="R971" s="2">
        <f t="shared" si="79"/>
        <v>0.69571846540569493</v>
      </c>
    </row>
    <row r="972" spans="1:18" x14ac:dyDescent="0.3">
      <c r="A972" t="s">
        <v>1029</v>
      </c>
      <c r="B972" s="1">
        <v>45501</v>
      </c>
      <c r="C972" t="s">
        <v>3</v>
      </c>
      <c r="D972" t="s">
        <v>69</v>
      </c>
      <c r="E972" t="s">
        <v>27</v>
      </c>
      <c r="F972" t="s">
        <v>61</v>
      </c>
      <c r="G972" t="str">
        <f>INDEX(Lookup_Tables!$B$1:$B$7,MATCH(Cleaned_Data!F972,Lookup_Tables!$A$1:$A$7,0))</f>
        <v>Electronics</v>
      </c>
      <c r="H972" t="s">
        <v>54</v>
      </c>
      <c r="I972">
        <v>9</v>
      </c>
      <c r="J972">
        <v>12571</v>
      </c>
      <c r="L972">
        <f t="shared" si="75"/>
        <v>0</v>
      </c>
      <c r="N972">
        <f t="shared" si="76"/>
        <v>113139</v>
      </c>
      <c r="O972">
        <f t="shared" si="77"/>
        <v>113139</v>
      </c>
      <c r="P972">
        <f>I972*IFERROR(_xlfn.XLOOKUP(F972,Lookup_Tables!Product,Cost),0)</f>
        <v>66456</v>
      </c>
      <c r="Q972">
        <f t="shared" si="78"/>
        <v>46683</v>
      </c>
      <c r="R972" s="2">
        <f t="shared" si="79"/>
        <v>0.41261633919338159</v>
      </c>
    </row>
    <row r="973" spans="1:18" x14ac:dyDescent="0.3">
      <c r="A973" t="s">
        <v>1030</v>
      </c>
      <c r="B973" s="1">
        <v>45395</v>
      </c>
      <c r="C973" t="s">
        <v>5</v>
      </c>
      <c r="D973" t="s">
        <v>53</v>
      </c>
      <c r="E973" t="s">
        <v>26</v>
      </c>
      <c r="F973" t="s">
        <v>50</v>
      </c>
      <c r="G973" t="str">
        <f>INDEX(Lookup_Tables!$B$1:$B$7,MATCH(Cleaned_Data!F973,Lookup_Tables!$A$1:$A$7,0))</f>
        <v>Furniture</v>
      </c>
      <c r="H973" t="s">
        <v>51</v>
      </c>
      <c r="I973">
        <v>10</v>
      </c>
      <c r="J973">
        <v>45850</v>
      </c>
      <c r="K973">
        <v>0.1</v>
      </c>
      <c r="L973">
        <f t="shared" si="75"/>
        <v>0.1</v>
      </c>
      <c r="M973">
        <v>2068</v>
      </c>
      <c r="N973">
        <f t="shared" si="76"/>
        <v>458500</v>
      </c>
      <c r="O973">
        <f t="shared" si="77"/>
        <v>412650</v>
      </c>
      <c r="P973">
        <f>I973*IFERROR(_xlfn.XLOOKUP(F973,Lookup_Tables!Product,Cost),0)</f>
        <v>132710</v>
      </c>
      <c r="Q973">
        <f t="shared" si="78"/>
        <v>279940</v>
      </c>
      <c r="R973" s="2">
        <f t="shared" si="79"/>
        <v>0.67839573488428451</v>
      </c>
    </row>
    <row r="974" spans="1:18" x14ac:dyDescent="0.3">
      <c r="A974" t="s">
        <v>1031</v>
      </c>
      <c r="B974" s="1">
        <v>45523</v>
      </c>
      <c r="C974" t="s">
        <v>3</v>
      </c>
      <c r="D974" t="s">
        <v>76</v>
      </c>
      <c r="E974" t="s">
        <v>26</v>
      </c>
      <c r="F974" t="s">
        <v>23</v>
      </c>
      <c r="G974" t="str">
        <f>INDEX(Lookup_Tables!$B$1:$B$7,MATCH(Cleaned_Data!F974,Lookup_Tables!$A$1:$A$7,0))</f>
        <v>Electronics</v>
      </c>
      <c r="H974" t="s">
        <v>54</v>
      </c>
      <c r="I974">
        <v>10</v>
      </c>
      <c r="J974">
        <v>2862</v>
      </c>
      <c r="K974">
        <v>0.1</v>
      </c>
      <c r="L974">
        <f t="shared" si="75"/>
        <v>0.1</v>
      </c>
      <c r="M974">
        <v>3893</v>
      </c>
      <c r="N974">
        <f t="shared" si="76"/>
        <v>28620</v>
      </c>
      <c r="O974">
        <f t="shared" si="77"/>
        <v>25758</v>
      </c>
      <c r="P974">
        <f>I974*IFERROR(_xlfn.XLOOKUP(F974,Lookup_Tables!Product,Cost),0)</f>
        <v>192650</v>
      </c>
      <c r="Q974">
        <f t="shared" si="78"/>
        <v>-166892</v>
      </c>
      <c r="R974" s="2">
        <f t="shared" si="79"/>
        <v>-6.4792297538628771</v>
      </c>
    </row>
    <row r="975" spans="1:18" x14ac:dyDescent="0.3">
      <c r="A975" t="s">
        <v>1032</v>
      </c>
      <c r="B975" s="1">
        <v>45483</v>
      </c>
      <c r="C975" t="s">
        <v>4</v>
      </c>
      <c r="D975" t="s">
        <v>53</v>
      </c>
      <c r="E975" t="s">
        <v>28</v>
      </c>
      <c r="F975" t="s">
        <v>22</v>
      </c>
      <c r="G975" t="str">
        <f>INDEX(Lookup_Tables!$B$1:$B$7,MATCH(Cleaned_Data!F975,Lookup_Tables!$A$1:$A$7,0))</f>
        <v>Furniture</v>
      </c>
      <c r="H975" t="s">
        <v>51</v>
      </c>
      <c r="I975">
        <v>9</v>
      </c>
      <c r="J975">
        <v>11007</v>
      </c>
      <c r="L975">
        <f t="shared" si="75"/>
        <v>0</v>
      </c>
      <c r="M975">
        <v>2696</v>
      </c>
      <c r="N975">
        <f t="shared" si="76"/>
        <v>99063</v>
      </c>
      <c r="O975">
        <f t="shared" si="77"/>
        <v>99063</v>
      </c>
      <c r="P975">
        <f>I975*IFERROR(_xlfn.XLOOKUP(F975,Lookup_Tables!Product,Cost),0)</f>
        <v>117360</v>
      </c>
      <c r="Q975">
        <f t="shared" si="78"/>
        <v>-18297</v>
      </c>
      <c r="R975" s="2">
        <f t="shared" si="79"/>
        <v>-0.18470064504406286</v>
      </c>
    </row>
    <row r="976" spans="1:18" x14ac:dyDescent="0.3">
      <c r="A976" t="s">
        <v>1033</v>
      </c>
      <c r="B976" s="1">
        <v>45386</v>
      </c>
      <c r="C976" t="s">
        <v>5</v>
      </c>
      <c r="D976" t="s">
        <v>64</v>
      </c>
      <c r="E976" t="s">
        <v>26</v>
      </c>
      <c r="F976" t="s">
        <v>22</v>
      </c>
      <c r="G976" t="str">
        <f>INDEX(Lookup_Tables!$B$1:$B$7,MATCH(Cleaned_Data!F976,Lookup_Tables!$A$1:$A$7,0))</f>
        <v>Furniture</v>
      </c>
      <c r="H976" t="s">
        <v>51</v>
      </c>
      <c r="I976">
        <v>7</v>
      </c>
      <c r="J976">
        <v>39407</v>
      </c>
      <c r="K976">
        <v>0</v>
      </c>
      <c r="L976">
        <f t="shared" si="75"/>
        <v>0</v>
      </c>
      <c r="N976">
        <f t="shared" si="76"/>
        <v>275849</v>
      </c>
      <c r="O976">
        <f t="shared" si="77"/>
        <v>275849</v>
      </c>
      <c r="P976">
        <f>I976*IFERROR(_xlfn.XLOOKUP(F976,Lookup_Tables!Product,Cost),0)</f>
        <v>91280</v>
      </c>
      <c r="Q976">
        <f t="shared" si="78"/>
        <v>184569</v>
      </c>
      <c r="R976" s="2">
        <f t="shared" si="79"/>
        <v>0.66909432334356844</v>
      </c>
    </row>
    <row r="977" spans="1:18" x14ac:dyDescent="0.3">
      <c r="A977" t="s">
        <v>1034</v>
      </c>
      <c r="B977" s="1">
        <v>45425</v>
      </c>
      <c r="C977" t="s">
        <v>4</v>
      </c>
      <c r="D977" t="s">
        <v>56</v>
      </c>
      <c r="E977" t="s">
        <v>26</v>
      </c>
      <c r="F977" t="s">
        <v>24</v>
      </c>
      <c r="G977" t="str">
        <f>INDEX(Lookup_Tables!$B$1:$B$7,MATCH(Cleaned_Data!F977,Lookup_Tables!$A$1:$A$7,0))</f>
        <v>Electronics</v>
      </c>
      <c r="H977" t="s">
        <v>54</v>
      </c>
      <c r="I977">
        <v>6</v>
      </c>
      <c r="J977">
        <v>44545</v>
      </c>
      <c r="K977">
        <v>0.1</v>
      </c>
      <c r="L977">
        <f t="shared" si="75"/>
        <v>0.1</v>
      </c>
      <c r="M977">
        <v>17047</v>
      </c>
      <c r="N977">
        <f t="shared" si="76"/>
        <v>267270</v>
      </c>
      <c r="O977">
        <f t="shared" si="77"/>
        <v>240543</v>
      </c>
      <c r="P977">
        <f>I977*IFERROR(_xlfn.XLOOKUP(F977,Lookup_Tables!Product,Cost),0)</f>
        <v>168276</v>
      </c>
      <c r="Q977">
        <f t="shared" si="78"/>
        <v>72267</v>
      </c>
      <c r="R977" s="2">
        <f t="shared" si="79"/>
        <v>0.30043277085593845</v>
      </c>
    </row>
    <row r="978" spans="1:18" x14ac:dyDescent="0.3">
      <c r="A978" t="s">
        <v>1035</v>
      </c>
      <c r="B978" s="1">
        <v>45341</v>
      </c>
      <c r="C978" t="s">
        <v>5</v>
      </c>
      <c r="D978" t="s">
        <v>69</v>
      </c>
      <c r="E978" t="s">
        <v>28</v>
      </c>
      <c r="F978" t="s">
        <v>50</v>
      </c>
      <c r="G978" t="str">
        <f>INDEX(Lookup_Tables!$B$1:$B$7,MATCH(Cleaned_Data!F978,Lookup_Tables!$A$1:$A$7,0))</f>
        <v>Furniture</v>
      </c>
      <c r="H978" t="s">
        <v>51</v>
      </c>
      <c r="I978">
        <v>4</v>
      </c>
      <c r="J978">
        <v>12177</v>
      </c>
      <c r="L978">
        <f t="shared" si="75"/>
        <v>0</v>
      </c>
      <c r="M978">
        <v>5366</v>
      </c>
      <c r="N978">
        <f t="shared" si="76"/>
        <v>48708</v>
      </c>
      <c r="O978">
        <f t="shared" si="77"/>
        <v>48708</v>
      </c>
      <c r="P978">
        <f>I978*IFERROR(_xlfn.XLOOKUP(F978,Lookup_Tables!Product,Cost),0)</f>
        <v>53084</v>
      </c>
      <c r="Q978">
        <f t="shared" si="78"/>
        <v>-4376</v>
      </c>
      <c r="R978" s="2">
        <f t="shared" si="79"/>
        <v>-8.9841504475650813E-2</v>
      </c>
    </row>
    <row r="979" spans="1:18" x14ac:dyDescent="0.3">
      <c r="A979" t="s">
        <v>1036</v>
      </c>
      <c r="B979" s="1">
        <v>45553</v>
      </c>
      <c r="C979" t="s">
        <v>3</v>
      </c>
      <c r="D979" t="s">
        <v>69</v>
      </c>
      <c r="E979" t="s">
        <v>27</v>
      </c>
      <c r="F979" t="s">
        <v>23</v>
      </c>
      <c r="G979" t="str">
        <f>INDEX(Lookup_Tables!$B$1:$B$7,MATCH(Cleaned_Data!F979,Lookup_Tables!$A$1:$A$7,0))</f>
        <v>Electronics</v>
      </c>
      <c r="H979" t="s">
        <v>54</v>
      </c>
      <c r="I979">
        <v>3</v>
      </c>
      <c r="J979">
        <v>7376</v>
      </c>
      <c r="K979">
        <v>0.1</v>
      </c>
      <c r="L979">
        <f t="shared" si="75"/>
        <v>0.1</v>
      </c>
      <c r="M979">
        <v>2664</v>
      </c>
      <c r="N979">
        <f t="shared" si="76"/>
        <v>22128</v>
      </c>
      <c r="O979">
        <f t="shared" si="77"/>
        <v>19915.2</v>
      </c>
      <c r="P979">
        <f>I979*IFERROR(_xlfn.XLOOKUP(F979,Lookup_Tables!Product,Cost),0)</f>
        <v>57795</v>
      </c>
      <c r="Q979">
        <f t="shared" si="78"/>
        <v>-37879.800000000003</v>
      </c>
      <c r="R979" s="2">
        <f t="shared" si="79"/>
        <v>-1.9020547119787901</v>
      </c>
    </row>
    <row r="980" spans="1:18" x14ac:dyDescent="0.3">
      <c r="A980" t="s">
        <v>1037</v>
      </c>
      <c r="B980" s="1">
        <v>45553</v>
      </c>
      <c r="C980" t="s">
        <v>3</v>
      </c>
      <c r="D980" t="s">
        <v>56</v>
      </c>
      <c r="E980" t="s">
        <v>25</v>
      </c>
      <c r="F980" t="s">
        <v>24</v>
      </c>
      <c r="G980" t="str">
        <f>INDEX(Lookup_Tables!$B$1:$B$7,MATCH(Cleaned_Data!F980,Lookup_Tables!$A$1:$A$7,0))</f>
        <v>Electronics</v>
      </c>
      <c r="H980" t="s">
        <v>54</v>
      </c>
      <c r="I980">
        <v>9</v>
      </c>
      <c r="J980">
        <v>3208</v>
      </c>
      <c r="K980">
        <v>0.1</v>
      </c>
      <c r="L980">
        <f t="shared" si="75"/>
        <v>0.1</v>
      </c>
      <c r="M980">
        <v>17676</v>
      </c>
      <c r="N980">
        <f t="shared" si="76"/>
        <v>28872</v>
      </c>
      <c r="O980">
        <f t="shared" si="77"/>
        <v>25984.799999999999</v>
      </c>
      <c r="P980">
        <f>I980*IFERROR(_xlfn.XLOOKUP(F980,Lookup_Tables!Product,Cost),0)</f>
        <v>252414</v>
      </c>
      <c r="Q980">
        <f t="shared" si="78"/>
        <v>-226429.2</v>
      </c>
      <c r="R980" s="2">
        <f t="shared" si="79"/>
        <v>-8.7139096702687731</v>
      </c>
    </row>
    <row r="981" spans="1:18" x14ac:dyDescent="0.3">
      <c r="A981" t="s">
        <v>1038</v>
      </c>
      <c r="B981" s="1">
        <v>45330</v>
      </c>
      <c r="C981" t="s">
        <v>4</v>
      </c>
      <c r="D981" t="s">
        <v>53</v>
      </c>
      <c r="E981" t="s">
        <v>29</v>
      </c>
      <c r="F981" t="s">
        <v>24</v>
      </c>
      <c r="G981" t="str">
        <f>INDEX(Lookup_Tables!$B$1:$B$7,MATCH(Cleaned_Data!F981,Lookup_Tables!$A$1:$A$7,0))</f>
        <v>Electronics</v>
      </c>
      <c r="H981" t="s">
        <v>54</v>
      </c>
      <c r="I981">
        <v>9</v>
      </c>
      <c r="J981">
        <v>16149</v>
      </c>
      <c r="K981">
        <v>0</v>
      </c>
      <c r="L981">
        <f t="shared" si="75"/>
        <v>0</v>
      </c>
      <c r="N981">
        <f t="shared" si="76"/>
        <v>145341</v>
      </c>
      <c r="O981">
        <f t="shared" si="77"/>
        <v>145341</v>
      </c>
      <c r="P981">
        <f>I981*IFERROR(_xlfn.XLOOKUP(F981,Lookup_Tables!Product,Cost),0)</f>
        <v>252414</v>
      </c>
      <c r="Q981">
        <f t="shared" si="78"/>
        <v>-107073</v>
      </c>
      <c r="R981" s="2">
        <f t="shared" si="79"/>
        <v>-0.73670196296984336</v>
      </c>
    </row>
    <row r="982" spans="1:18" x14ac:dyDescent="0.3">
      <c r="A982" t="s">
        <v>1039</v>
      </c>
      <c r="B982" s="1">
        <v>45404</v>
      </c>
      <c r="C982" t="s">
        <v>5</v>
      </c>
      <c r="D982" t="s">
        <v>76</v>
      </c>
      <c r="E982" t="s">
        <v>26</v>
      </c>
      <c r="F982" t="s">
        <v>23</v>
      </c>
      <c r="G982" t="str">
        <f>INDEX(Lookup_Tables!$B$1:$B$7,MATCH(Cleaned_Data!F982,Lookup_Tables!$A$1:$A$7,0))</f>
        <v>Electronics</v>
      </c>
      <c r="H982" t="s">
        <v>54</v>
      </c>
      <c r="I982">
        <v>7</v>
      </c>
      <c r="J982">
        <v>42578</v>
      </c>
      <c r="K982">
        <v>0.05</v>
      </c>
      <c r="L982">
        <f t="shared" si="75"/>
        <v>0.05</v>
      </c>
      <c r="N982">
        <f t="shared" si="76"/>
        <v>298046</v>
      </c>
      <c r="O982">
        <f t="shared" si="77"/>
        <v>283143.7</v>
      </c>
      <c r="P982">
        <f>I982*IFERROR(_xlfn.XLOOKUP(F982,Lookup_Tables!Product,Cost),0)</f>
        <v>134855</v>
      </c>
      <c r="Q982">
        <f t="shared" si="78"/>
        <v>148288.70000000001</v>
      </c>
      <c r="R982" s="2">
        <f t="shared" si="79"/>
        <v>0.52372240667901138</v>
      </c>
    </row>
    <row r="983" spans="1:18" x14ac:dyDescent="0.3">
      <c r="A983" t="s">
        <v>1040</v>
      </c>
      <c r="B983" s="1">
        <v>45618</v>
      </c>
      <c r="C983" t="s">
        <v>3</v>
      </c>
      <c r="D983" t="s">
        <v>69</v>
      </c>
      <c r="E983" t="s">
        <v>25</v>
      </c>
      <c r="F983" t="s">
        <v>61</v>
      </c>
      <c r="G983" t="str">
        <f>INDEX(Lookup_Tables!$B$1:$B$7,MATCH(Cleaned_Data!F983,Lookup_Tables!$A$1:$A$7,0))</f>
        <v>Electronics</v>
      </c>
      <c r="H983" t="s">
        <v>54</v>
      </c>
      <c r="I983">
        <v>10</v>
      </c>
      <c r="J983">
        <v>42117</v>
      </c>
      <c r="K983">
        <v>0</v>
      </c>
      <c r="L983">
        <f t="shared" si="75"/>
        <v>0</v>
      </c>
      <c r="N983">
        <f t="shared" si="76"/>
        <v>421170</v>
      </c>
      <c r="O983">
        <f t="shared" si="77"/>
        <v>421170</v>
      </c>
      <c r="P983">
        <f>I983*IFERROR(_xlfn.XLOOKUP(F983,Lookup_Tables!Product,Cost),0)</f>
        <v>73840</v>
      </c>
      <c r="Q983">
        <f t="shared" si="78"/>
        <v>347330</v>
      </c>
      <c r="R983" s="2">
        <f t="shared" si="79"/>
        <v>0.82467887076477431</v>
      </c>
    </row>
    <row r="984" spans="1:18" x14ac:dyDescent="0.3">
      <c r="A984" t="s">
        <v>1041</v>
      </c>
      <c r="B984" s="1">
        <v>45608</v>
      </c>
      <c r="C984" t="s">
        <v>5</v>
      </c>
      <c r="D984" t="s">
        <v>56</v>
      </c>
      <c r="E984" t="s">
        <v>28</v>
      </c>
      <c r="F984" t="s">
        <v>24</v>
      </c>
      <c r="G984" t="str">
        <f>INDEX(Lookup_Tables!$B$1:$B$7,MATCH(Cleaned_Data!F984,Lookup_Tables!$A$1:$A$7,0))</f>
        <v>Electronics</v>
      </c>
      <c r="H984" t="s">
        <v>54</v>
      </c>
      <c r="I984">
        <v>4</v>
      </c>
      <c r="J984">
        <v>23171</v>
      </c>
      <c r="L984">
        <f t="shared" si="75"/>
        <v>0</v>
      </c>
      <c r="N984">
        <f t="shared" si="76"/>
        <v>92684</v>
      </c>
      <c r="O984">
        <f t="shared" si="77"/>
        <v>92684</v>
      </c>
      <c r="P984">
        <f>I984*IFERROR(_xlfn.XLOOKUP(F984,Lookup_Tables!Product,Cost),0)</f>
        <v>112184</v>
      </c>
      <c r="Q984">
        <f t="shared" si="78"/>
        <v>-19500</v>
      </c>
      <c r="R984" s="2">
        <f t="shared" si="79"/>
        <v>-0.21039230072072851</v>
      </c>
    </row>
    <row r="985" spans="1:18" x14ac:dyDescent="0.3">
      <c r="A985" t="s">
        <v>1042</v>
      </c>
      <c r="B985" s="1">
        <v>45576</v>
      </c>
      <c r="C985" t="s">
        <v>3</v>
      </c>
      <c r="D985" t="s">
        <v>56</v>
      </c>
      <c r="E985" t="s">
        <v>25</v>
      </c>
      <c r="F985" t="s">
        <v>23</v>
      </c>
      <c r="G985" t="str">
        <f>INDEX(Lookup_Tables!$B$1:$B$7,MATCH(Cleaned_Data!F985,Lookup_Tables!$A$1:$A$7,0))</f>
        <v>Electronics</v>
      </c>
      <c r="H985" t="s">
        <v>54</v>
      </c>
      <c r="I985">
        <v>6</v>
      </c>
      <c r="J985">
        <v>45708</v>
      </c>
      <c r="K985">
        <v>0</v>
      </c>
      <c r="L985">
        <f t="shared" si="75"/>
        <v>0</v>
      </c>
      <c r="N985">
        <f t="shared" si="76"/>
        <v>274248</v>
      </c>
      <c r="O985">
        <f t="shared" si="77"/>
        <v>274248</v>
      </c>
      <c r="P985">
        <f>I985*IFERROR(_xlfn.XLOOKUP(F985,Lookup_Tables!Product,Cost),0)</f>
        <v>115590</v>
      </c>
      <c r="Q985">
        <f t="shared" si="78"/>
        <v>158658</v>
      </c>
      <c r="R985" s="2">
        <f t="shared" si="79"/>
        <v>0.57852017152358448</v>
      </c>
    </row>
    <row r="986" spans="1:18" x14ac:dyDescent="0.3">
      <c r="A986" t="s">
        <v>1043</v>
      </c>
      <c r="B986" s="1">
        <v>45428</v>
      </c>
      <c r="C986" t="s">
        <v>3</v>
      </c>
      <c r="D986" t="s">
        <v>64</v>
      </c>
      <c r="E986" t="s">
        <v>28</v>
      </c>
      <c r="F986" t="s">
        <v>22</v>
      </c>
      <c r="G986" t="str">
        <f>INDEX(Lookup_Tables!$B$1:$B$7,MATCH(Cleaned_Data!F986,Lookup_Tables!$A$1:$A$7,0))</f>
        <v>Furniture</v>
      </c>
      <c r="H986" t="s">
        <v>51</v>
      </c>
      <c r="I986">
        <v>9</v>
      </c>
      <c r="J986">
        <v>41435</v>
      </c>
      <c r="K986">
        <v>0</v>
      </c>
      <c r="L986">
        <f t="shared" si="75"/>
        <v>0</v>
      </c>
      <c r="M986">
        <v>20244</v>
      </c>
      <c r="N986">
        <f t="shared" si="76"/>
        <v>372915</v>
      </c>
      <c r="O986">
        <f t="shared" si="77"/>
        <v>372915</v>
      </c>
      <c r="P986">
        <f>I986*IFERROR(_xlfn.XLOOKUP(F986,Lookup_Tables!Product,Cost),0)</f>
        <v>117360</v>
      </c>
      <c r="Q986">
        <f t="shared" si="78"/>
        <v>255555</v>
      </c>
      <c r="R986" s="2">
        <f t="shared" si="79"/>
        <v>0.68529021358754671</v>
      </c>
    </row>
    <row r="987" spans="1:18" x14ac:dyDescent="0.3">
      <c r="A987" t="s">
        <v>1044</v>
      </c>
      <c r="B987" s="1">
        <v>45476</v>
      </c>
      <c r="C987" t="s">
        <v>5</v>
      </c>
      <c r="D987" t="s">
        <v>56</v>
      </c>
      <c r="E987" t="s">
        <v>27</v>
      </c>
      <c r="F987" t="s">
        <v>22</v>
      </c>
      <c r="G987" t="str">
        <f>INDEX(Lookup_Tables!$B$1:$B$7,MATCH(Cleaned_Data!F987,Lookup_Tables!$A$1:$A$7,0))</f>
        <v>Furniture</v>
      </c>
      <c r="H987" t="s">
        <v>51</v>
      </c>
      <c r="I987">
        <v>2</v>
      </c>
      <c r="J987">
        <v>19098</v>
      </c>
      <c r="K987">
        <v>0.05</v>
      </c>
      <c r="L987">
        <f t="shared" si="75"/>
        <v>0.05</v>
      </c>
      <c r="N987">
        <f t="shared" si="76"/>
        <v>38196</v>
      </c>
      <c r="O987">
        <f t="shared" si="77"/>
        <v>36286.199999999997</v>
      </c>
      <c r="P987">
        <f>I987*IFERROR(_xlfn.XLOOKUP(F987,Lookup_Tables!Product,Cost),0)</f>
        <v>26080</v>
      </c>
      <c r="Q987">
        <f t="shared" si="78"/>
        <v>10206.199999999997</v>
      </c>
      <c r="R987" s="2">
        <f t="shared" si="79"/>
        <v>0.28126946332214448</v>
      </c>
    </row>
    <row r="988" spans="1:18" x14ac:dyDescent="0.3">
      <c r="A988" t="s">
        <v>1045</v>
      </c>
      <c r="B988" s="1">
        <v>45370</v>
      </c>
      <c r="C988" t="s">
        <v>4</v>
      </c>
      <c r="D988" t="s">
        <v>53</v>
      </c>
      <c r="E988" t="s">
        <v>28</v>
      </c>
      <c r="F988" t="s">
        <v>24</v>
      </c>
      <c r="G988" t="str">
        <f>INDEX(Lookup_Tables!$B$1:$B$7,MATCH(Cleaned_Data!F988,Lookup_Tables!$A$1:$A$7,0))</f>
        <v>Electronics</v>
      </c>
      <c r="H988" t="s">
        <v>54</v>
      </c>
      <c r="I988">
        <v>7</v>
      </c>
      <c r="J988">
        <v>11430</v>
      </c>
      <c r="L988">
        <f t="shared" si="75"/>
        <v>0</v>
      </c>
      <c r="N988">
        <f t="shared" si="76"/>
        <v>80010</v>
      </c>
      <c r="O988">
        <f t="shared" si="77"/>
        <v>80010</v>
      </c>
      <c r="P988">
        <f>I988*IFERROR(_xlfn.XLOOKUP(F988,Lookup_Tables!Product,Cost),0)</f>
        <v>196322</v>
      </c>
      <c r="Q988">
        <f t="shared" si="78"/>
        <v>-116312</v>
      </c>
      <c r="R988" s="2">
        <f t="shared" si="79"/>
        <v>-1.4537182852143482</v>
      </c>
    </row>
    <row r="989" spans="1:18" x14ac:dyDescent="0.3">
      <c r="A989" t="s">
        <v>1046</v>
      </c>
      <c r="B989" s="1">
        <v>45488</v>
      </c>
      <c r="C989" t="s">
        <v>3</v>
      </c>
      <c r="D989" t="s">
        <v>69</v>
      </c>
      <c r="E989" t="s">
        <v>26</v>
      </c>
      <c r="F989" t="s">
        <v>61</v>
      </c>
      <c r="G989" t="str">
        <f>INDEX(Lookup_Tables!$B$1:$B$7,MATCH(Cleaned_Data!F989,Lookup_Tables!$A$1:$A$7,0))</f>
        <v>Electronics</v>
      </c>
      <c r="H989" t="s">
        <v>54</v>
      </c>
      <c r="I989">
        <v>10</v>
      </c>
      <c r="J989">
        <v>8474</v>
      </c>
      <c r="K989">
        <v>0</v>
      </c>
      <c r="L989">
        <f t="shared" si="75"/>
        <v>0</v>
      </c>
      <c r="N989">
        <f t="shared" si="76"/>
        <v>84740</v>
      </c>
      <c r="O989">
        <f t="shared" si="77"/>
        <v>84740</v>
      </c>
      <c r="P989">
        <f>I989*IFERROR(_xlfn.XLOOKUP(F989,Lookup_Tables!Product,Cost),0)</f>
        <v>73840</v>
      </c>
      <c r="Q989">
        <f t="shared" si="78"/>
        <v>10900</v>
      </c>
      <c r="R989" s="2">
        <f t="shared" si="79"/>
        <v>0.12862874675477934</v>
      </c>
    </row>
    <row r="990" spans="1:18" x14ac:dyDescent="0.3">
      <c r="A990" t="s">
        <v>1047</v>
      </c>
      <c r="B990" s="1">
        <v>45579</v>
      </c>
      <c r="C990" t="s">
        <v>6</v>
      </c>
      <c r="D990" t="s">
        <v>56</v>
      </c>
      <c r="E990" t="s">
        <v>28</v>
      </c>
      <c r="F990" t="s">
        <v>58</v>
      </c>
      <c r="G990" t="str">
        <f>INDEX(Lookup_Tables!$B$1:$B$7,MATCH(Cleaned_Data!F990,Lookup_Tables!$A$1:$A$7,0))</f>
        <v>Electronics</v>
      </c>
      <c r="H990" t="s">
        <v>54</v>
      </c>
      <c r="I990">
        <v>4</v>
      </c>
      <c r="J990">
        <v>13622</v>
      </c>
      <c r="K990">
        <v>0</v>
      </c>
      <c r="L990">
        <f t="shared" si="75"/>
        <v>0</v>
      </c>
      <c r="M990">
        <v>29153</v>
      </c>
      <c r="N990">
        <f t="shared" si="76"/>
        <v>54488</v>
      </c>
      <c r="O990">
        <f t="shared" si="77"/>
        <v>54488</v>
      </c>
      <c r="P990">
        <f>I990*IFERROR(_xlfn.XLOOKUP(F990,Lookup_Tables!Product,Cost),0)</f>
        <v>11552</v>
      </c>
      <c r="Q990">
        <f t="shared" si="78"/>
        <v>42936</v>
      </c>
      <c r="R990" s="2">
        <f t="shared" si="79"/>
        <v>0.78799001615034503</v>
      </c>
    </row>
    <row r="991" spans="1:18" x14ac:dyDescent="0.3">
      <c r="A991" t="s">
        <v>1048</v>
      </c>
      <c r="B991" s="1">
        <v>45363</v>
      </c>
      <c r="C991" t="s">
        <v>4</v>
      </c>
      <c r="D991" t="s">
        <v>49</v>
      </c>
      <c r="E991" t="s">
        <v>27</v>
      </c>
      <c r="F991" t="s">
        <v>24</v>
      </c>
      <c r="G991" t="str">
        <f>INDEX(Lookup_Tables!$B$1:$B$7,MATCH(Cleaned_Data!F991,Lookup_Tables!$A$1:$A$7,0))</f>
        <v>Electronics</v>
      </c>
      <c r="H991" t="s">
        <v>54</v>
      </c>
      <c r="I991">
        <v>7</v>
      </c>
      <c r="J991">
        <v>22512</v>
      </c>
      <c r="K991">
        <v>0.1</v>
      </c>
      <c r="L991">
        <f t="shared" si="75"/>
        <v>0.1</v>
      </c>
      <c r="N991">
        <f t="shared" si="76"/>
        <v>157584</v>
      </c>
      <c r="O991">
        <f t="shared" si="77"/>
        <v>141825.60000000001</v>
      </c>
      <c r="P991">
        <f>I991*IFERROR(_xlfn.XLOOKUP(F991,Lookup_Tables!Product,Cost),0)</f>
        <v>196322</v>
      </c>
      <c r="Q991">
        <f t="shared" si="78"/>
        <v>-54496.399999999994</v>
      </c>
      <c r="R991" s="2">
        <f t="shared" si="79"/>
        <v>-0.38424938798073122</v>
      </c>
    </row>
    <row r="992" spans="1:18" x14ac:dyDescent="0.3">
      <c r="A992" t="s">
        <v>1049</v>
      </c>
      <c r="B992" s="1">
        <v>45351</v>
      </c>
      <c r="C992" t="s">
        <v>4</v>
      </c>
      <c r="D992" t="s">
        <v>69</v>
      </c>
      <c r="E992" t="s">
        <v>25</v>
      </c>
      <c r="F992" t="s">
        <v>22</v>
      </c>
      <c r="G992" t="str">
        <f>INDEX(Lookup_Tables!$B$1:$B$7,MATCH(Cleaned_Data!F992,Lookup_Tables!$A$1:$A$7,0))</f>
        <v>Furniture</v>
      </c>
      <c r="H992" t="s">
        <v>51</v>
      </c>
      <c r="I992">
        <v>8</v>
      </c>
      <c r="J992">
        <v>42298</v>
      </c>
      <c r="K992">
        <v>0.1</v>
      </c>
      <c r="L992">
        <f t="shared" si="75"/>
        <v>0.1</v>
      </c>
      <c r="M992">
        <v>8454</v>
      </c>
      <c r="N992">
        <f t="shared" si="76"/>
        <v>338384</v>
      </c>
      <c r="O992">
        <f t="shared" si="77"/>
        <v>304545.59999999998</v>
      </c>
      <c r="P992">
        <f>I992*IFERROR(_xlfn.XLOOKUP(F992,Lookup_Tables!Product,Cost),0)</f>
        <v>104320</v>
      </c>
      <c r="Q992">
        <f t="shared" si="78"/>
        <v>200225.59999999998</v>
      </c>
      <c r="R992" s="2">
        <f t="shared" si="79"/>
        <v>0.65745688002059455</v>
      </c>
    </row>
    <row r="993" spans="1:18" x14ac:dyDescent="0.3">
      <c r="A993" t="s">
        <v>1050</v>
      </c>
      <c r="B993" s="1">
        <v>45612</v>
      </c>
      <c r="C993" t="s">
        <v>6</v>
      </c>
      <c r="D993" t="s">
        <v>76</v>
      </c>
      <c r="E993" t="s">
        <v>27</v>
      </c>
      <c r="F993" t="s">
        <v>58</v>
      </c>
      <c r="G993" t="str">
        <f>INDEX(Lookup_Tables!$B$1:$B$7,MATCH(Cleaned_Data!F993,Lookup_Tables!$A$1:$A$7,0))</f>
        <v>Electronics</v>
      </c>
      <c r="H993" t="s">
        <v>54</v>
      </c>
      <c r="I993">
        <v>3</v>
      </c>
      <c r="J993">
        <v>2302</v>
      </c>
      <c r="L993">
        <f t="shared" si="75"/>
        <v>0</v>
      </c>
      <c r="N993">
        <f t="shared" si="76"/>
        <v>6906</v>
      </c>
      <c r="O993">
        <f t="shared" si="77"/>
        <v>6906</v>
      </c>
      <c r="P993">
        <f>I993*IFERROR(_xlfn.XLOOKUP(F993,Lookup_Tables!Product,Cost),0)</f>
        <v>8664</v>
      </c>
      <c r="Q993">
        <f t="shared" si="78"/>
        <v>-1758</v>
      </c>
      <c r="R993" s="2">
        <f t="shared" si="79"/>
        <v>-0.25456125108601219</v>
      </c>
    </row>
    <row r="994" spans="1:18" x14ac:dyDescent="0.3">
      <c r="A994" t="s">
        <v>1051</v>
      </c>
      <c r="B994" s="1">
        <v>45460</v>
      </c>
      <c r="C994" t="s">
        <v>6</v>
      </c>
      <c r="D994" t="s">
        <v>53</v>
      </c>
      <c r="E994" t="s">
        <v>29</v>
      </c>
      <c r="F994" t="s">
        <v>22</v>
      </c>
      <c r="G994" t="str">
        <f>INDEX(Lookup_Tables!$B$1:$B$7,MATCH(Cleaned_Data!F994,Lookup_Tables!$A$1:$A$7,0))</f>
        <v>Furniture</v>
      </c>
      <c r="H994" t="s">
        <v>51</v>
      </c>
      <c r="I994">
        <v>4</v>
      </c>
      <c r="J994">
        <v>21041</v>
      </c>
      <c r="K994">
        <v>0</v>
      </c>
      <c r="L994">
        <f t="shared" si="75"/>
        <v>0</v>
      </c>
      <c r="M994">
        <v>25106</v>
      </c>
      <c r="N994">
        <f t="shared" si="76"/>
        <v>84164</v>
      </c>
      <c r="O994">
        <f t="shared" si="77"/>
        <v>84164</v>
      </c>
      <c r="P994">
        <f>I994*IFERROR(_xlfn.XLOOKUP(F994,Lookup_Tables!Product,Cost),0)</f>
        <v>52160</v>
      </c>
      <c r="Q994">
        <f t="shared" si="78"/>
        <v>32004</v>
      </c>
      <c r="R994" s="2">
        <f t="shared" si="79"/>
        <v>0.38025759231975664</v>
      </c>
    </row>
    <row r="995" spans="1:18" x14ac:dyDescent="0.3">
      <c r="A995" t="s">
        <v>1052</v>
      </c>
      <c r="B995" s="1">
        <v>45513</v>
      </c>
      <c r="C995" t="s">
        <v>6</v>
      </c>
      <c r="D995" t="s">
        <v>49</v>
      </c>
      <c r="E995" t="s">
        <v>27</v>
      </c>
      <c r="F995" t="s">
        <v>61</v>
      </c>
      <c r="G995" t="str">
        <f>INDEX(Lookup_Tables!$B$1:$B$7,MATCH(Cleaned_Data!F995,Lookup_Tables!$A$1:$A$7,0))</f>
        <v>Electronics</v>
      </c>
      <c r="H995" t="s">
        <v>54</v>
      </c>
      <c r="I995">
        <v>5</v>
      </c>
      <c r="J995">
        <v>8789</v>
      </c>
      <c r="K995">
        <v>0</v>
      </c>
      <c r="L995">
        <f t="shared" si="75"/>
        <v>0</v>
      </c>
      <c r="N995">
        <f t="shared" si="76"/>
        <v>43945</v>
      </c>
      <c r="O995">
        <f t="shared" si="77"/>
        <v>43945</v>
      </c>
      <c r="P995">
        <f>I995*IFERROR(_xlfn.XLOOKUP(F995,Lookup_Tables!Product,Cost),0)</f>
        <v>36920</v>
      </c>
      <c r="Q995">
        <f t="shared" si="78"/>
        <v>7025</v>
      </c>
      <c r="R995" s="2">
        <f t="shared" si="79"/>
        <v>0.15985891455228127</v>
      </c>
    </row>
    <row r="996" spans="1:18" x14ac:dyDescent="0.3">
      <c r="A996" t="s">
        <v>1053</v>
      </c>
      <c r="B996" s="1">
        <v>45583</v>
      </c>
      <c r="C996" t="s">
        <v>6</v>
      </c>
      <c r="D996" t="s">
        <v>76</v>
      </c>
      <c r="E996" t="s">
        <v>28</v>
      </c>
      <c r="F996" t="s">
        <v>24</v>
      </c>
      <c r="G996" t="str">
        <f>INDEX(Lookup_Tables!$B$1:$B$7,MATCH(Cleaned_Data!F996,Lookup_Tables!$A$1:$A$7,0))</f>
        <v>Electronics</v>
      </c>
      <c r="H996" t="s">
        <v>54</v>
      </c>
      <c r="I996">
        <v>7</v>
      </c>
      <c r="J996">
        <v>39046</v>
      </c>
      <c r="K996">
        <v>0.1</v>
      </c>
      <c r="L996">
        <f t="shared" si="75"/>
        <v>0.1</v>
      </c>
      <c r="N996">
        <f t="shared" si="76"/>
        <v>273322</v>
      </c>
      <c r="O996">
        <f t="shared" si="77"/>
        <v>245989.8</v>
      </c>
      <c r="P996">
        <f>I996*IFERROR(_xlfn.XLOOKUP(F996,Lookup_Tables!Product,Cost),0)</f>
        <v>196322</v>
      </c>
      <c r="Q996">
        <f t="shared" si="78"/>
        <v>49667.799999999988</v>
      </c>
      <c r="R996" s="2">
        <f t="shared" si="79"/>
        <v>0.20190999789422159</v>
      </c>
    </row>
    <row r="997" spans="1:18" x14ac:dyDescent="0.3">
      <c r="A997" t="s">
        <v>1054</v>
      </c>
      <c r="B997" s="1">
        <v>45602</v>
      </c>
      <c r="C997" t="s">
        <v>6</v>
      </c>
      <c r="D997" t="s">
        <v>56</v>
      </c>
      <c r="E997" t="s">
        <v>29</v>
      </c>
      <c r="F997" t="s">
        <v>24</v>
      </c>
      <c r="G997" t="str">
        <f>INDEX(Lookup_Tables!$B$1:$B$7,MATCH(Cleaned_Data!F997,Lookup_Tables!$A$1:$A$7,0))</f>
        <v>Electronics</v>
      </c>
      <c r="H997" t="s">
        <v>54</v>
      </c>
      <c r="I997">
        <v>5</v>
      </c>
      <c r="J997">
        <v>28936</v>
      </c>
      <c r="K997">
        <v>0</v>
      </c>
      <c r="L997">
        <f t="shared" si="75"/>
        <v>0</v>
      </c>
      <c r="M997">
        <v>5165</v>
      </c>
      <c r="N997">
        <f t="shared" si="76"/>
        <v>144680</v>
      </c>
      <c r="O997">
        <f t="shared" si="77"/>
        <v>144680</v>
      </c>
      <c r="P997">
        <f>I997*IFERROR(_xlfn.XLOOKUP(F997,Lookup_Tables!Product,Cost),0)</f>
        <v>140230</v>
      </c>
      <c r="Q997">
        <f t="shared" si="78"/>
        <v>4450</v>
      </c>
      <c r="R997" s="2">
        <f t="shared" si="79"/>
        <v>3.0757533867846281E-2</v>
      </c>
    </row>
    <row r="998" spans="1:18" x14ac:dyDescent="0.3">
      <c r="A998" t="s">
        <v>1055</v>
      </c>
      <c r="B998" s="1">
        <v>45458</v>
      </c>
      <c r="C998" t="s">
        <v>6</v>
      </c>
      <c r="D998" t="s">
        <v>53</v>
      </c>
      <c r="E998" t="s">
        <v>29</v>
      </c>
      <c r="F998" t="s">
        <v>23</v>
      </c>
      <c r="G998" t="str">
        <f>INDEX(Lookup_Tables!$B$1:$B$7,MATCH(Cleaned_Data!F998,Lookup_Tables!$A$1:$A$7,0))</f>
        <v>Electronics</v>
      </c>
      <c r="H998" t="s">
        <v>54</v>
      </c>
      <c r="I998">
        <v>5</v>
      </c>
      <c r="J998">
        <v>28430</v>
      </c>
      <c r="K998">
        <v>0.1</v>
      </c>
      <c r="L998">
        <f t="shared" si="75"/>
        <v>0.1</v>
      </c>
      <c r="M998">
        <v>17430</v>
      </c>
      <c r="N998">
        <f t="shared" si="76"/>
        <v>142150</v>
      </c>
      <c r="O998">
        <f t="shared" si="77"/>
        <v>127935</v>
      </c>
      <c r="P998">
        <f>I998*IFERROR(_xlfn.XLOOKUP(F998,Lookup_Tables!Product,Cost),0)</f>
        <v>96325</v>
      </c>
      <c r="Q998">
        <f t="shared" si="78"/>
        <v>31610</v>
      </c>
      <c r="R998" s="2">
        <f t="shared" si="79"/>
        <v>0.2470785945988197</v>
      </c>
    </row>
    <row r="999" spans="1:18" x14ac:dyDescent="0.3">
      <c r="A999" t="s">
        <v>1056</v>
      </c>
      <c r="B999" s="1">
        <v>45603</v>
      </c>
      <c r="C999" t="s">
        <v>3</v>
      </c>
      <c r="D999" t="s">
        <v>53</v>
      </c>
      <c r="E999" t="s">
        <v>29</v>
      </c>
      <c r="F999" t="s">
        <v>58</v>
      </c>
      <c r="G999" t="str">
        <f>INDEX(Lookup_Tables!$B$1:$B$7,MATCH(Cleaned_Data!F999,Lookup_Tables!$A$1:$A$7,0))</f>
        <v>Electronics</v>
      </c>
      <c r="H999" t="s">
        <v>54</v>
      </c>
      <c r="I999">
        <v>2</v>
      </c>
      <c r="J999">
        <v>14971</v>
      </c>
      <c r="K999">
        <v>0.05</v>
      </c>
      <c r="L999">
        <f t="shared" si="75"/>
        <v>0.05</v>
      </c>
      <c r="N999">
        <f t="shared" si="76"/>
        <v>29942</v>
      </c>
      <c r="O999">
        <f t="shared" si="77"/>
        <v>28444.9</v>
      </c>
      <c r="P999">
        <f>I999*IFERROR(_xlfn.XLOOKUP(F999,Lookup_Tables!Product,Cost),0)</f>
        <v>5776</v>
      </c>
      <c r="Q999">
        <f t="shared" si="78"/>
        <v>22668.9</v>
      </c>
      <c r="R999" s="2">
        <f t="shared" si="79"/>
        <v>0.79694075212076687</v>
      </c>
    </row>
    <row r="1000" spans="1:18" x14ac:dyDescent="0.3">
      <c r="A1000" t="s">
        <v>1057</v>
      </c>
      <c r="B1000" s="1">
        <v>45310</v>
      </c>
      <c r="C1000" t="s">
        <v>6</v>
      </c>
      <c r="D1000" t="s">
        <v>49</v>
      </c>
      <c r="E1000" t="s">
        <v>29</v>
      </c>
      <c r="F1000" t="s">
        <v>50</v>
      </c>
      <c r="G1000" t="str">
        <f>INDEX(Lookup_Tables!$B$1:$B$7,MATCH(Cleaned_Data!F1000,Lookup_Tables!$A$1:$A$7,0))</f>
        <v>Furniture</v>
      </c>
      <c r="H1000" t="s">
        <v>51</v>
      </c>
      <c r="I1000">
        <v>6</v>
      </c>
      <c r="J1000">
        <v>38354</v>
      </c>
      <c r="L1000">
        <f t="shared" si="75"/>
        <v>0</v>
      </c>
      <c r="N1000">
        <f t="shared" si="76"/>
        <v>230124</v>
      </c>
      <c r="O1000">
        <f t="shared" si="77"/>
        <v>230124</v>
      </c>
      <c r="P1000">
        <f>I1000*IFERROR(_xlfn.XLOOKUP(F1000,Lookup_Tables!Product,Cost),0)</f>
        <v>79626</v>
      </c>
      <c r="Q1000">
        <f t="shared" si="78"/>
        <v>150498</v>
      </c>
      <c r="R1000" s="2">
        <f t="shared" si="79"/>
        <v>0.6539865463836888</v>
      </c>
    </row>
    <row r="1001" spans="1:18" x14ac:dyDescent="0.3">
      <c r="A1001" t="s">
        <v>1058</v>
      </c>
      <c r="B1001" s="1">
        <v>45444</v>
      </c>
      <c r="C1001" t="s">
        <v>5</v>
      </c>
      <c r="D1001" t="s">
        <v>64</v>
      </c>
      <c r="E1001" t="s">
        <v>27</v>
      </c>
      <c r="F1001" t="s">
        <v>22</v>
      </c>
      <c r="G1001" t="str">
        <f>INDEX(Lookup_Tables!$B$1:$B$7,MATCH(Cleaned_Data!F1001,Lookup_Tables!$A$1:$A$7,0))</f>
        <v>Furniture</v>
      </c>
      <c r="H1001" t="s">
        <v>51</v>
      </c>
      <c r="I1001">
        <v>1</v>
      </c>
      <c r="J1001">
        <v>7888</v>
      </c>
      <c r="L1001">
        <f t="shared" si="75"/>
        <v>0</v>
      </c>
      <c r="N1001">
        <f t="shared" si="76"/>
        <v>7888</v>
      </c>
      <c r="O1001">
        <f t="shared" si="77"/>
        <v>7888</v>
      </c>
      <c r="P1001">
        <f>I1001*IFERROR(_xlfn.XLOOKUP(F1001,Lookup_Tables!Product,Cost),0)</f>
        <v>13040</v>
      </c>
      <c r="Q1001">
        <f t="shared" si="78"/>
        <v>-5152</v>
      </c>
      <c r="R1001" s="2">
        <f t="shared" si="79"/>
        <v>-0.65314401622718055</v>
      </c>
    </row>
  </sheetData>
  <conditionalFormatting sqref="N1:N1001">
    <cfRule type="top10" dxfId="2" priority="2" rank="10"/>
  </conditionalFormatting>
  <conditionalFormatting sqref="Q2:Q1001">
    <cfRule type="cellIs" dxfId="1" priority="4" operator="greaterThan">
      <formula>0</formula>
    </cfRule>
    <cfRule type="cellIs" dxfId="0" priority="5" operator="lessThan">
      <formula>0</formula>
    </cfRule>
  </conditionalFormatting>
  <conditionalFormatting sqref="R1:R1001">
    <cfRule type="colorScale" priority="3">
      <colorScale>
        <cfvo type="min"/>
        <cfvo type="percentile" val="50"/>
        <cfvo type="max"/>
        <color rgb="FFF8696B"/>
        <color rgb="FFFFEB84"/>
        <color rgb="FF63BE7B"/>
      </colorScale>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workbookViewId="0">
      <selection activeCell="G2" sqref="G2"/>
    </sheetView>
  </sheetViews>
  <sheetFormatPr defaultRowHeight="14.4" x14ac:dyDescent="0.3"/>
  <cols>
    <col min="1" max="1" width="8.6640625" bestFit="1" customWidth="1"/>
    <col min="2" max="2" width="17" bestFit="1" customWidth="1"/>
    <col min="3" max="3" width="6.5546875" bestFit="1" customWidth="1"/>
    <col min="4" max="4" width="5.33203125" bestFit="1" customWidth="1"/>
    <col min="5" max="5" width="10.6640625" bestFit="1" customWidth="1"/>
    <col min="6" max="6" width="7.6640625" bestFit="1" customWidth="1"/>
    <col min="7" max="7" width="9.88671875" bestFit="1" customWidth="1"/>
    <col min="8" max="8" width="8" bestFit="1" customWidth="1"/>
    <col min="10" max="10" width="8.109375" bestFit="1" customWidth="1"/>
    <col min="11" max="11" width="9.109375" bestFit="1" customWidth="1"/>
  </cols>
  <sheetData>
    <row r="1" spans="1:11" x14ac:dyDescent="0.3">
      <c r="A1" t="s">
        <v>31</v>
      </c>
      <c r="B1" t="s">
        <v>32</v>
      </c>
      <c r="C1" t="s">
        <v>0</v>
      </c>
      <c r="D1" t="s">
        <v>33</v>
      </c>
      <c r="E1" t="s">
        <v>34</v>
      </c>
      <c r="F1" t="s">
        <v>35</v>
      </c>
      <c r="G1" t="s">
        <v>37</v>
      </c>
      <c r="H1" t="s">
        <v>38</v>
      </c>
      <c r="I1" t="s">
        <v>39</v>
      </c>
      <c r="J1" t="s">
        <v>40</v>
      </c>
      <c r="K1" t="s">
        <v>42</v>
      </c>
    </row>
    <row r="2" spans="1:11" x14ac:dyDescent="0.3">
      <c r="A2" t="s">
        <v>48</v>
      </c>
      <c r="B2" s="1">
        <v>45503</v>
      </c>
      <c r="C2" t="s">
        <v>4</v>
      </c>
      <c r="D2" t="s">
        <v>49</v>
      </c>
      <c r="E2" t="s">
        <v>25</v>
      </c>
      <c r="F2" t="s">
        <v>50</v>
      </c>
      <c r="G2" t="s">
        <v>51</v>
      </c>
      <c r="H2">
        <v>8</v>
      </c>
      <c r="I2">
        <v>25761</v>
      </c>
      <c r="J2">
        <v>0.05</v>
      </c>
      <c r="K2">
        <v>29955</v>
      </c>
    </row>
    <row r="3" spans="1:11" x14ac:dyDescent="0.3">
      <c r="A3" t="s">
        <v>52</v>
      </c>
      <c r="B3" s="1">
        <v>45527</v>
      </c>
      <c r="C3" t="s">
        <v>3</v>
      </c>
      <c r="D3" t="s">
        <v>53</v>
      </c>
      <c r="E3" t="s">
        <v>28</v>
      </c>
      <c r="F3" t="s">
        <v>23</v>
      </c>
      <c r="G3" t="s">
        <v>54</v>
      </c>
      <c r="H3">
        <v>3</v>
      </c>
      <c r="I3">
        <v>21400</v>
      </c>
      <c r="K3">
        <v>6742</v>
      </c>
    </row>
    <row r="4" spans="1:11" x14ac:dyDescent="0.3">
      <c r="A4" t="s">
        <v>55</v>
      </c>
      <c r="B4" s="1">
        <v>45624</v>
      </c>
      <c r="C4" t="s">
        <v>4</v>
      </c>
      <c r="D4" t="s">
        <v>56</v>
      </c>
      <c r="E4" t="s">
        <v>27</v>
      </c>
      <c r="F4" t="s">
        <v>23</v>
      </c>
      <c r="G4" t="s">
        <v>54</v>
      </c>
      <c r="H4">
        <v>6</v>
      </c>
      <c r="I4">
        <v>40298</v>
      </c>
    </row>
    <row r="5" spans="1:11" x14ac:dyDescent="0.3">
      <c r="A5" t="s">
        <v>57</v>
      </c>
      <c r="B5" s="1">
        <v>45311</v>
      </c>
      <c r="C5" t="s">
        <v>6</v>
      </c>
      <c r="D5" t="s">
        <v>49</v>
      </c>
      <c r="E5" t="s">
        <v>25</v>
      </c>
      <c r="F5" t="s">
        <v>58</v>
      </c>
      <c r="G5" t="s">
        <v>54</v>
      </c>
      <c r="H5">
        <v>9</v>
      </c>
      <c r="I5">
        <v>1098</v>
      </c>
      <c r="K5">
        <v>7334</v>
      </c>
    </row>
    <row r="6" spans="1:11" x14ac:dyDescent="0.3">
      <c r="A6" t="s">
        <v>59</v>
      </c>
      <c r="B6" s="1">
        <v>45632</v>
      </c>
      <c r="C6" t="s">
        <v>3</v>
      </c>
      <c r="D6" t="s">
        <v>53</v>
      </c>
      <c r="E6" t="s">
        <v>27</v>
      </c>
      <c r="F6" t="s">
        <v>50</v>
      </c>
      <c r="G6" t="s">
        <v>51</v>
      </c>
      <c r="H6">
        <v>4</v>
      </c>
      <c r="I6">
        <v>15968</v>
      </c>
    </row>
    <row r="7" spans="1:11" x14ac:dyDescent="0.3">
      <c r="A7" t="s">
        <v>60</v>
      </c>
      <c r="B7" s="1">
        <v>45339</v>
      </c>
      <c r="C7" t="s">
        <v>3</v>
      </c>
      <c r="D7" t="s">
        <v>53</v>
      </c>
      <c r="E7" t="s">
        <v>26</v>
      </c>
      <c r="F7" t="s">
        <v>61</v>
      </c>
      <c r="G7" t="s">
        <v>54</v>
      </c>
      <c r="H7">
        <v>10</v>
      </c>
      <c r="I7">
        <v>36961</v>
      </c>
      <c r="J7">
        <v>0.05</v>
      </c>
      <c r="K7">
        <v>16608</v>
      </c>
    </row>
    <row r="8" spans="1:11" x14ac:dyDescent="0.3">
      <c r="A8" t="s">
        <v>62</v>
      </c>
      <c r="B8" s="1">
        <v>45618</v>
      </c>
      <c r="C8" t="s">
        <v>6</v>
      </c>
      <c r="D8" t="s">
        <v>49</v>
      </c>
      <c r="E8" t="s">
        <v>26</v>
      </c>
      <c r="F8" t="s">
        <v>58</v>
      </c>
      <c r="G8" t="s">
        <v>54</v>
      </c>
      <c r="H8">
        <v>3</v>
      </c>
      <c r="I8">
        <v>1683</v>
      </c>
      <c r="K8">
        <v>25507</v>
      </c>
    </row>
    <row r="9" spans="1:11" x14ac:dyDescent="0.3">
      <c r="A9" t="s">
        <v>63</v>
      </c>
      <c r="B9" s="1">
        <v>45476</v>
      </c>
      <c r="C9" t="s">
        <v>5</v>
      </c>
      <c r="D9" t="s">
        <v>64</v>
      </c>
      <c r="E9" t="s">
        <v>26</v>
      </c>
      <c r="F9" t="s">
        <v>61</v>
      </c>
      <c r="G9" t="s">
        <v>54</v>
      </c>
      <c r="H9">
        <v>2</v>
      </c>
      <c r="I9">
        <v>6047</v>
      </c>
      <c r="J9">
        <v>0.05</v>
      </c>
    </row>
    <row r="10" spans="1:11" x14ac:dyDescent="0.3">
      <c r="A10" t="s">
        <v>65</v>
      </c>
      <c r="B10" s="1">
        <v>45530</v>
      </c>
      <c r="C10" t="s">
        <v>6</v>
      </c>
      <c r="D10" t="s">
        <v>49</v>
      </c>
      <c r="E10" t="s">
        <v>26</v>
      </c>
      <c r="F10" t="s">
        <v>24</v>
      </c>
      <c r="G10" t="s">
        <v>54</v>
      </c>
      <c r="H10">
        <v>2</v>
      </c>
      <c r="I10">
        <v>3101</v>
      </c>
      <c r="J10">
        <v>0.1</v>
      </c>
      <c r="K10">
        <v>23538</v>
      </c>
    </row>
    <row r="11" spans="1:11" x14ac:dyDescent="0.3">
      <c r="A11" t="s">
        <v>66</v>
      </c>
      <c r="B11" s="1">
        <v>45413</v>
      </c>
      <c r="C11" t="s">
        <v>3</v>
      </c>
      <c r="D11" t="s">
        <v>49</v>
      </c>
      <c r="E11" t="s">
        <v>28</v>
      </c>
      <c r="F11" t="s">
        <v>61</v>
      </c>
      <c r="G11" t="s">
        <v>54</v>
      </c>
      <c r="H11">
        <v>8</v>
      </c>
      <c r="I11">
        <v>41602</v>
      </c>
      <c r="J11">
        <v>0</v>
      </c>
      <c r="K11">
        <v>29885</v>
      </c>
    </row>
    <row r="12" spans="1:11" x14ac:dyDescent="0.3">
      <c r="A12" t="s">
        <v>67</v>
      </c>
      <c r="B12" s="1">
        <v>45649</v>
      </c>
      <c r="C12" t="s">
        <v>3</v>
      </c>
      <c r="D12" t="s">
        <v>56</v>
      </c>
      <c r="E12" t="s">
        <v>27</v>
      </c>
      <c r="F12" t="s">
        <v>23</v>
      </c>
      <c r="G12" t="s">
        <v>54</v>
      </c>
      <c r="H12">
        <v>2</v>
      </c>
      <c r="I12">
        <v>17931</v>
      </c>
      <c r="J12">
        <v>0.1</v>
      </c>
    </row>
    <row r="13" spans="1:11" x14ac:dyDescent="0.3">
      <c r="A13" t="s">
        <v>68</v>
      </c>
      <c r="B13" s="1">
        <v>45443</v>
      </c>
      <c r="C13" t="s">
        <v>3</v>
      </c>
      <c r="D13" t="s">
        <v>69</v>
      </c>
      <c r="E13" t="s">
        <v>25</v>
      </c>
      <c r="F13" t="s">
        <v>61</v>
      </c>
      <c r="G13" t="s">
        <v>54</v>
      </c>
      <c r="H13">
        <v>3</v>
      </c>
      <c r="I13">
        <v>571</v>
      </c>
      <c r="J13">
        <v>0.1</v>
      </c>
    </row>
    <row r="14" spans="1:11" x14ac:dyDescent="0.3">
      <c r="A14" t="s">
        <v>70</v>
      </c>
      <c r="B14" s="1">
        <v>45423</v>
      </c>
      <c r="C14" t="s">
        <v>3</v>
      </c>
      <c r="D14" t="s">
        <v>49</v>
      </c>
      <c r="E14" t="s">
        <v>27</v>
      </c>
      <c r="F14" t="s">
        <v>50</v>
      </c>
      <c r="G14" t="s">
        <v>51</v>
      </c>
      <c r="H14">
        <v>9</v>
      </c>
      <c r="I14">
        <v>28406</v>
      </c>
      <c r="J14">
        <v>0.1</v>
      </c>
    </row>
    <row r="15" spans="1:11" x14ac:dyDescent="0.3">
      <c r="A15" t="s">
        <v>71</v>
      </c>
      <c r="B15" s="1">
        <v>45400</v>
      </c>
      <c r="C15" t="s">
        <v>6</v>
      </c>
      <c r="D15" t="s">
        <v>56</v>
      </c>
      <c r="E15" t="s">
        <v>28</v>
      </c>
      <c r="F15" t="s">
        <v>23</v>
      </c>
      <c r="G15" t="s">
        <v>54</v>
      </c>
      <c r="H15">
        <v>6</v>
      </c>
      <c r="I15">
        <v>39809</v>
      </c>
      <c r="K15">
        <v>7704</v>
      </c>
    </row>
    <row r="16" spans="1:11" x14ac:dyDescent="0.3">
      <c r="A16" t="s">
        <v>72</v>
      </c>
      <c r="B16" s="1">
        <v>45549</v>
      </c>
      <c r="C16" t="s">
        <v>4</v>
      </c>
      <c r="D16" t="s">
        <v>56</v>
      </c>
      <c r="E16" t="s">
        <v>27</v>
      </c>
      <c r="F16" t="s">
        <v>50</v>
      </c>
      <c r="G16" t="s">
        <v>51</v>
      </c>
      <c r="H16">
        <v>3</v>
      </c>
      <c r="I16">
        <v>17089</v>
      </c>
      <c r="J16">
        <v>0.05</v>
      </c>
    </row>
    <row r="17" spans="1:11" x14ac:dyDescent="0.3">
      <c r="A17" t="s">
        <v>73</v>
      </c>
      <c r="B17" s="1">
        <v>45401</v>
      </c>
      <c r="C17" t="s">
        <v>4</v>
      </c>
      <c r="D17" t="s">
        <v>53</v>
      </c>
      <c r="E17" t="s">
        <v>29</v>
      </c>
      <c r="F17" t="s">
        <v>58</v>
      </c>
      <c r="G17" t="s">
        <v>54</v>
      </c>
      <c r="H17">
        <v>9</v>
      </c>
      <c r="I17">
        <v>24048</v>
      </c>
      <c r="J17">
        <v>0</v>
      </c>
    </row>
    <row r="18" spans="1:11" x14ac:dyDescent="0.3">
      <c r="A18" t="s">
        <v>74</v>
      </c>
      <c r="B18" s="1">
        <v>45342</v>
      </c>
      <c r="C18" t="s">
        <v>6</v>
      </c>
      <c r="D18" t="s">
        <v>49</v>
      </c>
      <c r="E18" t="s">
        <v>28</v>
      </c>
      <c r="F18" t="s">
        <v>22</v>
      </c>
      <c r="G18" t="s">
        <v>51</v>
      </c>
      <c r="H18">
        <v>6</v>
      </c>
      <c r="I18">
        <v>6121</v>
      </c>
      <c r="J18">
        <v>0</v>
      </c>
      <c r="K18">
        <v>8273</v>
      </c>
    </row>
    <row r="19" spans="1:11" x14ac:dyDescent="0.3">
      <c r="A19" t="s">
        <v>75</v>
      </c>
      <c r="B19" s="1">
        <v>45388</v>
      </c>
      <c r="C19" t="s">
        <v>6</v>
      </c>
      <c r="D19" t="s">
        <v>76</v>
      </c>
      <c r="E19" t="s">
        <v>28</v>
      </c>
      <c r="F19" t="s">
        <v>23</v>
      </c>
      <c r="G19" t="s">
        <v>54</v>
      </c>
      <c r="H19">
        <v>8</v>
      </c>
      <c r="I19">
        <v>29203</v>
      </c>
      <c r="J19">
        <v>0.05</v>
      </c>
    </row>
    <row r="20" spans="1:11" x14ac:dyDescent="0.3">
      <c r="A20" t="s">
        <v>77</v>
      </c>
      <c r="B20" s="1">
        <v>45570</v>
      </c>
      <c r="C20" t="s">
        <v>4</v>
      </c>
      <c r="D20" t="s">
        <v>56</v>
      </c>
      <c r="E20" t="s">
        <v>28</v>
      </c>
      <c r="F20" t="s">
        <v>61</v>
      </c>
      <c r="G20" t="s">
        <v>54</v>
      </c>
      <c r="H20">
        <v>6</v>
      </c>
      <c r="I20">
        <v>25953</v>
      </c>
    </row>
    <row r="21" spans="1:11" x14ac:dyDescent="0.3">
      <c r="A21" t="s">
        <v>78</v>
      </c>
      <c r="B21" s="1">
        <v>45412</v>
      </c>
      <c r="C21" t="s">
        <v>6</v>
      </c>
      <c r="D21" t="s">
        <v>56</v>
      </c>
      <c r="E21" t="s">
        <v>27</v>
      </c>
      <c r="F21" t="s">
        <v>50</v>
      </c>
      <c r="G21" t="s">
        <v>51</v>
      </c>
      <c r="H21">
        <v>9</v>
      </c>
      <c r="I21">
        <v>38450</v>
      </c>
      <c r="J21">
        <v>0</v>
      </c>
    </row>
    <row r="22" spans="1:11" x14ac:dyDescent="0.3">
      <c r="A22" t="s">
        <v>79</v>
      </c>
      <c r="B22" s="1">
        <v>45626</v>
      </c>
      <c r="C22" t="s">
        <v>3</v>
      </c>
      <c r="D22" t="s">
        <v>56</v>
      </c>
      <c r="E22" t="s">
        <v>28</v>
      </c>
      <c r="F22" t="s">
        <v>61</v>
      </c>
      <c r="G22" t="s">
        <v>54</v>
      </c>
      <c r="H22">
        <v>10</v>
      </c>
      <c r="I22">
        <v>14948</v>
      </c>
      <c r="J22">
        <v>0.05</v>
      </c>
      <c r="K22">
        <v>29773</v>
      </c>
    </row>
    <row r="23" spans="1:11" x14ac:dyDescent="0.3">
      <c r="A23" t="s">
        <v>80</v>
      </c>
      <c r="B23" s="1">
        <v>45491</v>
      </c>
      <c r="C23" t="s">
        <v>3</v>
      </c>
      <c r="D23" t="s">
        <v>76</v>
      </c>
      <c r="E23" t="s">
        <v>25</v>
      </c>
      <c r="F23" t="s">
        <v>22</v>
      </c>
      <c r="G23" t="s">
        <v>51</v>
      </c>
      <c r="H23">
        <v>10</v>
      </c>
      <c r="I23">
        <v>11429</v>
      </c>
      <c r="J23">
        <v>0.05</v>
      </c>
    </row>
    <row r="24" spans="1:11" x14ac:dyDescent="0.3">
      <c r="A24" t="s">
        <v>81</v>
      </c>
      <c r="B24" s="1">
        <v>45479</v>
      </c>
      <c r="C24" t="s">
        <v>4</v>
      </c>
      <c r="D24" t="s">
        <v>76</v>
      </c>
      <c r="E24" t="s">
        <v>29</v>
      </c>
      <c r="F24" t="s">
        <v>24</v>
      </c>
      <c r="G24" t="s">
        <v>54</v>
      </c>
      <c r="H24">
        <v>5</v>
      </c>
      <c r="I24">
        <v>11682</v>
      </c>
      <c r="J24">
        <v>0.1</v>
      </c>
    </row>
    <row r="25" spans="1:11" x14ac:dyDescent="0.3">
      <c r="A25" t="s">
        <v>82</v>
      </c>
      <c r="B25" s="1">
        <v>45415</v>
      </c>
      <c r="C25" t="s">
        <v>3</v>
      </c>
      <c r="D25" t="s">
        <v>49</v>
      </c>
      <c r="E25" t="s">
        <v>27</v>
      </c>
      <c r="F25" t="s">
        <v>61</v>
      </c>
      <c r="G25" t="s">
        <v>54</v>
      </c>
      <c r="H25">
        <v>1</v>
      </c>
      <c r="I25">
        <v>43628</v>
      </c>
      <c r="J25">
        <v>0.05</v>
      </c>
    </row>
    <row r="26" spans="1:11" x14ac:dyDescent="0.3">
      <c r="A26" t="s">
        <v>83</v>
      </c>
      <c r="B26" s="1">
        <v>45349</v>
      </c>
      <c r="C26" t="s">
        <v>3</v>
      </c>
      <c r="D26" t="s">
        <v>69</v>
      </c>
      <c r="E26" t="s">
        <v>28</v>
      </c>
      <c r="F26" t="s">
        <v>58</v>
      </c>
      <c r="G26" t="s">
        <v>54</v>
      </c>
      <c r="H26">
        <v>2</v>
      </c>
      <c r="I26">
        <v>49900</v>
      </c>
      <c r="J26">
        <v>0</v>
      </c>
    </row>
    <row r="27" spans="1:11" x14ac:dyDescent="0.3">
      <c r="A27" t="s">
        <v>84</v>
      </c>
      <c r="B27" s="1">
        <v>45618</v>
      </c>
      <c r="C27" t="s">
        <v>4</v>
      </c>
      <c r="D27" t="s">
        <v>56</v>
      </c>
      <c r="E27" t="s">
        <v>26</v>
      </c>
      <c r="F27" t="s">
        <v>22</v>
      </c>
      <c r="G27" t="s">
        <v>51</v>
      </c>
      <c r="H27">
        <v>9</v>
      </c>
      <c r="I27">
        <v>25307</v>
      </c>
      <c r="K27">
        <v>7356</v>
      </c>
    </row>
    <row r="28" spans="1:11" x14ac:dyDescent="0.3">
      <c r="A28" t="s">
        <v>85</v>
      </c>
      <c r="B28" s="1">
        <v>45655</v>
      </c>
      <c r="C28" t="s">
        <v>4</v>
      </c>
      <c r="D28" t="s">
        <v>53</v>
      </c>
      <c r="E28" t="s">
        <v>25</v>
      </c>
      <c r="F28" t="s">
        <v>58</v>
      </c>
      <c r="G28" t="s">
        <v>54</v>
      </c>
      <c r="H28">
        <v>9</v>
      </c>
      <c r="I28">
        <v>47015</v>
      </c>
      <c r="J28">
        <v>0</v>
      </c>
      <c r="K28">
        <v>27705</v>
      </c>
    </row>
    <row r="29" spans="1:11" x14ac:dyDescent="0.3">
      <c r="A29" t="s">
        <v>86</v>
      </c>
      <c r="B29" s="1">
        <v>45638</v>
      </c>
      <c r="C29" t="s">
        <v>4</v>
      </c>
      <c r="D29" t="s">
        <v>53</v>
      </c>
      <c r="E29" t="s">
        <v>28</v>
      </c>
      <c r="F29" t="s">
        <v>58</v>
      </c>
      <c r="G29" t="s">
        <v>54</v>
      </c>
      <c r="H29">
        <v>4</v>
      </c>
      <c r="I29">
        <v>34893</v>
      </c>
      <c r="J29">
        <v>0.1</v>
      </c>
    </row>
    <row r="30" spans="1:11" x14ac:dyDescent="0.3">
      <c r="A30" t="s">
        <v>87</v>
      </c>
      <c r="B30" s="1">
        <v>45315</v>
      </c>
      <c r="C30" t="s">
        <v>5</v>
      </c>
      <c r="D30" t="s">
        <v>76</v>
      </c>
      <c r="E30" t="s">
        <v>26</v>
      </c>
      <c r="F30" t="s">
        <v>50</v>
      </c>
      <c r="G30" t="s">
        <v>51</v>
      </c>
      <c r="H30">
        <v>9</v>
      </c>
      <c r="I30">
        <v>26283</v>
      </c>
    </row>
    <row r="31" spans="1:11" x14ac:dyDescent="0.3">
      <c r="A31" t="s">
        <v>88</v>
      </c>
      <c r="B31" s="1">
        <v>45544</v>
      </c>
      <c r="C31" t="s">
        <v>5</v>
      </c>
      <c r="D31" t="s">
        <v>69</v>
      </c>
      <c r="E31" t="s">
        <v>26</v>
      </c>
      <c r="F31" t="s">
        <v>23</v>
      </c>
      <c r="G31" t="s">
        <v>54</v>
      </c>
      <c r="H31">
        <v>2</v>
      </c>
      <c r="I31">
        <v>26513</v>
      </c>
      <c r="J31">
        <v>0.1</v>
      </c>
    </row>
    <row r="32" spans="1:11" x14ac:dyDescent="0.3">
      <c r="A32" t="s">
        <v>89</v>
      </c>
      <c r="B32" s="1">
        <v>45529</v>
      </c>
      <c r="C32" t="s">
        <v>6</v>
      </c>
      <c r="D32" t="s">
        <v>56</v>
      </c>
      <c r="E32" t="s">
        <v>26</v>
      </c>
      <c r="F32" t="s">
        <v>23</v>
      </c>
      <c r="G32" t="s">
        <v>54</v>
      </c>
      <c r="H32">
        <v>9</v>
      </c>
      <c r="I32">
        <v>49552</v>
      </c>
      <c r="J32">
        <v>0.1</v>
      </c>
      <c r="K32">
        <v>22087</v>
      </c>
    </row>
    <row r="33" spans="1:11" x14ac:dyDescent="0.3">
      <c r="A33" t="s">
        <v>90</v>
      </c>
      <c r="B33" s="1">
        <v>45479</v>
      </c>
      <c r="C33" t="s">
        <v>6</v>
      </c>
      <c r="D33" t="s">
        <v>76</v>
      </c>
      <c r="E33" t="s">
        <v>27</v>
      </c>
      <c r="F33" t="s">
        <v>58</v>
      </c>
      <c r="G33" t="s">
        <v>54</v>
      </c>
      <c r="H33">
        <v>6</v>
      </c>
      <c r="I33">
        <v>26441</v>
      </c>
      <c r="K33">
        <v>21986</v>
      </c>
    </row>
    <row r="34" spans="1:11" x14ac:dyDescent="0.3">
      <c r="A34" t="s">
        <v>91</v>
      </c>
      <c r="B34" s="1">
        <v>45561</v>
      </c>
      <c r="C34" t="s">
        <v>5</v>
      </c>
      <c r="D34" t="s">
        <v>53</v>
      </c>
      <c r="E34" t="s">
        <v>25</v>
      </c>
      <c r="F34" t="s">
        <v>61</v>
      </c>
      <c r="G34" t="s">
        <v>54</v>
      </c>
      <c r="H34">
        <v>9</v>
      </c>
      <c r="I34">
        <v>30588</v>
      </c>
      <c r="J34">
        <v>0.1</v>
      </c>
      <c r="K34">
        <v>22011</v>
      </c>
    </row>
    <row r="35" spans="1:11" x14ac:dyDescent="0.3">
      <c r="A35" t="s">
        <v>92</v>
      </c>
      <c r="B35" s="1">
        <v>45336</v>
      </c>
      <c r="C35" t="s">
        <v>3</v>
      </c>
      <c r="D35" t="s">
        <v>69</v>
      </c>
      <c r="E35" t="s">
        <v>25</v>
      </c>
      <c r="F35" t="s">
        <v>58</v>
      </c>
      <c r="G35" t="s">
        <v>54</v>
      </c>
      <c r="H35">
        <v>9</v>
      </c>
      <c r="I35">
        <v>27695</v>
      </c>
    </row>
    <row r="36" spans="1:11" x14ac:dyDescent="0.3">
      <c r="A36" t="s">
        <v>93</v>
      </c>
      <c r="B36" s="1">
        <v>45642</v>
      </c>
      <c r="C36" t="s">
        <v>3</v>
      </c>
      <c r="D36" t="s">
        <v>49</v>
      </c>
      <c r="E36" t="s">
        <v>27</v>
      </c>
      <c r="F36" t="s">
        <v>61</v>
      </c>
      <c r="G36" t="s">
        <v>54</v>
      </c>
      <c r="H36">
        <v>2</v>
      </c>
      <c r="I36">
        <v>10738</v>
      </c>
      <c r="J36">
        <v>0</v>
      </c>
      <c r="K36">
        <v>5576</v>
      </c>
    </row>
    <row r="37" spans="1:11" x14ac:dyDescent="0.3">
      <c r="A37" t="s">
        <v>94</v>
      </c>
      <c r="B37" s="1">
        <v>45336</v>
      </c>
      <c r="C37" t="s">
        <v>3</v>
      </c>
      <c r="D37" t="s">
        <v>49</v>
      </c>
      <c r="E37" t="s">
        <v>25</v>
      </c>
      <c r="F37" t="s">
        <v>58</v>
      </c>
      <c r="G37" t="s">
        <v>54</v>
      </c>
      <c r="H37">
        <v>6</v>
      </c>
      <c r="I37">
        <v>7619</v>
      </c>
      <c r="K37">
        <v>13277</v>
      </c>
    </row>
    <row r="38" spans="1:11" x14ac:dyDescent="0.3">
      <c r="A38" t="s">
        <v>95</v>
      </c>
      <c r="B38" s="1">
        <v>45346</v>
      </c>
      <c r="C38" t="s">
        <v>3</v>
      </c>
      <c r="D38" t="s">
        <v>56</v>
      </c>
      <c r="E38" t="s">
        <v>28</v>
      </c>
      <c r="F38" t="s">
        <v>23</v>
      </c>
      <c r="G38" t="s">
        <v>54</v>
      </c>
      <c r="H38">
        <v>8</v>
      </c>
      <c r="I38">
        <v>37570</v>
      </c>
    </row>
    <row r="39" spans="1:11" x14ac:dyDescent="0.3">
      <c r="A39" t="s">
        <v>96</v>
      </c>
      <c r="B39" s="1">
        <v>45560</v>
      </c>
      <c r="C39" t="s">
        <v>4</v>
      </c>
      <c r="D39" t="s">
        <v>56</v>
      </c>
      <c r="E39" t="s">
        <v>28</v>
      </c>
      <c r="F39" t="s">
        <v>61</v>
      </c>
      <c r="G39" t="s">
        <v>54</v>
      </c>
      <c r="H39">
        <v>1</v>
      </c>
      <c r="I39">
        <v>12074</v>
      </c>
      <c r="J39">
        <v>0.1</v>
      </c>
    </row>
    <row r="40" spans="1:11" x14ac:dyDescent="0.3">
      <c r="A40" t="s">
        <v>97</v>
      </c>
      <c r="B40" s="1">
        <v>45397</v>
      </c>
      <c r="C40" t="s">
        <v>5</v>
      </c>
      <c r="D40" t="s">
        <v>69</v>
      </c>
      <c r="E40" t="s">
        <v>29</v>
      </c>
      <c r="F40" t="s">
        <v>61</v>
      </c>
      <c r="G40" t="s">
        <v>54</v>
      </c>
      <c r="H40">
        <v>1</v>
      </c>
      <c r="I40">
        <v>44737</v>
      </c>
      <c r="J40">
        <v>0.1</v>
      </c>
      <c r="K40">
        <v>24975</v>
      </c>
    </row>
    <row r="41" spans="1:11" x14ac:dyDescent="0.3">
      <c r="A41" t="s">
        <v>98</v>
      </c>
      <c r="B41" s="1">
        <v>45329</v>
      </c>
      <c r="C41" t="s">
        <v>6</v>
      </c>
      <c r="D41" t="s">
        <v>76</v>
      </c>
      <c r="E41" t="s">
        <v>27</v>
      </c>
      <c r="F41" t="s">
        <v>24</v>
      </c>
      <c r="G41" t="s">
        <v>54</v>
      </c>
      <c r="H41">
        <v>8</v>
      </c>
      <c r="I41">
        <v>19251</v>
      </c>
      <c r="J41">
        <v>0.05</v>
      </c>
      <c r="K41">
        <v>26894</v>
      </c>
    </row>
    <row r="42" spans="1:11" x14ac:dyDescent="0.3">
      <c r="A42" t="s">
        <v>99</v>
      </c>
      <c r="B42" s="1">
        <v>45591</v>
      </c>
      <c r="C42" t="s">
        <v>5</v>
      </c>
      <c r="D42" t="s">
        <v>53</v>
      </c>
      <c r="E42" t="s">
        <v>26</v>
      </c>
      <c r="F42" t="s">
        <v>22</v>
      </c>
      <c r="G42" t="s">
        <v>51</v>
      </c>
      <c r="H42">
        <v>3</v>
      </c>
      <c r="I42">
        <v>48694</v>
      </c>
      <c r="J42">
        <v>0</v>
      </c>
      <c r="K42">
        <v>6974</v>
      </c>
    </row>
    <row r="43" spans="1:11" x14ac:dyDescent="0.3">
      <c r="A43" t="s">
        <v>100</v>
      </c>
      <c r="B43" s="1">
        <v>45620</v>
      </c>
      <c r="C43" t="s">
        <v>6</v>
      </c>
      <c r="D43" t="s">
        <v>49</v>
      </c>
      <c r="E43" t="s">
        <v>27</v>
      </c>
      <c r="F43" t="s">
        <v>50</v>
      </c>
      <c r="G43" t="s">
        <v>51</v>
      </c>
      <c r="H43">
        <v>1</v>
      </c>
      <c r="I43">
        <v>35665</v>
      </c>
      <c r="J43">
        <v>0.1</v>
      </c>
    </row>
    <row r="44" spans="1:11" x14ac:dyDescent="0.3">
      <c r="A44" t="s">
        <v>101</v>
      </c>
      <c r="B44" s="1">
        <v>45455</v>
      </c>
      <c r="C44" t="s">
        <v>5</v>
      </c>
      <c r="D44" t="s">
        <v>49</v>
      </c>
      <c r="E44" t="s">
        <v>25</v>
      </c>
      <c r="F44" t="s">
        <v>50</v>
      </c>
      <c r="G44" t="s">
        <v>51</v>
      </c>
      <c r="H44">
        <v>1</v>
      </c>
      <c r="I44">
        <v>18940</v>
      </c>
      <c r="J44">
        <v>0</v>
      </c>
    </row>
    <row r="45" spans="1:11" x14ac:dyDescent="0.3">
      <c r="A45" t="s">
        <v>102</v>
      </c>
      <c r="B45" s="1">
        <v>45349</v>
      </c>
      <c r="C45" t="s">
        <v>3</v>
      </c>
      <c r="D45" t="s">
        <v>76</v>
      </c>
      <c r="E45" t="s">
        <v>26</v>
      </c>
      <c r="F45" t="s">
        <v>61</v>
      </c>
      <c r="G45" t="s">
        <v>54</v>
      </c>
      <c r="H45">
        <v>3</v>
      </c>
      <c r="I45">
        <v>672</v>
      </c>
      <c r="J45">
        <v>0.05</v>
      </c>
      <c r="K45">
        <v>16590</v>
      </c>
    </row>
    <row r="46" spans="1:11" x14ac:dyDescent="0.3">
      <c r="A46" t="s">
        <v>103</v>
      </c>
      <c r="B46" s="1">
        <v>45539</v>
      </c>
      <c r="C46" t="s">
        <v>6</v>
      </c>
      <c r="D46" t="s">
        <v>69</v>
      </c>
      <c r="E46" t="s">
        <v>26</v>
      </c>
      <c r="F46" t="s">
        <v>50</v>
      </c>
      <c r="G46" t="s">
        <v>51</v>
      </c>
      <c r="H46">
        <v>1</v>
      </c>
      <c r="I46">
        <v>18649</v>
      </c>
      <c r="J46">
        <v>0.1</v>
      </c>
      <c r="K46">
        <v>9880</v>
      </c>
    </row>
    <row r="47" spans="1:11" x14ac:dyDescent="0.3">
      <c r="A47" t="s">
        <v>104</v>
      </c>
      <c r="B47" s="1">
        <v>45428</v>
      </c>
      <c r="C47" t="s">
        <v>3</v>
      </c>
      <c r="D47" t="s">
        <v>64</v>
      </c>
      <c r="E47" t="s">
        <v>25</v>
      </c>
      <c r="F47" t="s">
        <v>50</v>
      </c>
      <c r="G47" t="s">
        <v>51</v>
      </c>
      <c r="H47">
        <v>4</v>
      </c>
      <c r="I47">
        <v>12994</v>
      </c>
      <c r="K47">
        <v>969</v>
      </c>
    </row>
    <row r="48" spans="1:11" x14ac:dyDescent="0.3">
      <c r="A48" t="s">
        <v>105</v>
      </c>
      <c r="B48" s="1">
        <v>45432</v>
      </c>
      <c r="C48" t="s">
        <v>5</v>
      </c>
      <c r="D48" t="s">
        <v>64</v>
      </c>
      <c r="E48" t="s">
        <v>29</v>
      </c>
      <c r="F48" t="s">
        <v>50</v>
      </c>
      <c r="G48" t="s">
        <v>51</v>
      </c>
      <c r="H48">
        <v>8</v>
      </c>
      <c r="I48">
        <v>9668</v>
      </c>
      <c r="J48">
        <v>0.1</v>
      </c>
    </row>
    <row r="49" spans="1:11" x14ac:dyDescent="0.3">
      <c r="A49" t="s">
        <v>106</v>
      </c>
      <c r="B49" s="1">
        <v>45518</v>
      </c>
      <c r="C49" t="s">
        <v>6</v>
      </c>
      <c r="D49" t="s">
        <v>53</v>
      </c>
      <c r="E49" t="s">
        <v>29</v>
      </c>
      <c r="F49" t="s">
        <v>58</v>
      </c>
      <c r="G49" t="s">
        <v>54</v>
      </c>
      <c r="H49">
        <v>6</v>
      </c>
      <c r="I49">
        <v>38361</v>
      </c>
      <c r="J49">
        <v>0</v>
      </c>
    </row>
    <row r="50" spans="1:11" x14ac:dyDescent="0.3">
      <c r="A50" t="s">
        <v>107</v>
      </c>
      <c r="B50" s="1">
        <v>45454</v>
      </c>
      <c r="C50" t="s">
        <v>4</v>
      </c>
      <c r="D50" t="s">
        <v>76</v>
      </c>
      <c r="E50" t="s">
        <v>25</v>
      </c>
      <c r="F50" t="s">
        <v>22</v>
      </c>
      <c r="G50" t="s">
        <v>51</v>
      </c>
      <c r="H50">
        <v>4</v>
      </c>
      <c r="I50">
        <v>2202</v>
      </c>
      <c r="J50">
        <v>0.05</v>
      </c>
      <c r="K50">
        <v>25372</v>
      </c>
    </row>
    <row r="51" spans="1:11" x14ac:dyDescent="0.3">
      <c r="A51" t="s">
        <v>108</v>
      </c>
      <c r="B51" s="1">
        <v>45639</v>
      </c>
      <c r="C51" t="s">
        <v>3</v>
      </c>
      <c r="D51" t="s">
        <v>69</v>
      </c>
      <c r="E51" t="s">
        <v>28</v>
      </c>
      <c r="F51" t="s">
        <v>24</v>
      </c>
      <c r="G51" t="s">
        <v>54</v>
      </c>
      <c r="H51">
        <v>7</v>
      </c>
      <c r="I51">
        <v>43713</v>
      </c>
      <c r="J51">
        <v>0.1</v>
      </c>
    </row>
    <row r="52" spans="1:11" x14ac:dyDescent="0.3">
      <c r="A52" t="s">
        <v>109</v>
      </c>
      <c r="B52" s="1">
        <v>45399</v>
      </c>
      <c r="C52" t="s">
        <v>3</v>
      </c>
      <c r="D52" t="s">
        <v>76</v>
      </c>
      <c r="E52" t="s">
        <v>29</v>
      </c>
      <c r="F52" t="s">
        <v>23</v>
      </c>
      <c r="G52" t="s">
        <v>54</v>
      </c>
      <c r="H52">
        <v>8</v>
      </c>
      <c r="I52">
        <v>1172</v>
      </c>
    </row>
    <row r="53" spans="1:11" x14ac:dyDescent="0.3">
      <c r="A53" t="s">
        <v>110</v>
      </c>
      <c r="B53" s="1">
        <v>45568</v>
      </c>
      <c r="C53" t="s">
        <v>4</v>
      </c>
      <c r="D53" t="s">
        <v>76</v>
      </c>
      <c r="E53" t="s">
        <v>25</v>
      </c>
      <c r="F53" t="s">
        <v>58</v>
      </c>
      <c r="G53" t="s">
        <v>54</v>
      </c>
      <c r="H53">
        <v>2</v>
      </c>
      <c r="I53">
        <v>28932</v>
      </c>
      <c r="K53">
        <v>19839</v>
      </c>
    </row>
    <row r="54" spans="1:11" x14ac:dyDescent="0.3">
      <c r="A54" t="s">
        <v>111</v>
      </c>
      <c r="B54" s="1">
        <v>45379</v>
      </c>
      <c r="C54" t="s">
        <v>5</v>
      </c>
      <c r="D54" t="s">
        <v>56</v>
      </c>
      <c r="E54" t="s">
        <v>29</v>
      </c>
      <c r="F54" t="s">
        <v>61</v>
      </c>
      <c r="G54" t="s">
        <v>54</v>
      </c>
      <c r="H54">
        <v>9</v>
      </c>
      <c r="I54">
        <v>12134</v>
      </c>
      <c r="J54">
        <v>0</v>
      </c>
    </row>
    <row r="55" spans="1:11" x14ac:dyDescent="0.3">
      <c r="A55" t="s">
        <v>112</v>
      </c>
      <c r="B55" s="1">
        <v>45619</v>
      </c>
      <c r="C55" t="s">
        <v>5</v>
      </c>
      <c r="D55" t="s">
        <v>53</v>
      </c>
      <c r="E55" t="s">
        <v>27</v>
      </c>
      <c r="F55" t="s">
        <v>50</v>
      </c>
      <c r="G55" t="s">
        <v>51</v>
      </c>
      <c r="H55">
        <v>6</v>
      </c>
      <c r="I55">
        <v>28535</v>
      </c>
      <c r="J55">
        <v>0.05</v>
      </c>
    </row>
    <row r="56" spans="1:11" x14ac:dyDescent="0.3">
      <c r="A56" t="s">
        <v>113</v>
      </c>
      <c r="B56" s="1">
        <v>45367</v>
      </c>
      <c r="C56" t="s">
        <v>4</v>
      </c>
      <c r="D56" t="s">
        <v>64</v>
      </c>
      <c r="E56" t="s">
        <v>28</v>
      </c>
      <c r="F56" t="s">
        <v>61</v>
      </c>
      <c r="G56" t="s">
        <v>54</v>
      </c>
      <c r="H56">
        <v>10</v>
      </c>
      <c r="I56">
        <v>18292</v>
      </c>
    </row>
    <row r="57" spans="1:11" x14ac:dyDescent="0.3">
      <c r="A57" t="s">
        <v>114</v>
      </c>
      <c r="B57" s="1">
        <v>45453</v>
      </c>
      <c r="C57" t="s">
        <v>4</v>
      </c>
      <c r="D57" t="s">
        <v>56</v>
      </c>
      <c r="E57" t="s">
        <v>26</v>
      </c>
      <c r="F57" t="s">
        <v>58</v>
      </c>
      <c r="G57" t="s">
        <v>54</v>
      </c>
      <c r="H57">
        <v>1</v>
      </c>
      <c r="I57">
        <v>21732</v>
      </c>
      <c r="J57">
        <v>0.1</v>
      </c>
      <c r="K57">
        <v>3127</v>
      </c>
    </row>
    <row r="58" spans="1:11" x14ac:dyDescent="0.3">
      <c r="A58" t="s">
        <v>115</v>
      </c>
      <c r="B58" s="1">
        <v>45612</v>
      </c>
      <c r="C58" t="s">
        <v>6</v>
      </c>
      <c r="D58" t="s">
        <v>69</v>
      </c>
      <c r="E58" t="s">
        <v>29</v>
      </c>
      <c r="F58" t="s">
        <v>61</v>
      </c>
      <c r="G58" t="s">
        <v>54</v>
      </c>
      <c r="H58">
        <v>9</v>
      </c>
      <c r="I58">
        <v>33284</v>
      </c>
      <c r="J58">
        <v>0.05</v>
      </c>
    </row>
    <row r="59" spans="1:11" x14ac:dyDescent="0.3">
      <c r="A59" t="s">
        <v>116</v>
      </c>
      <c r="B59" s="1">
        <v>45589</v>
      </c>
      <c r="C59" t="s">
        <v>6</v>
      </c>
      <c r="D59" t="s">
        <v>76</v>
      </c>
      <c r="E59" t="s">
        <v>28</v>
      </c>
      <c r="F59" t="s">
        <v>23</v>
      </c>
      <c r="G59" t="s">
        <v>54</v>
      </c>
      <c r="H59">
        <v>7</v>
      </c>
      <c r="I59">
        <v>10389</v>
      </c>
      <c r="K59">
        <v>22159</v>
      </c>
    </row>
    <row r="60" spans="1:11" x14ac:dyDescent="0.3">
      <c r="A60" t="s">
        <v>117</v>
      </c>
      <c r="B60" s="1">
        <v>45326</v>
      </c>
      <c r="C60" t="s">
        <v>4</v>
      </c>
      <c r="D60" t="s">
        <v>53</v>
      </c>
      <c r="E60" t="s">
        <v>26</v>
      </c>
      <c r="F60" t="s">
        <v>50</v>
      </c>
      <c r="G60" t="s">
        <v>51</v>
      </c>
      <c r="H60">
        <v>9</v>
      </c>
      <c r="I60">
        <v>5625</v>
      </c>
      <c r="K60">
        <v>9293</v>
      </c>
    </row>
    <row r="61" spans="1:11" x14ac:dyDescent="0.3">
      <c r="A61" t="s">
        <v>118</v>
      </c>
      <c r="B61" s="1">
        <v>45606</v>
      </c>
      <c r="C61" t="s">
        <v>5</v>
      </c>
      <c r="D61" t="s">
        <v>76</v>
      </c>
      <c r="E61" t="s">
        <v>25</v>
      </c>
      <c r="F61" t="s">
        <v>24</v>
      </c>
      <c r="G61" t="s">
        <v>54</v>
      </c>
      <c r="H61">
        <v>7</v>
      </c>
      <c r="I61">
        <v>40540</v>
      </c>
      <c r="J61">
        <v>0</v>
      </c>
    </row>
    <row r="62" spans="1:11" x14ac:dyDescent="0.3">
      <c r="A62" t="s">
        <v>119</v>
      </c>
      <c r="B62" s="1">
        <v>45596</v>
      </c>
      <c r="C62" t="s">
        <v>3</v>
      </c>
      <c r="D62" t="s">
        <v>53</v>
      </c>
      <c r="E62" t="s">
        <v>26</v>
      </c>
      <c r="F62" t="s">
        <v>22</v>
      </c>
      <c r="G62" t="s">
        <v>51</v>
      </c>
      <c r="H62">
        <v>2</v>
      </c>
      <c r="I62">
        <v>1279</v>
      </c>
      <c r="J62">
        <v>0.05</v>
      </c>
      <c r="K62">
        <v>7957</v>
      </c>
    </row>
    <row r="63" spans="1:11" x14ac:dyDescent="0.3">
      <c r="A63" t="s">
        <v>120</v>
      </c>
      <c r="B63" s="1">
        <v>45475</v>
      </c>
      <c r="C63" t="s">
        <v>6</v>
      </c>
      <c r="D63" t="s">
        <v>53</v>
      </c>
      <c r="E63" t="s">
        <v>26</v>
      </c>
      <c r="F63" t="s">
        <v>24</v>
      </c>
      <c r="G63" t="s">
        <v>54</v>
      </c>
      <c r="H63">
        <v>7</v>
      </c>
      <c r="I63">
        <v>16631</v>
      </c>
      <c r="J63">
        <v>0.1</v>
      </c>
      <c r="K63">
        <v>4214</v>
      </c>
    </row>
    <row r="64" spans="1:11" x14ac:dyDescent="0.3">
      <c r="A64" t="s">
        <v>121</v>
      </c>
      <c r="B64" s="1">
        <v>45558</v>
      </c>
      <c r="C64" t="s">
        <v>6</v>
      </c>
      <c r="D64" t="s">
        <v>53</v>
      </c>
      <c r="E64" t="s">
        <v>25</v>
      </c>
      <c r="F64" t="s">
        <v>50</v>
      </c>
      <c r="G64" t="s">
        <v>51</v>
      </c>
      <c r="H64">
        <v>7</v>
      </c>
      <c r="I64">
        <v>32756</v>
      </c>
      <c r="J64">
        <v>0</v>
      </c>
      <c r="K64">
        <v>16465</v>
      </c>
    </row>
    <row r="65" spans="1:11" x14ac:dyDescent="0.3">
      <c r="A65" t="s">
        <v>122</v>
      </c>
      <c r="B65" s="1">
        <v>45562</v>
      </c>
      <c r="C65" t="s">
        <v>6</v>
      </c>
      <c r="D65" t="s">
        <v>49</v>
      </c>
      <c r="E65" t="s">
        <v>27</v>
      </c>
      <c r="F65" t="s">
        <v>61</v>
      </c>
      <c r="G65" t="s">
        <v>54</v>
      </c>
      <c r="H65">
        <v>7</v>
      </c>
      <c r="I65">
        <v>22550</v>
      </c>
      <c r="J65">
        <v>0.1</v>
      </c>
    </row>
    <row r="66" spans="1:11" x14ac:dyDescent="0.3">
      <c r="A66" t="s">
        <v>123</v>
      </c>
      <c r="B66" s="1">
        <v>45636</v>
      </c>
      <c r="C66" t="s">
        <v>6</v>
      </c>
      <c r="D66" t="s">
        <v>53</v>
      </c>
      <c r="E66" t="s">
        <v>26</v>
      </c>
      <c r="F66" t="s">
        <v>22</v>
      </c>
      <c r="G66" t="s">
        <v>51</v>
      </c>
      <c r="H66">
        <v>8</v>
      </c>
      <c r="I66">
        <v>22339</v>
      </c>
      <c r="J66">
        <v>0</v>
      </c>
      <c r="K66">
        <v>2121</v>
      </c>
    </row>
    <row r="67" spans="1:11" x14ac:dyDescent="0.3">
      <c r="A67" t="s">
        <v>124</v>
      </c>
      <c r="B67" s="1">
        <v>45507</v>
      </c>
      <c r="C67" t="s">
        <v>3</v>
      </c>
      <c r="D67" t="s">
        <v>64</v>
      </c>
      <c r="E67" t="s">
        <v>26</v>
      </c>
      <c r="F67" t="s">
        <v>23</v>
      </c>
      <c r="G67" t="s">
        <v>54</v>
      </c>
      <c r="H67">
        <v>2</v>
      </c>
      <c r="I67">
        <v>46159</v>
      </c>
      <c r="J67">
        <v>0.05</v>
      </c>
    </row>
    <row r="68" spans="1:11" x14ac:dyDescent="0.3">
      <c r="A68" t="s">
        <v>125</v>
      </c>
      <c r="B68" s="1">
        <v>45328</v>
      </c>
      <c r="C68" t="s">
        <v>6</v>
      </c>
      <c r="D68" t="s">
        <v>76</v>
      </c>
      <c r="E68" t="s">
        <v>27</v>
      </c>
      <c r="F68" t="s">
        <v>22</v>
      </c>
      <c r="G68" t="s">
        <v>51</v>
      </c>
      <c r="H68">
        <v>6</v>
      </c>
      <c r="I68">
        <v>22125</v>
      </c>
      <c r="J68">
        <v>0</v>
      </c>
      <c r="K68">
        <v>29712</v>
      </c>
    </row>
    <row r="69" spans="1:11" x14ac:dyDescent="0.3">
      <c r="A69" t="s">
        <v>126</v>
      </c>
      <c r="B69" s="1">
        <v>45594</v>
      </c>
      <c r="C69" t="s">
        <v>5</v>
      </c>
      <c r="D69" t="s">
        <v>56</v>
      </c>
      <c r="E69" t="s">
        <v>27</v>
      </c>
      <c r="F69" t="s">
        <v>24</v>
      </c>
      <c r="G69" t="s">
        <v>54</v>
      </c>
      <c r="H69">
        <v>6</v>
      </c>
      <c r="I69">
        <v>41323</v>
      </c>
      <c r="K69">
        <v>17325</v>
      </c>
    </row>
    <row r="70" spans="1:11" x14ac:dyDescent="0.3">
      <c r="A70" t="s">
        <v>127</v>
      </c>
      <c r="B70" s="1">
        <v>45300</v>
      </c>
      <c r="C70" t="s">
        <v>3</v>
      </c>
      <c r="D70" t="s">
        <v>53</v>
      </c>
      <c r="E70" t="s">
        <v>28</v>
      </c>
      <c r="F70" t="s">
        <v>22</v>
      </c>
      <c r="G70" t="s">
        <v>51</v>
      </c>
      <c r="H70">
        <v>3</v>
      </c>
      <c r="I70">
        <v>28541</v>
      </c>
      <c r="J70">
        <v>0.1</v>
      </c>
      <c r="K70">
        <v>6771</v>
      </c>
    </row>
    <row r="71" spans="1:11" x14ac:dyDescent="0.3">
      <c r="A71" t="s">
        <v>128</v>
      </c>
      <c r="B71" s="1">
        <v>45582</v>
      </c>
      <c r="C71" t="s">
        <v>5</v>
      </c>
      <c r="D71" t="s">
        <v>76</v>
      </c>
      <c r="E71" t="s">
        <v>26</v>
      </c>
      <c r="F71" t="s">
        <v>50</v>
      </c>
      <c r="G71" t="s">
        <v>51</v>
      </c>
      <c r="H71">
        <v>7</v>
      </c>
      <c r="I71">
        <v>16466</v>
      </c>
      <c r="K71">
        <v>22928</v>
      </c>
    </row>
    <row r="72" spans="1:11" x14ac:dyDescent="0.3">
      <c r="A72" t="s">
        <v>129</v>
      </c>
      <c r="B72" s="1">
        <v>45310</v>
      </c>
      <c r="C72" t="s">
        <v>4</v>
      </c>
      <c r="D72" t="s">
        <v>76</v>
      </c>
      <c r="E72" t="s">
        <v>25</v>
      </c>
      <c r="F72" t="s">
        <v>22</v>
      </c>
      <c r="G72" t="s">
        <v>51</v>
      </c>
      <c r="H72">
        <v>2</v>
      </c>
      <c r="I72">
        <v>12316</v>
      </c>
    </row>
    <row r="73" spans="1:11" x14ac:dyDescent="0.3">
      <c r="A73" t="s">
        <v>130</v>
      </c>
      <c r="B73" s="1">
        <v>45491</v>
      </c>
      <c r="C73" t="s">
        <v>3</v>
      </c>
      <c r="D73" t="s">
        <v>49</v>
      </c>
      <c r="E73" t="s">
        <v>26</v>
      </c>
      <c r="F73" t="s">
        <v>22</v>
      </c>
      <c r="G73" t="s">
        <v>51</v>
      </c>
      <c r="H73">
        <v>10</v>
      </c>
      <c r="I73">
        <v>34687</v>
      </c>
      <c r="K73">
        <v>10859</v>
      </c>
    </row>
    <row r="74" spans="1:11" x14ac:dyDescent="0.3">
      <c r="A74" t="s">
        <v>131</v>
      </c>
      <c r="B74" s="1">
        <v>45626</v>
      </c>
      <c r="C74" t="s">
        <v>4</v>
      </c>
      <c r="D74" t="s">
        <v>64</v>
      </c>
      <c r="E74" t="s">
        <v>26</v>
      </c>
      <c r="F74" t="s">
        <v>22</v>
      </c>
      <c r="G74" t="s">
        <v>51</v>
      </c>
      <c r="H74">
        <v>4</v>
      </c>
      <c r="I74">
        <v>32319</v>
      </c>
      <c r="J74">
        <v>0.05</v>
      </c>
      <c r="K74">
        <v>20290</v>
      </c>
    </row>
    <row r="75" spans="1:11" x14ac:dyDescent="0.3">
      <c r="A75" t="s">
        <v>132</v>
      </c>
      <c r="B75" s="1">
        <v>45323</v>
      </c>
      <c r="C75" t="s">
        <v>6</v>
      </c>
      <c r="D75" t="s">
        <v>64</v>
      </c>
      <c r="E75" t="s">
        <v>29</v>
      </c>
      <c r="F75" t="s">
        <v>58</v>
      </c>
      <c r="G75" t="s">
        <v>54</v>
      </c>
      <c r="H75">
        <v>1</v>
      </c>
      <c r="I75">
        <v>1976</v>
      </c>
      <c r="J75">
        <v>0.05</v>
      </c>
      <c r="K75">
        <v>5597</v>
      </c>
    </row>
    <row r="76" spans="1:11" x14ac:dyDescent="0.3">
      <c r="A76" t="s">
        <v>133</v>
      </c>
      <c r="B76" s="1">
        <v>45336</v>
      </c>
      <c r="C76" t="s">
        <v>5</v>
      </c>
      <c r="D76" t="s">
        <v>53</v>
      </c>
      <c r="E76" t="s">
        <v>26</v>
      </c>
      <c r="F76" t="s">
        <v>61</v>
      </c>
      <c r="G76" t="s">
        <v>54</v>
      </c>
      <c r="H76">
        <v>4</v>
      </c>
      <c r="I76">
        <v>27237</v>
      </c>
      <c r="J76">
        <v>0</v>
      </c>
      <c r="K76">
        <v>17550</v>
      </c>
    </row>
    <row r="77" spans="1:11" x14ac:dyDescent="0.3">
      <c r="A77" t="s">
        <v>134</v>
      </c>
      <c r="B77" s="1">
        <v>45424</v>
      </c>
      <c r="C77" t="s">
        <v>5</v>
      </c>
      <c r="D77" t="s">
        <v>76</v>
      </c>
      <c r="E77" t="s">
        <v>26</v>
      </c>
      <c r="F77" t="s">
        <v>24</v>
      </c>
      <c r="G77" t="s">
        <v>54</v>
      </c>
      <c r="H77">
        <v>8</v>
      </c>
      <c r="I77">
        <v>36429</v>
      </c>
      <c r="J77">
        <v>0.05</v>
      </c>
      <c r="K77">
        <v>15686</v>
      </c>
    </row>
    <row r="78" spans="1:11" x14ac:dyDescent="0.3">
      <c r="A78" t="s">
        <v>135</v>
      </c>
      <c r="B78" s="1">
        <v>45579</v>
      </c>
      <c r="C78" t="s">
        <v>4</v>
      </c>
      <c r="D78" t="s">
        <v>76</v>
      </c>
      <c r="E78" t="s">
        <v>25</v>
      </c>
      <c r="F78" t="s">
        <v>50</v>
      </c>
      <c r="G78" t="s">
        <v>51</v>
      </c>
      <c r="H78">
        <v>7</v>
      </c>
      <c r="I78">
        <v>30010</v>
      </c>
      <c r="J78">
        <v>0</v>
      </c>
      <c r="K78">
        <v>6503</v>
      </c>
    </row>
    <row r="79" spans="1:11" x14ac:dyDescent="0.3">
      <c r="A79" t="s">
        <v>136</v>
      </c>
      <c r="B79" s="1">
        <v>45351</v>
      </c>
      <c r="C79" t="s">
        <v>4</v>
      </c>
      <c r="D79" t="s">
        <v>56</v>
      </c>
      <c r="E79" t="s">
        <v>28</v>
      </c>
      <c r="F79" t="s">
        <v>23</v>
      </c>
      <c r="G79" t="s">
        <v>54</v>
      </c>
      <c r="H79">
        <v>2</v>
      </c>
      <c r="I79">
        <v>15440</v>
      </c>
      <c r="J79">
        <v>0.1</v>
      </c>
      <c r="K79">
        <v>18884</v>
      </c>
    </row>
    <row r="80" spans="1:11" x14ac:dyDescent="0.3">
      <c r="A80" t="s">
        <v>137</v>
      </c>
      <c r="B80" s="1">
        <v>45339</v>
      </c>
      <c r="C80" t="s">
        <v>5</v>
      </c>
      <c r="D80" t="s">
        <v>64</v>
      </c>
      <c r="E80" t="s">
        <v>28</v>
      </c>
      <c r="F80" t="s">
        <v>24</v>
      </c>
      <c r="G80" t="s">
        <v>54</v>
      </c>
      <c r="H80">
        <v>1</v>
      </c>
      <c r="I80">
        <v>26526</v>
      </c>
      <c r="J80">
        <v>0.05</v>
      </c>
    </row>
    <row r="81" spans="1:11" x14ac:dyDescent="0.3">
      <c r="A81" t="s">
        <v>138</v>
      </c>
      <c r="B81" s="1">
        <v>45303</v>
      </c>
      <c r="C81" t="s">
        <v>5</v>
      </c>
      <c r="D81" t="s">
        <v>76</v>
      </c>
      <c r="E81" t="s">
        <v>29</v>
      </c>
      <c r="F81" t="s">
        <v>24</v>
      </c>
      <c r="G81" t="s">
        <v>54</v>
      </c>
      <c r="H81">
        <v>10</v>
      </c>
      <c r="I81">
        <v>41127</v>
      </c>
      <c r="J81">
        <v>0.05</v>
      </c>
      <c r="K81">
        <v>2039</v>
      </c>
    </row>
    <row r="82" spans="1:11" x14ac:dyDescent="0.3">
      <c r="A82" t="s">
        <v>139</v>
      </c>
      <c r="B82" s="1">
        <v>45596</v>
      </c>
      <c r="C82" t="s">
        <v>6</v>
      </c>
      <c r="D82" t="s">
        <v>49</v>
      </c>
      <c r="E82" t="s">
        <v>28</v>
      </c>
      <c r="F82" t="s">
        <v>24</v>
      </c>
      <c r="G82" t="s">
        <v>54</v>
      </c>
      <c r="H82">
        <v>7</v>
      </c>
      <c r="I82">
        <v>5533</v>
      </c>
      <c r="J82">
        <v>0.05</v>
      </c>
    </row>
    <row r="83" spans="1:11" x14ac:dyDescent="0.3">
      <c r="A83" t="s">
        <v>140</v>
      </c>
      <c r="B83" s="1">
        <v>45310</v>
      </c>
      <c r="C83" t="s">
        <v>6</v>
      </c>
      <c r="D83" t="s">
        <v>49</v>
      </c>
      <c r="E83" t="s">
        <v>26</v>
      </c>
      <c r="F83" t="s">
        <v>50</v>
      </c>
      <c r="G83" t="s">
        <v>51</v>
      </c>
      <c r="H83">
        <v>1</v>
      </c>
      <c r="I83">
        <v>4265</v>
      </c>
      <c r="J83">
        <v>0.1</v>
      </c>
    </row>
    <row r="84" spans="1:11" x14ac:dyDescent="0.3">
      <c r="A84" t="s">
        <v>141</v>
      </c>
      <c r="B84" s="1">
        <v>45495</v>
      </c>
      <c r="C84" t="s">
        <v>4</v>
      </c>
      <c r="D84" t="s">
        <v>64</v>
      </c>
      <c r="E84" t="s">
        <v>27</v>
      </c>
      <c r="F84" t="s">
        <v>58</v>
      </c>
      <c r="G84" t="s">
        <v>54</v>
      </c>
      <c r="H84">
        <v>1</v>
      </c>
      <c r="I84">
        <v>40542</v>
      </c>
    </row>
    <row r="85" spans="1:11" x14ac:dyDescent="0.3">
      <c r="A85" t="s">
        <v>142</v>
      </c>
      <c r="B85" s="1">
        <v>45421</v>
      </c>
      <c r="C85" t="s">
        <v>5</v>
      </c>
      <c r="D85" t="s">
        <v>64</v>
      </c>
      <c r="E85" t="s">
        <v>28</v>
      </c>
      <c r="F85" t="s">
        <v>61</v>
      </c>
      <c r="G85" t="s">
        <v>54</v>
      </c>
      <c r="H85">
        <v>1</v>
      </c>
      <c r="I85">
        <v>10295</v>
      </c>
      <c r="K85">
        <v>9606</v>
      </c>
    </row>
    <row r="86" spans="1:11" x14ac:dyDescent="0.3">
      <c r="A86" t="s">
        <v>143</v>
      </c>
      <c r="B86" s="1">
        <v>45614</v>
      </c>
      <c r="C86" t="s">
        <v>4</v>
      </c>
      <c r="D86" t="s">
        <v>56</v>
      </c>
      <c r="E86" t="s">
        <v>27</v>
      </c>
      <c r="F86" t="s">
        <v>24</v>
      </c>
      <c r="G86" t="s">
        <v>54</v>
      </c>
      <c r="H86">
        <v>10</v>
      </c>
      <c r="I86">
        <v>43135</v>
      </c>
    </row>
    <row r="87" spans="1:11" x14ac:dyDescent="0.3">
      <c r="A87" t="s">
        <v>144</v>
      </c>
      <c r="B87" s="1">
        <v>45428</v>
      </c>
      <c r="C87" t="s">
        <v>4</v>
      </c>
      <c r="D87" t="s">
        <v>53</v>
      </c>
      <c r="E87" t="s">
        <v>29</v>
      </c>
      <c r="F87" t="s">
        <v>61</v>
      </c>
      <c r="G87" t="s">
        <v>54</v>
      </c>
      <c r="H87">
        <v>3</v>
      </c>
      <c r="I87">
        <v>22790</v>
      </c>
      <c r="J87">
        <v>0.05</v>
      </c>
    </row>
    <row r="88" spans="1:11" x14ac:dyDescent="0.3">
      <c r="A88" t="s">
        <v>145</v>
      </c>
      <c r="B88" s="1">
        <v>45311</v>
      </c>
      <c r="C88" t="s">
        <v>3</v>
      </c>
      <c r="D88" t="s">
        <v>49</v>
      </c>
      <c r="E88" t="s">
        <v>28</v>
      </c>
      <c r="F88" t="s">
        <v>23</v>
      </c>
      <c r="G88" t="s">
        <v>54</v>
      </c>
      <c r="H88">
        <v>10</v>
      </c>
      <c r="I88">
        <v>36203</v>
      </c>
      <c r="J88">
        <v>0.05</v>
      </c>
      <c r="K88">
        <v>4593</v>
      </c>
    </row>
    <row r="89" spans="1:11" x14ac:dyDescent="0.3">
      <c r="A89" t="s">
        <v>146</v>
      </c>
      <c r="B89" s="1">
        <v>45452</v>
      </c>
      <c r="C89" t="s">
        <v>3</v>
      </c>
      <c r="D89" t="s">
        <v>64</v>
      </c>
      <c r="E89" t="s">
        <v>28</v>
      </c>
      <c r="F89" t="s">
        <v>50</v>
      </c>
      <c r="G89" t="s">
        <v>51</v>
      </c>
      <c r="H89">
        <v>2</v>
      </c>
      <c r="I89">
        <v>29990</v>
      </c>
      <c r="J89">
        <v>0</v>
      </c>
    </row>
    <row r="90" spans="1:11" x14ac:dyDescent="0.3">
      <c r="A90" t="s">
        <v>147</v>
      </c>
      <c r="B90" s="1">
        <v>45402</v>
      </c>
      <c r="C90" t="s">
        <v>5</v>
      </c>
      <c r="D90" t="s">
        <v>64</v>
      </c>
      <c r="E90" t="s">
        <v>25</v>
      </c>
      <c r="F90" t="s">
        <v>22</v>
      </c>
      <c r="G90" t="s">
        <v>51</v>
      </c>
      <c r="H90">
        <v>2</v>
      </c>
      <c r="I90">
        <v>34584</v>
      </c>
    </row>
    <row r="91" spans="1:11" x14ac:dyDescent="0.3">
      <c r="A91" t="s">
        <v>148</v>
      </c>
      <c r="B91" s="1">
        <v>45332</v>
      </c>
      <c r="C91" t="s">
        <v>6</v>
      </c>
      <c r="D91" t="s">
        <v>76</v>
      </c>
      <c r="E91" t="s">
        <v>26</v>
      </c>
      <c r="F91" t="s">
        <v>22</v>
      </c>
      <c r="G91" t="s">
        <v>51</v>
      </c>
      <c r="H91">
        <v>8</v>
      </c>
      <c r="I91">
        <v>6065</v>
      </c>
      <c r="J91">
        <v>0.05</v>
      </c>
      <c r="K91">
        <v>11003</v>
      </c>
    </row>
    <row r="92" spans="1:11" x14ac:dyDescent="0.3">
      <c r="A92" t="s">
        <v>149</v>
      </c>
      <c r="B92" s="1">
        <v>45651</v>
      </c>
      <c r="C92" t="s">
        <v>6</v>
      </c>
      <c r="D92" t="s">
        <v>49</v>
      </c>
      <c r="E92" t="s">
        <v>25</v>
      </c>
      <c r="F92" t="s">
        <v>61</v>
      </c>
      <c r="G92" t="s">
        <v>54</v>
      </c>
      <c r="H92">
        <v>9</v>
      </c>
      <c r="I92">
        <v>35616</v>
      </c>
      <c r="K92">
        <v>14753</v>
      </c>
    </row>
    <row r="93" spans="1:11" x14ac:dyDescent="0.3">
      <c r="A93" t="s">
        <v>150</v>
      </c>
      <c r="B93" s="1">
        <v>45542</v>
      </c>
      <c r="C93" t="s">
        <v>6</v>
      </c>
      <c r="D93" t="s">
        <v>56</v>
      </c>
      <c r="E93" t="s">
        <v>28</v>
      </c>
      <c r="F93" t="s">
        <v>58</v>
      </c>
      <c r="G93" t="s">
        <v>54</v>
      </c>
      <c r="H93">
        <v>7</v>
      </c>
      <c r="I93">
        <v>14701</v>
      </c>
      <c r="J93">
        <v>0.05</v>
      </c>
    </row>
    <row r="94" spans="1:11" x14ac:dyDescent="0.3">
      <c r="A94" t="s">
        <v>151</v>
      </c>
      <c r="B94" s="1">
        <v>45592</v>
      </c>
      <c r="C94" t="s">
        <v>4</v>
      </c>
      <c r="D94" t="s">
        <v>69</v>
      </c>
      <c r="E94" t="s">
        <v>28</v>
      </c>
      <c r="F94" t="s">
        <v>61</v>
      </c>
      <c r="G94" t="s">
        <v>54</v>
      </c>
      <c r="H94">
        <v>8</v>
      </c>
      <c r="I94">
        <v>11159</v>
      </c>
      <c r="K94">
        <v>959</v>
      </c>
    </row>
    <row r="95" spans="1:11" x14ac:dyDescent="0.3">
      <c r="A95" t="s">
        <v>152</v>
      </c>
      <c r="B95" s="1">
        <v>45471</v>
      </c>
      <c r="C95" t="s">
        <v>6</v>
      </c>
      <c r="D95" t="s">
        <v>64</v>
      </c>
      <c r="E95" t="s">
        <v>25</v>
      </c>
      <c r="F95" t="s">
        <v>58</v>
      </c>
      <c r="G95" t="s">
        <v>54</v>
      </c>
      <c r="H95">
        <v>6</v>
      </c>
      <c r="I95">
        <v>39961</v>
      </c>
      <c r="J95">
        <v>0.1</v>
      </c>
      <c r="K95">
        <v>24009</v>
      </c>
    </row>
    <row r="96" spans="1:11" x14ac:dyDescent="0.3">
      <c r="A96" t="s">
        <v>153</v>
      </c>
      <c r="B96" s="1">
        <v>45383</v>
      </c>
      <c r="C96" t="s">
        <v>3</v>
      </c>
      <c r="D96" t="s">
        <v>64</v>
      </c>
      <c r="E96" t="s">
        <v>25</v>
      </c>
      <c r="F96" t="s">
        <v>61</v>
      </c>
      <c r="G96" t="s">
        <v>54</v>
      </c>
      <c r="H96">
        <v>9</v>
      </c>
      <c r="I96">
        <v>12105</v>
      </c>
      <c r="J96">
        <v>0.05</v>
      </c>
    </row>
    <row r="97" spans="1:11" x14ac:dyDescent="0.3">
      <c r="A97" t="s">
        <v>154</v>
      </c>
      <c r="B97" s="1">
        <v>45516</v>
      </c>
      <c r="C97" t="s">
        <v>3</v>
      </c>
      <c r="D97" t="s">
        <v>49</v>
      </c>
      <c r="E97" t="s">
        <v>28</v>
      </c>
      <c r="F97" t="s">
        <v>50</v>
      </c>
      <c r="G97" t="s">
        <v>51</v>
      </c>
      <c r="H97">
        <v>4</v>
      </c>
      <c r="I97">
        <v>18667</v>
      </c>
      <c r="J97">
        <v>0.1</v>
      </c>
      <c r="K97">
        <v>13662</v>
      </c>
    </row>
    <row r="98" spans="1:11" x14ac:dyDescent="0.3">
      <c r="A98" t="s">
        <v>155</v>
      </c>
      <c r="B98" s="1">
        <v>45390</v>
      </c>
      <c r="C98" t="s">
        <v>6</v>
      </c>
      <c r="D98" t="s">
        <v>56</v>
      </c>
      <c r="E98" t="s">
        <v>26</v>
      </c>
      <c r="F98" t="s">
        <v>61</v>
      </c>
      <c r="G98" t="s">
        <v>54</v>
      </c>
      <c r="H98">
        <v>9</v>
      </c>
      <c r="I98">
        <v>30848</v>
      </c>
      <c r="J98">
        <v>0.1</v>
      </c>
      <c r="K98">
        <v>24623</v>
      </c>
    </row>
    <row r="99" spans="1:11" x14ac:dyDescent="0.3">
      <c r="A99" t="s">
        <v>156</v>
      </c>
      <c r="B99" s="1">
        <v>45345</v>
      </c>
      <c r="C99" t="s">
        <v>5</v>
      </c>
      <c r="D99" t="s">
        <v>64</v>
      </c>
      <c r="E99" t="s">
        <v>26</v>
      </c>
      <c r="F99" t="s">
        <v>23</v>
      </c>
      <c r="G99" t="s">
        <v>54</v>
      </c>
      <c r="H99">
        <v>9</v>
      </c>
      <c r="I99">
        <v>2772</v>
      </c>
      <c r="J99">
        <v>0.05</v>
      </c>
      <c r="K99">
        <v>969</v>
      </c>
    </row>
    <row r="100" spans="1:11" x14ac:dyDescent="0.3">
      <c r="A100" t="s">
        <v>157</v>
      </c>
      <c r="B100" s="1">
        <v>45366</v>
      </c>
      <c r="C100" t="s">
        <v>6</v>
      </c>
      <c r="D100" t="s">
        <v>49</v>
      </c>
      <c r="E100" t="s">
        <v>27</v>
      </c>
      <c r="F100" t="s">
        <v>50</v>
      </c>
      <c r="G100" t="s">
        <v>51</v>
      </c>
      <c r="H100">
        <v>9</v>
      </c>
      <c r="I100">
        <v>30646</v>
      </c>
      <c r="J100">
        <v>0</v>
      </c>
    </row>
    <row r="101" spans="1:11" x14ac:dyDescent="0.3">
      <c r="A101" t="s">
        <v>158</v>
      </c>
      <c r="B101" s="1">
        <v>45652</v>
      </c>
      <c r="C101" t="s">
        <v>3</v>
      </c>
      <c r="D101" t="s">
        <v>64</v>
      </c>
      <c r="E101" t="s">
        <v>28</v>
      </c>
      <c r="F101" t="s">
        <v>23</v>
      </c>
      <c r="G101" t="s">
        <v>54</v>
      </c>
      <c r="H101">
        <v>9</v>
      </c>
      <c r="I101">
        <v>42832</v>
      </c>
      <c r="J101">
        <v>0</v>
      </c>
      <c r="K101">
        <v>5782</v>
      </c>
    </row>
    <row r="102" spans="1:11" x14ac:dyDescent="0.3">
      <c r="A102" t="s">
        <v>159</v>
      </c>
      <c r="B102" s="1">
        <v>45354</v>
      </c>
      <c r="C102" t="s">
        <v>3</v>
      </c>
      <c r="D102" t="s">
        <v>69</v>
      </c>
      <c r="E102" t="s">
        <v>26</v>
      </c>
      <c r="F102" t="s">
        <v>58</v>
      </c>
      <c r="G102" t="s">
        <v>54</v>
      </c>
      <c r="H102">
        <v>2</v>
      </c>
      <c r="I102">
        <v>14634</v>
      </c>
      <c r="J102">
        <v>0.1</v>
      </c>
    </row>
    <row r="103" spans="1:11" x14ac:dyDescent="0.3">
      <c r="A103" t="s">
        <v>160</v>
      </c>
      <c r="B103" s="1">
        <v>45450</v>
      </c>
      <c r="C103" t="s">
        <v>6</v>
      </c>
      <c r="D103" t="s">
        <v>69</v>
      </c>
      <c r="E103" t="s">
        <v>26</v>
      </c>
      <c r="F103" t="s">
        <v>24</v>
      </c>
      <c r="G103" t="s">
        <v>54</v>
      </c>
      <c r="H103">
        <v>5</v>
      </c>
      <c r="I103">
        <v>40273</v>
      </c>
      <c r="J103">
        <v>0.05</v>
      </c>
    </row>
    <row r="104" spans="1:11" x14ac:dyDescent="0.3">
      <c r="A104" t="s">
        <v>161</v>
      </c>
      <c r="B104" s="1">
        <v>45590</v>
      </c>
      <c r="C104" t="s">
        <v>4</v>
      </c>
      <c r="D104" t="s">
        <v>69</v>
      </c>
      <c r="E104" t="s">
        <v>28</v>
      </c>
      <c r="F104" t="s">
        <v>58</v>
      </c>
      <c r="G104" t="s">
        <v>54</v>
      </c>
      <c r="H104">
        <v>2</v>
      </c>
      <c r="I104">
        <v>5905</v>
      </c>
      <c r="J104">
        <v>0.05</v>
      </c>
    </row>
    <row r="105" spans="1:11" x14ac:dyDescent="0.3">
      <c r="A105" t="s">
        <v>162</v>
      </c>
      <c r="B105" s="1">
        <v>45518</v>
      </c>
      <c r="C105" t="s">
        <v>6</v>
      </c>
      <c r="D105" t="s">
        <v>56</v>
      </c>
      <c r="E105" t="s">
        <v>29</v>
      </c>
      <c r="F105" t="s">
        <v>22</v>
      </c>
      <c r="G105" t="s">
        <v>51</v>
      </c>
      <c r="H105">
        <v>4</v>
      </c>
      <c r="I105">
        <v>11473</v>
      </c>
    </row>
    <row r="106" spans="1:11" x14ac:dyDescent="0.3">
      <c r="A106" t="s">
        <v>163</v>
      </c>
      <c r="B106" s="1">
        <v>45441</v>
      </c>
      <c r="C106" t="s">
        <v>3</v>
      </c>
      <c r="D106" t="s">
        <v>69</v>
      </c>
      <c r="E106" t="s">
        <v>29</v>
      </c>
      <c r="F106" t="s">
        <v>22</v>
      </c>
      <c r="G106" t="s">
        <v>51</v>
      </c>
      <c r="H106">
        <v>3</v>
      </c>
      <c r="I106">
        <v>6379</v>
      </c>
      <c r="J106">
        <v>0.1</v>
      </c>
      <c r="K106">
        <v>8916</v>
      </c>
    </row>
    <row r="107" spans="1:11" x14ac:dyDescent="0.3">
      <c r="A107" t="s">
        <v>164</v>
      </c>
      <c r="B107" s="1">
        <v>45383</v>
      </c>
      <c r="C107" t="s">
        <v>4</v>
      </c>
      <c r="D107" t="s">
        <v>69</v>
      </c>
      <c r="E107" t="s">
        <v>25</v>
      </c>
      <c r="F107" t="s">
        <v>24</v>
      </c>
      <c r="G107" t="s">
        <v>54</v>
      </c>
      <c r="H107">
        <v>7</v>
      </c>
      <c r="I107">
        <v>5824</v>
      </c>
      <c r="K107">
        <v>4007</v>
      </c>
    </row>
    <row r="108" spans="1:11" x14ac:dyDescent="0.3">
      <c r="A108" t="s">
        <v>165</v>
      </c>
      <c r="B108" s="1">
        <v>45346</v>
      </c>
      <c r="C108" t="s">
        <v>5</v>
      </c>
      <c r="D108" t="s">
        <v>56</v>
      </c>
      <c r="E108" t="s">
        <v>25</v>
      </c>
      <c r="F108" t="s">
        <v>61</v>
      </c>
      <c r="G108" t="s">
        <v>54</v>
      </c>
      <c r="H108">
        <v>4</v>
      </c>
      <c r="I108">
        <v>35086</v>
      </c>
      <c r="J108">
        <v>0</v>
      </c>
      <c r="K108">
        <v>18816</v>
      </c>
    </row>
    <row r="109" spans="1:11" x14ac:dyDescent="0.3">
      <c r="A109" t="s">
        <v>166</v>
      </c>
      <c r="B109" s="1">
        <v>45393</v>
      </c>
      <c r="C109" t="s">
        <v>6</v>
      </c>
      <c r="D109" t="s">
        <v>76</v>
      </c>
      <c r="E109" t="s">
        <v>25</v>
      </c>
      <c r="F109" t="s">
        <v>22</v>
      </c>
      <c r="G109" t="s">
        <v>51</v>
      </c>
      <c r="H109">
        <v>1</v>
      </c>
      <c r="I109">
        <v>4208</v>
      </c>
      <c r="J109">
        <v>0.1</v>
      </c>
    </row>
    <row r="110" spans="1:11" x14ac:dyDescent="0.3">
      <c r="A110" t="s">
        <v>167</v>
      </c>
      <c r="B110" s="1">
        <v>45412</v>
      </c>
      <c r="C110" t="s">
        <v>6</v>
      </c>
      <c r="D110" t="s">
        <v>56</v>
      </c>
      <c r="E110" t="s">
        <v>29</v>
      </c>
      <c r="F110" t="s">
        <v>58</v>
      </c>
      <c r="G110" t="s">
        <v>54</v>
      </c>
      <c r="H110">
        <v>10</v>
      </c>
      <c r="I110">
        <v>31197</v>
      </c>
      <c r="J110">
        <v>0.05</v>
      </c>
    </row>
    <row r="111" spans="1:11" x14ac:dyDescent="0.3">
      <c r="A111" t="s">
        <v>168</v>
      </c>
      <c r="B111" s="1">
        <v>45345</v>
      </c>
      <c r="C111" t="s">
        <v>3</v>
      </c>
      <c r="D111" t="s">
        <v>53</v>
      </c>
      <c r="E111" t="s">
        <v>26</v>
      </c>
      <c r="F111" t="s">
        <v>23</v>
      </c>
      <c r="G111" t="s">
        <v>54</v>
      </c>
      <c r="H111">
        <v>5</v>
      </c>
      <c r="I111">
        <v>6205</v>
      </c>
      <c r="K111">
        <v>10875</v>
      </c>
    </row>
    <row r="112" spans="1:11" x14ac:dyDescent="0.3">
      <c r="A112" t="s">
        <v>169</v>
      </c>
      <c r="B112" s="1">
        <v>45313</v>
      </c>
      <c r="C112" t="s">
        <v>3</v>
      </c>
      <c r="D112" t="s">
        <v>64</v>
      </c>
      <c r="E112" t="s">
        <v>26</v>
      </c>
      <c r="F112" t="s">
        <v>61</v>
      </c>
      <c r="G112" t="s">
        <v>54</v>
      </c>
      <c r="H112">
        <v>6</v>
      </c>
      <c r="I112">
        <v>20006</v>
      </c>
      <c r="J112">
        <v>0.05</v>
      </c>
    </row>
    <row r="113" spans="1:11" x14ac:dyDescent="0.3">
      <c r="A113" t="s">
        <v>170</v>
      </c>
      <c r="B113" s="1">
        <v>45309</v>
      </c>
      <c r="C113" t="s">
        <v>3</v>
      </c>
      <c r="D113" t="s">
        <v>53</v>
      </c>
      <c r="E113" t="s">
        <v>27</v>
      </c>
      <c r="F113" t="s">
        <v>24</v>
      </c>
      <c r="G113" t="s">
        <v>54</v>
      </c>
      <c r="H113">
        <v>8</v>
      </c>
      <c r="I113">
        <v>5405</v>
      </c>
    </row>
    <row r="114" spans="1:11" x14ac:dyDescent="0.3">
      <c r="A114" t="s">
        <v>171</v>
      </c>
      <c r="B114" s="1">
        <v>45564</v>
      </c>
      <c r="C114" t="s">
        <v>4</v>
      </c>
      <c r="D114" t="s">
        <v>49</v>
      </c>
      <c r="E114" t="s">
        <v>28</v>
      </c>
      <c r="F114" t="s">
        <v>23</v>
      </c>
      <c r="G114" t="s">
        <v>54</v>
      </c>
      <c r="H114">
        <v>2</v>
      </c>
      <c r="I114">
        <v>9694</v>
      </c>
      <c r="J114">
        <v>0.1</v>
      </c>
    </row>
    <row r="115" spans="1:11" x14ac:dyDescent="0.3">
      <c r="A115" t="s">
        <v>172</v>
      </c>
      <c r="B115" s="1">
        <v>45444</v>
      </c>
      <c r="C115" t="s">
        <v>6</v>
      </c>
      <c r="D115" t="s">
        <v>53</v>
      </c>
      <c r="E115" t="s">
        <v>27</v>
      </c>
      <c r="F115" t="s">
        <v>23</v>
      </c>
      <c r="G115" t="s">
        <v>54</v>
      </c>
      <c r="H115">
        <v>6</v>
      </c>
      <c r="I115">
        <v>22417</v>
      </c>
    </row>
    <row r="116" spans="1:11" x14ac:dyDescent="0.3">
      <c r="A116" t="s">
        <v>173</v>
      </c>
      <c r="B116" s="1">
        <v>45486</v>
      </c>
      <c r="C116" t="s">
        <v>3</v>
      </c>
      <c r="D116" t="s">
        <v>76</v>
      </c>
      <c r="E116" t="s">
        <v>29</v>
      </c>
      <c r="F116" t="s">
        <v>50</v>
      </c>
      <c r="G116" t="s">
        <v>51</v>
      </c>
      <c r="H116">
        <v>1</v>
      </c>
      <c r="I116">
        <v>11146</v>
      </c>
    </row>
    <row r="117" spans="1:11" x14ac:dyDescent="0.3">
      <c r="A117" t="s">
        <v>174</v>
      </c>
      <c r="B117" s="1">
        <v>45611</v>
      </c>
      <c r="C117" t="s">
        <v>4</v>
      </c>
      <c r="D117" t="s">
        <v>76</v>
      </c>
      <c r="E117" t="s">
        <v>29</v>
      </c>
      <c r="F117" t="s">
        <v>23</v>
      </c>
      <c r="G117" t="s">
        <v>54</v>
      </c>
      <c r="H117">
        <v>3</v>
      </c>
      <c r="I117">
        <v>45216</v>
      </c>
      <c r="J117">
        <v>0.1</v>
      </c>
      <c r="K117">
        <v>3805</v>
      </c>
    </row>
    <row r="118" spans="1:11" x14ac:dyDescent="0.3">
      <c r="A118" t="s">
        <v>175</v>
      </c>
      <c r="B118" s="1">
        <v>45465</v>
      </c>
      <c r="C118" t="s">
        <v>5</v>
      </c>
      <c r="D118" t="s">
        <v>53</v>
      </c>
      <c r="E118" t="s">
        <v>28</v>
      </c>
      <c r="F118" t="s">
        <v>58</v>
      </c>
      <c r="G118" t="s">
        <v>54</v>
      </c>
      <c r="H118">
        <v>1</v>
      </c>
      <c r="I118">
        <v>36735</v>
      </c>
    </row>
    <row r="119" spans="1:11" x14ac:dyDescent="0.3">
      <c r="A119" t="s">
        <v>176</v>
      </c>
      <c r="B119" s="1">
        <v>45372</v>
      </c>
      <c r="C119" t="s">
        <v>4</v>
      </c>
      <c r="D119" t="s">
        <v>56</v>
      </c>
      <c r="E119" t="s">
        <v>29</v>
      </c>
      <c r="F119" t="s">
        <v>22</v>
      </c>
      <c r="G119" t="s">
        <v>51</v>
      </c>
      <c r="H119">
        <v>2</v>
      </c>
      <c r="I119">
        <v>13627</v>
      </c>
      <c r="J119">
        <v>0.1</v>
      </c>
    </row>
    <row r="120" spans="1:11" x14ac:dyDescent="0.3">
      <c r="A120" t="s">
        <v>177</v>
      </c>
      <c r="B120" s="1">
        <v>45466</v>
      </c>
      <c r="C120" t="s">
        <v>3</v>
      </c>
      <c r="D120" t="s">
        <v>49</v>
      </c>
      <c r="E120" t="s">
        <v>29</v>
      </c>
      <c r="F120" t="s">
        <v>22</v>
      </c>
      <c r="G120" t="s">
        <v>51</v>
      </c>
      <c r="H120">
        <v>6</v>
      </c>
      <c r="I120">
        <v>19988</v>
      </c>
      <c r="J120">
        <v>0.1</v>
      </c>
    </row>
    <row r="121" spans="1:11" x14ac:dyDescent="0.3">
      <c r="A121" t="s">
        <v>178</v>
      </c>
      <c r="B121" s="1">
        <v>45596</v>
      </c>
      <c r="C121" t="s">
        <v>4</v>
      </c>
      <c r="D121" t="s">
        <v>69</v>
      </c>
      <c r="E121" t="s">
        <v>27</v>
      </c>
      <c r="F121" t="s">
        <v>23</v>
      </c>
      <c r="G121" t="s">
        <v>54</v>
      </c>
      <c r="H121">
        <v>10</v>
      </c>
      <c r="I121">
        <v>38361</v>
      </c>
    </row>
    <row r="122" spans="1:11" x14ac:dyDescent="0.3">
      <c r="A122" t="s">
        <v>179</v>
      </c>
      <c r="B122" s="1">
        <v>45360</v>
      </c>
      <c r="C122" t="s">
        <v>4</v>
      </c>
      <c r="D122" t="s">
        <v>76</v>
      </c>
      <c r="E122" t="s">
        <v>26</v>
      </c>
      <c r="F122" t="s">
        <v>58</v>
      </c>
      <c r="G122" t="s">
        <v>54</v>
      </c>
      <c r="H122">
        <v>6</v>
      </c>
      <c r="I122">
        <v>13980</v>
      </c>
      <c r="J122">
        <v>0.05</v>
      </c>
    </row>
    <row r="123" spans="1:11" x14ac:dyDescent="0.3">
      <c r="A123" t="s">
        <v>180</v>
      </c>
      <c r="B123" s="1">
        <v>45490</v>
      </c>
      <c r="C123" t="s">
        <v>5</v>
      </c>
      <c r="D123" t="s">
        <v>76</v>
      </c>
      <c r="E123" t="s">
        <v>27</v>
      </c>
      <c r="F123" t="s">
        <v>24</v>
      </c>
      <c r="G123" t="s">
        <v>54</v>
      </c>
      <c r="H123">
        <v>2</v>
      </c>
      <c r="I123">
        <v>13646</v>
      </c>
    </row>
    <row r="124" spans="1:11" x14ac:dyDescent="0.3">
      <c r="A124" t="s">
        <v>181</v>
      </c>
      <c r="B124" s="1">
        <v>45376</v>
      </c>
      <c r="C124" t="s">
        <v>3</v>
      </c>
      <c r="D124" t="s">
        <v>49</v>
      </c>
      <c r="E124" t="s">
        <v>25</v>
      </c>
      <c r="F124" t="s">
        <v>24</v>
      </c>
      <c r="G124" t="s">
        <v>54</v>
      </c>
      <c r="H124">
        <v>5</v>
      </c>
      <c r="I124">
        <v>13629</v>
      </c>
      <c r="J124">
        <v>0</v>
      </c>
      <c r="K124">
        <v>17099</v>
      </c>
    </row>
    <row r="125" spans="1:11" x14ac:dyDescent="0.3">
      <c r="A125" t="s">
        <v>182</v>
      </c>
      <c r="B125" s="1">
        <v>45594</v>
      </c>
      <c r="C125" t="s">
        <v>3</v>
      </c>
      <c r="D125" t="s">
        <v>64</v>
      </c>
      <c r="E125" t="s">
        <v>26</v>
      </c>
      <c r="F125" t="s">
        <v>58</v>
      </c>
      <c r="G125" t="s">
        <v>54</v>
      </c>
      <c r="H125">
        <v>9</v>
      </c>
      <c r="I125">
        <v>17186</v>
      </c>
      <c r="J125">
        <v>0.1</v>
      </c>
    </row>
    <row r="126" spans="1:11" x14ac:dyDescent="0.3">
      <c r="A126" t="s">
        <v>183</v>
      </c>
      <c r="B126" s="1">
        <v>45312</v>
      </c>
      <c r="C126" t="s">
        <v>3</v>
      </c>
      <c r="D126" t="s">
        <v>49</v>
      </c>
      <c r="E126" t="s">
        <v>29</v>
      </c>
      <c r="F126" t="s">
        <v>23</v>
      </c>
      <c r="G126" t="s">
        <v>54</v>
      </c>
      <c r="H126">
        <v>8</v>
      </c>
      <c r="I126">
        <v>13851</v>
      </c>
      <c r="J126">
        <v>0.05</v>
      </c>
    </row>
    <row r="127" spans="1:11" x14ac:dyDescent="0.3">
      <c r="A127" t="s">
        <v>184</v>
      </c>
      <c r="B127" s="1">
        <v>45510</v>
      </c>
      <c r="C127" t="s">
        <v>5</v>
      </c>
      <c r="D127" t="s">
        <v>64</v>
      </c>
      <c r="E127" t="s">
        <v>26</v>
      </c>
      <c r="F127" t="s">
        <v>23</v>
      </c>
      <c r="G127" t="s">
        <v>54</v>
      </c>
      <c r="H127">
        <v>2</v>
      </c>
      <c r="I127">
        <v>44793</v>
      </c>
      <c r="J127">
        <v>0.1</v>
      </c>
    </row>
    <row r="128" spans="1:11" x14ac:dyDescent="0.3">
      <c r="A128" t="s">
        <v>185</v>
      </c>
      <c r="B128" s="1">
        <v>45389</v>
      </c>
      <c r="C128" t="s">
        <v>6</v>
      </c>
      <c r="D128" t="s">
        <v>49</v>
      </c>
      <c r="E128" t="s">
        <v>26</v>
      </c>
      <c r="F128" t="s">
        <v>50</v>
      </c>
      <c r="G128" t="s">
        <v>51</v>
      </c>
      <c r="H128">
        <v>6</v>
      </c>
      <c r="I128">
        <v>44120</v>
      </c>
      <c r="J128">
        <v>0.1</v>
      </c>
      <c r="K128">
        <v>2850</v>
      </c>
    </row>
    <row r="129" spans="1:11" x14ac:dyDescent="0.3">
      <c r="A129" t="s">
        <v>186</v>
      </c>
      <c r="B129" s="1">
        <v>45436</v>
      </c>
      <c r="C129" t="s">
        <v>4</v>
      </c>
      <c r="D129" t="s">
        <v>53</v>
      </c>
      <c r="E129" t="s">
        <v>26</v>
      </c>
      <c r="F129" t="s">
        <v>50</v>
      </c>
      <c r="G129" t="s">
        <v>51</v>
      </c>
      <c r="H129">
        <v>6</v>
      </c>
      <c r="I129">
        <v>32644</v>
      </c>
      <c r="J129">
        <v>0</v>
      </c>
    </row>
    <row r="130" spans="1:11" x14ac:dyDescent="0.3">
      <c r="A130" t="s">
        <v>187</v>
      </c>
      <c r="B130" s="1">
        <v>45343</v>
      </c>
      <c r="C130" t="s">
        <v>4</v>
      </c>
      <c r="D130" t="s">
        <v>49</v>
      </c>
      <c r="E130" t="s">
        <v>27</v>
      </c>
      <c r="F130" t="s">
        <v>58</v>
      </c>
      <c r="G130" t="s">
        <v>54</v>
      </c>
      <c r="H130">
        <v>1</v>
      </c>
      <c r="I130">
        <v>46296</v>
      </c>
    </row>
    <row r="131" spans="1:11" x14ac:dyDescent="0.3">
      <c r="A131" t="s">
        <v>188</v>
      </c>
      <c r="B131" s="1">
        <v>45309</v>
      </c>
      <c r="C131" t="s">
        <v>3</v>
      </c>
      <c r="D131" t="s">
        <v>53</v>
      </c>
      <c r="E131" t="s">
        <v>25</v>
      </c>
      <c r="F131" t="s">
        <v>50</v>
      </c>
      <c r="G131" t="s">
        <v>51</v>
      </c>
      <c r="H131">
        <v>5</v>
      </c>
      <c r="I131">
        <v>29473</v>
      </c>
      <c r="J131">
        <v>0.1</v>
      </c>
    </row>
    <row r="132" spans="1:11" x14ac:dyDescent="0.3">
      <c r="A132" t="s">
        <v>189</v>
      </c>
      <c r="B132" s="1">
        <v>45568</v>
      </c>
      <c r="C132" t="s">
        <v>6</v>
      </c>
      <c r="D132" t="s">
        <v>76</v>
      </c>
      <c r="E132" t="s">
        <v>27</v>
      </c>
      <c r="F132" t="s">
        <v>22</v>
      </c>
      <c r="G132" t="s">
        <v>51</v>
      </c>
      <c r="H132">
        <v>3</v>
      </c>
      <c r="I132">
        <v>823</v>
      </c>
      <c r="J132">
        <v>0.1</v>
      </c>
      <c r="K132">
        <v>9760</v>
      </c>
    </row>
    <row r="133" spans="1:11" x14ac:dyDescent="0.3">
      <c r="A133" t="s">
        <v>190</v>
      </c>
      <c r="B133" s="1">
        <v>45627</v>
      </c>
      <c r="C133" t="s">
        <v>3</v>
      </c>
      <c r="D133" t="s">
        <v>56</v>
      </c>
      <c r="E133" t="s">
        <v>25</v>
      </c>
      <c r="F133" t="s">
        <v>58</v>
      </c>
      <c r="G133" t="s">
        <v>54</v>
      </c>
      <c r="H133">
        <v>6</v>
      </c>
      <c r="I133">
        <v>29572</v>
      </c>
    </row>
    <row r="134" spans="1:11" x14ac:dyDescent="0.3">
      <c r="A134" t="s">
        <v>191</v>
      </c>
      <c r="B134" s="1">
        <v>45657</v>
      </c>
      <c r="C134" t="s">
        <v>5</v>
      </c>
      <c r="D134" t="s">
        <v>49</v>
      </c>
      <c r="E134" t="s">
        <v>28</v>
      </c>
      <c r="F134" t="s">
        <v>61</v>
      </c>
      <c r="G134" t="s">
        <v>54</v>
      </c>
      <c r="H134">
        <v>5</v>
      </c>
      <c r="I134">
        <v>28174</v>
      </c>
    </row>
    <row r="135" spans="1:11" x14ac:dyDescent="0.3">
      <c r="A135" t="s">
        <v>192</v>
      </c>
      <c r="B135" s="1">
        <v>45501</v>
      </c>
      <c r="C135" t="s">
        <v>4</v>
      </c>
      <c r="D135" t="s">
        <v>69</v>
      </c>
      <c r="E135" t="s">
        <v>25</v>
      </c>
      <c r="F135" t="s">
        <v>50</v>
      </c>
      <c r="G135" t="s">
        <v>51</v>
      </c>
      <c r="H135">
        <v>3</v>
      </c>
      <c r="I135">
        <v>6494</v>
      </c>
      <c r="J135">
        <v>0.1</v>
      </c>
    </row>
    <row r="136" spans="1:11" x14ac:dyDescent="0.3">
      <c r="A136" t="s">
        <v>193</v>
      </c>
      <c r="B136" s="1">
        <v>45611</v>
      </c>
      <c r="C136" t="s">
        <v>5</v>
      </c>
      <c r="D136" t="s">
        <v>53</v>
      </c>
      <c r="E136" t="s">
        <v>27</v>
      </c>
      <c r="F136" t="s">
        <v>24</v>
      </c>
      <c r="G136" t="s">
        <v>54</v>
      </c>
      <c r="H136">
        <v>3</v>
      </c>
      <c r="I136">
        <v>22202</v>
      </c>
      <c r="J136">
        <v>0.05</v>
      </c>
      <c r="K136">
        <v>22956</v>
      </c>
    </row>
    <row r="137" spans="1:11" x14ac:dyDescent="0.3">
      <c r="A137" t="s">
        <v>194</v>
      </c>
      <c r="B137" s="1">
        <v>45441</v>
      </c>
      <c r="C137" t="s">
        <v>3</v>
      </c>
      <c r="D137" t="s">
        <v>53</v>
      </c>
      <c r="E137" t="s">
        <v>28</v>
      </c>
      <c r="F137" t="s">
        <v>24</v>
      </c>
      <c r="G137" t="s">
        <v>54</v>
      </c>
      <c r="H137">
        <v>3</v>
      </c>
      <c r="I137">
        <v>3979</v>
      </c>
      <c r="J137">
        <v>0.1</v>
      </c>
      <c r="K137">
        <v>5074</v>
      </c>
    </row>
    <row r="138" spans="1:11" x14ac:dyDescent="0.3">
      <c r="A138" t="s">
        <v>195</v>
      </c>
      <c r="B138" s="1">
        <v>45606</v>
      </c>
      <c r="C138" t="s">
        <v>4</v>
      </c>
      <c r="D138" t="s">
        <v>69</v>
      </c>
      <c r="E138" t="s">
        <v>28</v>
      </c>
      <c r="F138" t="s">
        <v>24</v>
      </c>
      <c r="G138" t="s">
        <v>54</v>
      </c>
      <c r="H138">
        <v>2</v>
      </c>
      <c r="I138">
        <v>15791</v>
      </c>
      <c r="J138">
        <v>0</v>
      </c>
    </row>
    <row r="139" spans="1:11" x14ac:dyDescent="0.3">
      <c r="A139" t="s">
        <v>196</v>
      </c>
      <c r="B139" s="1">
        <v>45378</v>
      </c>
      <c r="C139" t="s">
        <v>4</v>
      </c>
      <c r="D139" t="s">
        <v>56</v>
      </c>
      <c r="E139" t="s">
        <v>28</v>
      </c>
      <c r="F139" t="s">
        <v>24</v>
      </c>
      <c r="G139" t="s">
        <v>54</v>
      </c>
      <c r="H139">
        <v>7</v>
      </c>
      <c r="I139">
        <v>24754</v>
      </c>
      <c r="J139">
        <v>0</v>
      </c>
    </row>
    <row r="140" spans="1:11" x14ac:dyDescent="0.3">
      <c r="A140" t="s">
        <v>197</v>
      </c>
      <c r="B140" s="1">
        <v>45352</v>
      </c>
      <c r="C140" t="s">
        <v>6</v>
      </c>
      <c r="D140" t="s">
        <v>69</v>
      </c>
      <c r="E140" t="s">
        <v>29</v>
      </c>
      <c r="F140" t="s">
        <v>22</v>
      </c>
      <c r="G140" t="s">
        <v>51</v>
      </c>
      <c r="H140">
        <v>2</v>
      </c>
      <c r="I140">
        <v>47711</v>
      </c>
      <c r="J140">
        <v>0</v>
      </c>
    </row>
    <row r="141" spans="1:11" x14ac:dyDescent="0.3">
      <c r="A141" t="s">
        <v>198</v>
      </c>
      <c r="B141" s="1">
        <v>45380</v>
      </c>
      <c r="C141" t="s">
        <v>3</v>
      </c>
      <c r="D141" t="s">
        <v>53</v>
      </c>
      <c r="E141" t="s">
        <v>27</v>
      </c>
      <c r="F141" t="s">
        <v>50</v>
      </c>
      <c r="G141" t="s">
        <v>51</v>
      </c>
      <c r="H141">
        <v>6</v>
      </c>
      <c r="I141">
        <v>16480</v>
      </c>
    </row>
    <row r="142" spans="1:11" x14ac:dyDescent="0.3">
      <c r="A142" t="s">
        <v>199</v>
      </c>
      <c r="B142" s="1">
        <v>45413</v>
      </c>
      <c r="C142" t="s">
        <v>5</v>
      </c>
      <c r="D142" t="s">
        <v>56</v>
      </c>
      <c r="E142" t="s">
        <v>26</v>
      </c>
      <c r="F142" t="s">
        <v>22</v>
      </c>
      <c r="G142" t="s">
        <v>51</v>
      </c>
      <c r="H142">
        <v>1</v>
      </c>
      <c r="I142">
        <v>28229</v>
      </c>
      <c r="J142">
        <v>0.05</v>
      </c>
    </row>
    <row r="143" spans="1:11" x14ac:dyDescent="0.3">
      <c r="A143" t="s">
        <v>200</v>
      </c>
      <c r="B143" s="1">
        <v>45490</v>
      </c>
      <c r="C143" t="s">
        <v>3</v>
      </c>
      <c r="D143" t="s">
        <v>69</v>
      </c>
      <c r="E143" t="s">
        <v>26</v>
      </c>
      <c r="F143" t="s">
        <v>23</v>
      </c>
      <c r="G143" t="s">
        <v>54</v>
      </c>
      <c r="H143">
        <v>2</v>
      </c>
      <c r="I143">
        <v>13677</v>
      </c>
      <c r="J143">
        <v>0.05</v>
      </c>
      <c r="K143">
        <v>5541</v>
      </c>
    </row>
    <row r="144" spans="1:11" x14ac:dyDescent="0.3">
      <c r="A144" t="s">
        <v>201</v>
      </c>
      <c r="B144" s="1">
        <v>45396</v>
      </c>
      <c r="C144" t="s">
        <v>4</v>
      </c>
      <c r="D144" t="s">
        <v>56</v>
      </c>
      <c r="E144" t="s">
        <v>25</v>
      </c>
      <c r="F144" t="s">
        <v>24</v>
      </c>
      <c r="G144" t="s">
        <v>54</v>
      </c>
      <c r="H144">
        <v>7</v>
      </c>
      <c r="I144">
        <v>44177</v>
      </c>
    </row>
    <row r="145" spans="1:11" x14ac:dyDescent="0.3">
      <c r="A145" t="s">
        <v>202</v>
      </c>
      <c r="B145" s="1">
        <v>45463</v>
      </c>
      <c r="C145" t="s">
        <v>5</v>
      </c>
      <c r="D145" t="s">
        <v>76</v>
      </c>
      <c r="E145" t="s">
        <v>26</v>
      </c>
      <c r="F145" t="s">
        <v>23</v>
      </c>
      <c r="G145" t="s">
        <v>54</v>
      </c>
      <c r="H145">
        <v>5</v>
      </c>
      <c r="I145">
        <v>4664</v>
      </c>
      <c r="J145">
        <v>0.1</v>
      </c>
      <c r="K145">
        <v>27139</v>
      </c>
    </row>
    <row r="146" spans="1:11" x14ac:dyDescent="0.3">
      <c r="A146" t="s">
        <v>203</v>
      </c>
      <c r="B146" s="1">
        <v>45487</v>
      </c>
      <c r="C146" t="s">
        <v>5</v>
      </c>
      <c r="D146" t="s">
        <v>56</v>
      </c>
      <c r="E146" t="s">
        <v>27</v>
      </c>
      <c r="F146" t="s">
        <v>50</v>
      </c>
      <c r="G146" t="s">
        <v>51</v>
      </c>
      <c r="H146">
        <v>9</v>
      </c>
      <c r="I146">
        <v>17961</v>
      </c>
      <c r="J146">
        <v>0</v>
      </c>
    </row>
    <row r="147" spans="1:11" x14ac:dyDescent="0.3">
      <c r="A147" t="s">
        <v>204</v>
      </c>
      <c r="B147" s="1">
        <v>45395</v>
      </c>
      <c r="C147" t="s">
        <v>3</v>
      </c>
      <c r="D147" t="s">
        <v>76</v>
      </c>
      <c r="E147" t="s">
        <v>27</v>
      </c>
      <c r="F147" t="s">
        <v>24</v>
      </c>
      <c r="G147" t="s">
        <v>54</v>
      </c>
      <c r="H147">
        <v>4</v>
      </c>
      <c r="I147">
        <v>8698</v>
      </c>
      <c r="J147">
        <v>0.05</v>
      </c>
    </row>
    <row r="148" spans="1:11" x14ac:dyDescent="0.3">
      <c r="A148" t="s">
        <v>205</v>
      </c>
      <c r="B148" s="1">
        <v>45528</v>
      </c>
      <c r="C148" t="s">
        <v>6</v>
      </c>
      <c r="D148" t="s">
        <v>64</v>
      </c>
      <c r="E148" t="s">
        <v>27</v>
      </c>
      <c r="F148" t="s">
        <v>23</v>
      </c>
      <c r="G148" t="s">
        <v>54</v>
      </c>
      <c r="H148">
        <v>1</v>
      </c>
      <c r="I148">
        <v>39693</v>
      </c>
      <c r="J148">
        <v>0</v>
      </c>
    </row>
    <row r="149" spans="1:11" x14ac:dyDescent="0.3">
      <c r="A149" t="s">
        <v>206</v>
      </c>
      <c r="B149" s="1">
        <v>45353</v>
      </c>
      <c r="C149" t="s">
        <v>3</v>
      </c>
      <c r="D149" t="s">
        <v>49</v>
      </c>
      <c r="E149" t="s">
        <v>28</v>
      </c>
      <c r="F149" t="s">
        <v>24</v>
      </c>
      <c r="G149" t="s">
        <v>54</v>
      </c>
      <c r="H149">
        <v>4</v>
      </c>
      <c r="I149">
        <v>49254</v>
      </c>
      <c r="J149">
        <v>0</v>
      </c>
    </row>
    <row r="150" spans="1:11" x14ac:dyDescent="0.3">
      <c r="A150" t="s">
        <v>207</v>
      </c>
      <c r="B150" s="1">
        <v>45326</v>
      </c>
      <c r="C150" t="s">
        <v>4</v>
      </c>
      <c r="D150" t="s">
        <v>53</v>
      </c>
      <c r="E150" t="s">
        <v>28</v>
      </c>
      <c r="F150" t="s">
        <v>58</v>
      </c>
      <c r="G150" t="s">
        <v>54</v>
      </c>
      <c r="H150">
        <v>2</v>
      </c>
      <c r="I150">
        <v>24064</v>
      </c>
      <c r="J150">
        <v>0.05</v>
      </c>
    </row>
    <row r="151" spans="1:11" x14ac:dyDescent="0.3">
      <c r="A151" t="s">
        <v>208</v>
      </c>
      <c r="B151" s="1">
        <v>45434</v>
      </c>
      <c r="C151" t="s">
        <v>5</v>
      </c>
      <c r="D151" t="s">
        <v>69</v>
      </c>
      <c r="E151" t="s">
        <v>27</v>
      </c>
      <c r="F151" t="s">
        <v>50</v>
      </c>
      <c r="G151" t="s">
        <v>51</v>
      </c>
      <c r="H151">
        <v>4</v>
      </c>
      <c r="I151">
        <v>2985</v>
      </c>
      <c r="J151">
        <v>0</v>
      </c>
    </row>
    <row r="152" spans="1:11" x14ac:dyDescent="0.3">
      <c r="A152" t="s">
        <v>209</v>
      </c>
      <c r="B152" s="1">
        <v>45375</v>
      </c>
      <c r="C152" t="s">
        <v>6</v>
      </c>
      <c r="D152" t="s">
        <v>53</v>
      </c>
      <c r="E152" t="s">
        <v>27</v>
      </c>
      <c r="F152" t="s">
        <v>58</v>
      </c>
      <c r="G152" t="s">
        <v>54</v>
      </c>
      <c r="H152">
        <v>2</v>
      </c>
      <c r="I152">
        <v>16188</v>
      </c>
      <c r="J152">
        <v>0.1</v>
      </c>
    </row>
    <row r="153" spans="1:11" x14ac:dyDescent="0.3">
      <c r="A153" t="s">
        <v>210</v>
      </c>
      <c r="B153" s="1">
        <v>45641</v>
      </c>
      <c r="C153" t="s">
        <v>6</v>
      </c>
      <c r="D153" t="s">
        <v>56</v>
      </c>
      <c r="E153" t="s">
        <v>29</v>
      </c>
      <c r="F153" t="s">
        <v>61</v>
      </c>
      <c r="G153" t="s">
        <v>54</v>
      </c>
      <c r="H153">
        <v>4</v>
      </c>
      <c r="I153">
        <v>1457</v>
      </c>
      <c r="J153">
        <v>0.05</v>
      </c>
      <c r="K153">
        <v>5756</v>
      </c>
    </row>
    <row r="154" spans="1:11" x14ac:dyDescent="0.3">
      <c r="A154" t="s">
        <v>211</v>
      </c>
      <c r="B154" s="1">
        <v>45365</v>
      </c>
      <c r="C154" t="s">
        <v>5</v>
      </c>
      <c r="D154" t="s">
        <v>53</v>
      </c>
      <c r="E154" t="s">
        <v>25</v>
      </c>
      <c r="F154" t="s">
        <v>23</v>
      </c>
      <c r="G154" t="s">
        <v>54</v>
      </c>
      <c r="H154">
        <v>10</v>
      </c>
      <c r="I154">
        <v>5787</v>
      </c>
      <c r="J154">
        <v>0.05</v>
      </c>
    </row>
    <row r="155" spans="1:11" x14ac:dyDescent="0.3">
      <c r="A155" t="s">
        <v>212</v>
      </c>
      <c r="B155" s="1">
        <v>45390</v>
      </c>
      <c r="C155" t="s">
        <v>5</v>
      </c>
      <c r="D155" t="s">
        <v>76</v>
      </c>
      <c r="E155" t="s">
        <v>29</v>
      </c>
      <c r="F155" t="s">
        <v>24</v>
      </c>
      <c r="G155" t="s">
        <v>54</v>
      </c>
      <c r="H155">
        <v>9</v>
      </c>
      <c r="I155">
        <v>4045</v>
      </c>
      <c r="J155">
        <v>0.05</v>
      </c>
      <c r="K155">
        <v>18739</v>
      </c>
    </row>
    <row r="156" spans="1:11" x14ac:dyDescent="0.3">
      <c r="A156" t="s">
        <v>213</v>
      </c>
      <c r="B156" s="1">
        <v>45557</v>
      </c>
      <c r="C156" t="s">
        <v>5</v>
      </c>
      <c r="D156" t="s">
        <v>53</v>
      </c>
      <c r="E156" t="s">
        <v>29</v>
      </c>
      <c r="F156" t="s">
        <v>50</v>
      </c>
      <c r="G156" t="s">
        <v>51</v>
      </c>
      <c r="H156">
        <v>10</v>
      </c>
      <c r="I156">
        <v>8412</v>
      </c>
      <c r="J156">
        <v>0</v>
      </c>
      <c r="K156">
        <v>26516</v>
      </c>
    </row>
    <row r="157" spans="1:11" x14ac:dyDescent="0.3">
      <c r="A157" t="s">
        <v>214</v>
      </c>
      <c r="B157" s="1">
        <v>45404</v>
      </c>
      <c r="C157" t="s">
        <v>5</v>
      </c>
      <c r="D157" t="s">
        <v>69</v>
      </c>
      <c r="E157" t="s">
        <v>26</v>
      </c>
      <c r="F157" t="s">
        <v>58</v>
      </c>
      <c r="G157" t="s">
        <v>54</v>
      </c>
      <c r="H157">
        <v>3</v>
      </c>
      <c r="I157">
        <v>33397</v>
      </c>
    </row>
    <row r="158" spans="1:11" x14ac:dyDescent="0.3">
      <c r="A158" t="s">
        <v>215</v>
      </c>
      <c r="B158" s="1">
        <v>45649</v>
      </c>
      <c r="C158" t="s">
        <v>3</v>
      </c>
      <c r="D158" t="s">
        <v>69</v>
      </c>
      <c r="E158" t="s">
        <v>26</v>
      </c>
      <c r="F158" t="s">
        <v>22</v>
      </c>
      <c r="G158" t="s">
        <v>51</v>
      </c>
      <c r="H158">
        <v>7</v>
      </c>
      <c r="I158">
        <v>42814</v>
      </c>
      <c r="J158">
        <v>0.1</v>
      </c>
    </row>
    <row r="159" spans="1:11" x14ac:dyDescent="0.3">
      <c r="A159" t="s">
        <v>216</v>
      </c>
      <c r="B159" s="1">
        <v>45621</v>
      </c>
      <c r="C159" t="s">
        <v>4</v>
      </c>
      <c r="D159" t="s">
        <v>56</v>
      </c>
      <c r="E159" t="s">
        <v>28</v>
      </c>
      <c r="F159" t="s">
        <v>61</v>
      </c>
      <c r="G159" t="s">
        <v>54</v>
      </c>
      <c r="H159">
        <v>1</v>
      </c>
      <c r="I159">
        <v>6449</v>
      </c>
    </row>
    <row r="160" spans="1:11" x14ac:dyDescent="0.3">
      <c r="A160" t="s">
        <v>217</v>
      </c>
      <c r="B160" s="1">
        <v>45529</v>
      </c>
      <c r="C160" t="s">
        <v>6</v>
      </c>
      <c r="D160" t="s">
        <v>56</v>
      </c>
      <c r="E160" t="s">
        <v>29</v>
      </c>
      <c r="F160" t="s">
        <v>23</v>
      </c>
      <c r="G160" t="s">
        <v>54</v>
      </c>
      <c r="H160">
        <v>9</v>
      </c>
      <c r="I160">
        <v>3404</v>
      </c>
      <c r="J160">
        <v>0.1</v>
      </c>
    </row>
    <row r="161" spans="1:11" x14ac:dyDescent="0.3">
      <c r="A161" t="s">
        <v>218</v>
      </c>
      <c r="B161" s="1">
        <v>45613</v>
      </c>
      <c r="C161" t="s">
        <v>4</v>
      </c>
      <c r="D161" t="s">
        <v>64</v>
      </c>
      <c r="E161" t="s">
        <v>25</v>
      </c>
      <c r="F161" t="s">
        <v>61</v>
      </c>
      <c r="G161" t="s">
        <v>54</v>
      </c>
      <c r="H161">
        <v>6</v>
      </c>
      <c r="I161">
        <v>1841</v>
      </c>
      <c r="J161">
        <v>0</v>
      </c>
    </row>
    <row r="162" spans="1:11" x14ac:dyDescent="0.3">
      <c r="A162" t="s">
        <v>219</v>
      </c>
      <c r="B162" s="1">
        <v>45569</v>
      </c>
      <c r="C162" t="s">
        <v>3</v>
      </c>
      <c r="D162" t="s">
        <v>64</v>
      </c>
      <c r="E162" t="s">
        <v>28</v>
      </c>
      <c r="F162" t="s">
        <v>23</v>
      </c>
      <c r="G162" t="s">
        <v>54</v>
      </c>
      <c r="H162">
        <v>8</v>
      </c>
      <c r="I162">
        <v>9401</v>
      </c>
      <c r="J162">
        <v>0.1</v>
      </c>
    </row>
    <row r="163" spans="1:11" x14ac:dyDescent="0.3">
      <c r="A163" t="s">
        <v>220</v>
      </c>
      <c r="B163" s="1">
        <v>45609</v>
      </c>
      <c r="C163" t="s">
        <v>3</v>
      </c>
      <c r="D163" t="s">
        <v>49</v>
      </c>
      <c r="E163" t="s">
        <v>28</v>
      </c>
      <c r="F163" t="s">
        <v>24</v>
      </c>
      <c r="G163" t="s">
        <v>54</v>
      </c>
      <c r="H163">
        <v>10</v>
      </c>
      <c r="I163">
        <v>27902</v>
      </c>
      <c r="J163">
        <v>0.05</v>
      </c>
    </row>
    <row r="164" spans="1:11" x14ac:dyDescent="0.3">
      <c r="A164" t="s">
        <v>221</v>
      </c>
      <c r="B164" s="1">
        <v>45328</v>
      </c>
      <c r="C164" t="s">
        <v>5</v>
      </c>
      <c r="D164" t="s">
        <v>76</v>
      </c>
      <c r="E164" t="s">
        <v>28</v>
      </c>
      <c r="F164" t="s">
        <v>61</v>
      </c>
      <c r="G164" t="s">
        <v>54</v>
      </c>
      <c r="H164">
        <v>1</v>
      </c>
      <c r="I164">
        <v>3934</v>
      </c>
      <c r="J164">
        <v>0.05</v>
      </c>
    </row>
    <row r="165" spans="1:11" x14ac:dyDescent="0.3">
      <c r="A165" t="s">
        <v>222</v>
      </c>
      <c r="B165" s="1">
        <v>45369</v>
      </c>
      <c r="C165" t="s">
        <v>3</v>
      </c>
      <c r="D165" t="s">
        <v>76</v>
      </c>
      <c r="E165" t="s">
        <v>28</v>
      </c>
      <c r="F165" t="s">
        <v>50</v>
      </c>
      <c r="G165" t="s">
        <v>51</v>
      </c>
      <c r="H165">
        <v>8</v>
      </c>
      <c r="I165">
        <v>14762</v>
      </c>
      <c r="J165">
        <v>0.05</v>
      </c>
      <c r="K165">
        <v>10704</v>
      </c>
    </row>
    <row r="166" spans="1:11" x14ac:dyDescent="0.3">
      <c r="A166" t="s">
        <v>223</v>
      </c>
      <c r="B166" s="1">
        <v>45333</v>
      </c>
      <c r="C166" t="s">
        <v>3</v>
      </c>
      <c r="D166" t="s">
        <v>64</v>
      </c>
      <c r="E166" t="s">
        <v>26</v>
      </c>
      <c r="F166" t="s">
        <v>50</v>
      </c>
      <c r="G166" t="s">
        <v>51</v>
      </c>
      <c r="H166">
        <v>7</v>
      </c>
      <c r="I166">
        <v>30697</v>
      </c>
      <c r="J166">
        <v>0.1</v>
      </c>
    </row>
    <row r="167" spans="1:11" x14ac:dyDescent="0.3">
      <c r="A167" t="s">
        <v>224</v>
      </c>
      <c r="B167" s="1">
        <v>45622</v>
      </c>
      <c r="C167" t="s">
        <v>3</v>
      </c>
      <c r="D167" t="s">
        <v>49</v>
      </c>
      <c r="E167" t="s">
        <v>26</v>
      </c>
      <c r="F167" t="s">
        <v>23</v>
      </c>
      <c r="G167" t="s">
        <v>54</v>
      </c>
      <c r="H167">
        <v>7</v>
      </c>
      <c r="I167">
        <v>34510</v>
      </c>
    </row>
    <row r="168" spans="1:11" x14ac:dyDescent="0.3">
      <c r="A168" t="s">
        <v>225</v>
      </c>
      <c r="B168" s="1">
        <v>45541</v>
      </c>
      <c r="C168" t="s">
        <v>4</v>
      </c>
      <c r="D168" t="s">
        <v>69</v>
      </c>
      <c r="E168" t="s">
        <v>26</v>
      </c>
      <c r="F168" t="s">
        <v>22</v>
      </c>
      <c r="G168" t="s">
        <v>51</v>
      </c>
      <c r="H168">
        <v>1</v>
      </c>
      <c r="I168">
        <v>24534</v>
      </c>
    </row>
    <row r="169" spans="1:11" x14ac:dyDescent="0.3">
      <c r="A169" t="s">
        <v>226</v>
      </c>
      <c r="B169" s="1">
        <v>45379</v>
      </c>
      <c r="C169" t="s">
        <v>6</v>
      </c>
      <c r="D169" t="s">
        <v>76</v>
      </c>
      <c r="E169" t="s">
        <v>28</v>
      </c>
      <c r="F169" t="s">
        <v>50</v>
      </c>
      <c r="G169" t="s">
        <v>51</v>
      </c>
      <c r="H169">
        <v>7</v>
      </c>
      <c r="I169">
        <v>20210</v>
      </c>
    </row>
    <row r="170" spans="1:11" x14ac:dyDescent="0.3">
      <c r="A170" t="s">
        <v>227</v>
      </c>
      <c r="B170" s="1">
        <v>45531</v>
      </c>
      <c r="C170" t="s">
        <v>3</v>
      </c>
      <c r="D170" t="s">
        <v>56</v>
      </c>
      <c r="E170" t="s">
        <v>29</v>
      </c>
      <c r="F170" t="s">
        <v>58</v>
      </c>
      <c r="G170" t="s">
        <v>54</v>
      </c>
      <c r="H170">
        <v>6</v>
      </c>
      <c r="I170">
        <v>36968</v>
      </c>
      <c r="J170">
        <v>0.05</v>
      </c>
      <c r="K170">
        <v>3706</v>
      </c>
    </row>
    <row r="171" spans="1:11" x14ac:dyDescent="0.3">
      <c r="A171" t="s">
        <v>228</v>
      </c>
      <c r="B171" s="1">
        <v>45590</v>
      </c>
      <c r="C171" t="s">
        <v>4</v>
      </c>
      <c r="D171" t="s">
        <v>53</v>
      </c>
      <c r="E171" t="s">
        <v>27</v>
      </c>
      <c r="F171" t="s">
        <v>23</v>
      </c>
      <c r="G171" t="s">
        <v>54</v>
      </c>
      <c r="H171">
        <v>3</v>
      </c>
      <c r="I171">
        <v>48072</v>
      </c>
      <c r="J171">
        <v>0.1</v>
      </c>
    </row>
    <row r="172" spans="1:11" x14ac:dyDescent="0.3">
      <c r="A172" t="s">
        <v>229</v>
      </c>
      <c r="B172" s="1">
        <v>45465</v>
      </c>
      <c r="C172" t="s">
        <v>3</v>
      </c>
      <c r="D172" t="s">
        <v>64</v>
      </c>
      <c r="E172" t="s">
        <v>25</v>
      </c>
      <c r="F172" t="s">
        <v>24</v>
      </c>
      <c r="G172" t="s">
        <v>54</v>
      </c>
      <c r="H172">
        <v>9</v>
      </c>
      <c r="I172">
        <v>24173</v>
      </c>
      <c r="J172">
        <v>0</v>
      </c>
      <c r="K172">
        <v>16615</v>
      </c>
    </row>
    <row r="173" spans="1:11" x14ac:dyDescent="0.3">
      <c r="A173" t="s">
        <v>230</v>
      </c>
      <c r="B173" s="1">
        <v>45456</v>
      </c>
      <c r="C173" t="s">
        <v>3</v>
      </c>
      <c r="D173" t="s">
        <v>49</v>
      </c>
      <c r="E173" t="s">
        <v>26</v>
      </c>
      <c r="F173" t="s">
        <v>58</v>
      </c>
      <c r="G173" t="s">
        <v>54</v>
      </c>
      <c r="H173">
        <v>5</v>
      </c>
      <c r="I173">
        <v>32908</v>
      </c>
      <c r="J173">
        <v>0.1</v>
      </c>
      <c r="K173">
        <v>20246</v>
      </c>
    </row>
    <row r="174" spans="1:11" x14ac:dyDescent="0.3">
      <c r="A174" t="s">
        <v>231</v>
      </c>
      <c r="B174" s="1">
        <v>45439</v>
      </c>
      <c r="C174" t="s">
        <v>3</v>
      </c>
      <c r="D174" t="s">
        <v>76</v>
      </c>
      <c r="E174" t="s">
        <v>29</v>
      </c>
      <c r="F174" t="s">
        <v>61</v>
      </c>
      <c r="G174" t="s">
        <v>54</v>
      </c>
      <c r="H174">
        <v>1</v>
      </c>
      <c r="I174">
        <v>23106</v>
      </c>
      <c r="J174">
        <v>0.05</v>
      </c>
    </row>
    <row r="175" spans="1:11" x14ac:dyDescent="0.3">
      <c r="A175" t="s">
        <v>232</v>
      </c>
      <c r="B175" s="1">
        <v>45333</v>
      </c>
      <c r="C175" t="s">
        <v>6</v>
      </c>
      <c r="D175" t="s">
        <v>56</v>
      </c>
      <c r="E175" t="s">
        <v>25</v>
      </c>
      <c r="F175" t="s">
        <v>58</v>
      </c>
      <c r="G175" t="s">
        <v>54</v>
      </c>
      <c r="H175">
        <v>10</v>
      </c>
      <c r="I175">
        <v>2016</v>
      </c>
      <c r="J175">
        <v>0</v>
      </c>
    </row>
    <row r="176" spans="1:11" x14ac:dyDescent="0.3">
      <c r="A176" t="s">
        <v>233</v>
      </c>
      <c r="B176" s="1">
        <v>45360</v>
      </c>
      <c r="C176" t="s">
        <v>3</v>
      </c>
      <c r="D176" t="s">
        <v>64</v>
      </c>
      <c r="E176" t="s">
        <v>26</v>
      </c>
      <c r="F176" t="s">
        <v>23</v>
      </c>
      <c r="G176" t="s">
        <v>54</v>
      </c>
      <c r="H176">
        <v>1</v>
      </c>
      <c r="I176">
        <v>33858</v>
      </c>
    </row>
    <row r="177" spans="1:11" x14ac:dyDescent="0.3">
      <c r="A177" t="s">
        <v>234</v>
      </c>
      <c r="B177" s="1">
        <v>45451</v>
      </c>
      <c r="C177" t="s">
        <v>4</v>
      </c>
      <c r="D177" t="s">
        <v>69</v>
      </c>
      <c r="E177" t="s">
        <v>26</v>
      </c>
      <c r="F177" t="s">
        <v>24</v>
      </c>
      <c r="G177" t="s">
        <v>54</v>
      </c>
      <c r="H177">
        <v>8</v>
      </c>
      <c r="I177">
        <v>35730</v>
      </c>
      <c r="J177">
        <v>0.1</v>
      </c>
    </row>
    <row r="178" spans="1:11" x14ac:dyDescent="0.3">
      <c r="A178" t="s">
        <v>235</v>
      </c>
      <c r="B178" s="1">
        <v>45297</v>
      </c>
      <c r="C178" t="s">
        <v>5</v>
      </c>
      <c r="D178" t="s">
        <v>53</v>
      </c>
      <c r="E178" t="s">
        <v>25</v>
      </c>
      <c r="F178" t="s">
        <v>24</v>
      </c>
      <c r="G178" t="s">
        <v>54</v>
      </c>
      <c r="H178">
        <v>6</v>
      </c>
      <c r="I178">
        <v>25111</v>
      </c>
      <c r="K178">
        <v>12408</v>
      </c>
    </row>
    <row r="179" spans="1:11" x14ac:dyDescent="0.3">
      <c r="A179" t="s">
        <v>236</v>
      </c>
      <c r="B179" s="1">
        <v>45490</v>
      </c>
      <c r="C179" t="s">
        <v>6</v>
      </c>
      <c r="D179" t="s">
        <v>56</v>
      </c>
      <c r="E179" t="s">
        <v>29</v>
      </c>
      <c r="F179" t="s">
        <v>24</v>
      </c>
      <c r="G179" t="s">
        <v>54</v>
      </c>
      <c r="H179">
        <v>1</v>
      </c>
      <c r="I179">
        <v>20949</v>
      </c>
    </row>
    <row r="180" spans="1:11" x14ac:dyDescent="0.3">
      <c r="A180" t="s">
        <v>237</v>
      </c>
      <c r="B180" s="1">
        <v>45320</v>
      </c>
      <c r="C180" t="s">
        <v>4</v>
      </c>
      <c r="D180" t="s">
        <v>69</v>
      </c>
      <c r="E180" t="s">
        <v>29</v>
      </c>
      <c r="F180" t="s">
        <v>58</v>
      </c>
      <c r="G180" t="s">
        <v>54</v>
      </c>
      <c r="H180">
        <v>9</v>
      </c>
      <c r="I180">
        <v>28377</v>
      </c>
      <c r="J180">
        <v>0</v>
      </c>
      <c r="K180">
        <v>21120</v>
      </c>
    </row>
    <row r="181" spans="1:11" x14ac:dyDescent="0.3">
      <c r="A181" t="s">
        <v>238</v>
      </c>
      <c r="B181" s="1">
        <v>45354</v>
      </c>
      <c r="C181" t="s">
        <v>4</v>
      </c>
      <c r="D181" t="s">
        <v>69</v>
      </c>
      <c r="E181" t="s">
        <v>25</v>
      </c>
      <c r="F181" t="s">
        <v>61</v>
      </c>
      <c r="G181" t="s">
        <v>54</v>
      </c>
      <c r="H181">
        <v>7</v>
      </c>
      <c r="I181">
        <v>36022</v>
      </c>
      <c r="J181">
        <v>0.1</v>
      </c>
    </row>
    <row r="182" spans="1:11" x14ac:dyDescent="0.3">
      <c r="A182" t="s">
        <v>239</v>
      </c>
      <c r="B182" s="1">
        <v>45623</v>
      </c>
      <c r="C182" t="s">
        <v>5</v>
      </c>
      <c r="D182" t="s">
        <v>76</v>
      </c>
      <c r="E182" t="s">
        <v>28</v>
      </c>
      <c r="F182" t="s">
        <v>61</v>
      </c>
      <c r="G182" t="s">
        <v>54</v>
      </c>
      <c r="H182">
        <v>9</v>
      </c>
      <c r="I182">
        <v>41825</v>
      </c>
      <c r="J182">
        <v>0</v>
      </c>
      <c r="K182">
        <v>7661</v>
      </c>
    </row>
    <row r="183" spans="1:11" x14ac:dyDescent="0.3">
      <c r="A183" t="s">
        <v>240</v>
      </c>
      <c r="B183" s="1">
        <v>45348</v>
      </c>
      <c r="C183" t="s">
        <v>6</v>
      </c>
      <c r="D183" t="s">
        <v>49</v>
      </c>
      <c r="E183" t="s">
        <v>29</v>
      </c>
      <c r="F183" t="s">
        <v>58</v>
      </c>
      <c r="G183" t="s">
        <v>54</v>
      </c>
      <c r="H183">
        <v>7</v>
      </c>
      <c r="I183">
        <v>49766</v>
      </c>
      <c r="J183">
        <v>0</v>
      </c>
    </row>
    <row r="184" spans="1:11" x14ac:dyDescent="0.3">
      <c r="A184" t="s">
        <v>241</v>
      </c>
      <c r="B184" s="1">
        <v>45648</v>
      </c>
      <c r="C184" t="s">
        <v>4</v>
      </c>
      <c r="D184" t="s">
        <v>53</v>
      </c>
      <c r="E184" t="s">
        <v>28</v>
      </c>
      <c r="F184" t="s">
        <v>22</v>
      </c>
      <c r="G184" t="s">
        <v>51</v>
      </c>
      <c r="H184">
        <v>8</v>
      </c>
      <c r="I184">
        <v>19560</v>
      </c>
      <c r="K184">
        <v>457</v>
      </c>
    </row>
    <row r="185" spans="1:11" x14ac:dyDescent="0.3">
      <c r="A185" t="s">
        <v>242</v>
      </c>
      <c r="B185" s="1">
        <v>45488</v>
      </c>
      <c r="C185" t="s">
        <v>6</v>
      </c>
      <c r="D185" t="s">
        <v>76</v>
      </c>
      <c r="E185" t="s">
        <v>25</v>
      </c>
      <c r="F185" t="s">
        <v>58</v>
      </c>
      <c r="G185" t="s">
        <v>54</v>
      </c>
      <c r="H185">
        <v>4</v>
      </c>
      <c r="I185">
        <v>7792</v>
      </c>
    </row>
    <row r="186" spans="1:11" x14ac:dyDescent="0.3">
      <c r="A186" t="s">
        <v>243</v>
      </c>
      <c r="B186" s="1">
        <v>45500</v>
      </c>
      <c r="C186" t="s">
        <v>3</v>
      </c>
      <c r="D186" t="s">
        <v>69</v>
      </c>
      <c r="E186" t="s">
        <v>28</v>
      </c>
      <c r="F186" t="s">
        <v>22</v>
      </c>
      <c r="G186" t="s">
        <v>51</v>
      </c>
      <c r="H186">
        <v>8</v>
      </c>
      <c r="I186">
        <v>45866</v>
      </c>
      <c r="J186">
        <v>0</v>
      </c>
    </row>
    <row r="187" spans="1:11" x14ac:dyDescent="0.3">
      <c r="A187" t="s">
        <v>244</v>
      </c>
      <c r="B187" s="1">
        <v>45433</v>
      </c>
      <c r="C187" t="s">
        <v>6</v>
      </c>
      <c r="D187" t="s">
        <v>64</v>
      </c>
      <c r="E187" t="s">
        <v>27</v>
      </c>
      <c r="F187" t="s">
        <v>22</v>
      </c>
      <c r="G187" t="s">
        <v>51</v>
      </c>
      <c r="H187">
        <v>3</v>
      </c>
      <c r="I187">
        <v>24283</v>
      </c>
      <c r="J187">
        <v>0.1</v>
      </c>
      <c r="K187">
        <v>14736</v>
      </c>
    </row>
    <row r="188" spans="1:11" x14ac:dyDescent="0.3">
      <c r="A188" t="s">
        <v>245</v>
      </c>
      <c r="B188" s="1">
        <v>45655</v>
      </c>
      <c r="C188" t="s">
        <v>6</v>
      </c>
      <c r="D188" t="s">
        <v>53</v>
      </c>
      <c r="E188" t="s">
        <v>29</v>
      </c>
      <c r="F188" t="s">
        <v>23</v>
      </c>
      <c r="G188" t="s">
        <v>54</v>
      </c>
      <c r="H188">
        <v>10</v>
      </c>
      <c r="I188">
        <v>6760</v>
      </c>
      <c r="J188">
        <v>0.1</v>
      </c>
      <c r="K188">
        <v>9179</v>
      </c>
    </row>
    <row r="189" spans="1:11" x14ac:dyDescent="0.3">
      <c r="A189" t="s">
        <v>246</v>
      </c>
      <c r="B189" s="1">
        <v>45567</v>
      </c>
      <c r="C189" t="s">
        <v>6</v>
      </c>
      <c r="D189" t="s">
        <v>76</v>
      </c>
      <c r="E189" t="s">
        <v>29</v>
      </c>
      <c r="F189" t="s">
        <v>24</v>
      </c>
      <c r="G189" t="s">
        <v>54</v>
      </c>
      <c r="H189">
        <v>1</v>
      </c>
      <c r="I189">
        <v>48528</v>
      </c>
      <c r="J189">
        <v>0</v>
      </c>
    </row>
    <row r="190" spans="1:11" x14ac:dyDescent="0.3">
      <c r="A190" t="s">
        <v>247</v>
      </c>
      <c r="B190" s="1">
        <v>45428</v>
      </c>
      <c r="C190" t="s">
        <v>3</v>
      </c>
      <c r="D190" t="s">
        <v>76</v>
      </c>
      <c r="E190" t="s">
        <v>28</v>
      </c>
      <c r="F190" t="s">
        <v>58</v>
      </c>
      <c r="G190" t="s">
        <v>54</v>
      </c>
      <c r="H190">
        <v>3</v>
      </c>
      <c r="I190">
        <v>31539</v>
      </c>
      <c r="J190">
        <v>0</v>
      </c>
    </row>
    <row r="191" spans="1:11" x14ac:dyDescent="0.3">
      <c r="A191" t="s">
        <v>248</v>
      </c>
      <c r="B191" s="1">
        <v>45513</v>
      </c>
      <c r="C191" t="s">
        <v>5</v>
      </c>
      <c r="D191" t="s">
        <v>56</v>
      </c>
      <c r="E191" t="s">
        <v>26</v>
      </c>
      <c r="F191" t="s">
        <v>58</v>
      </c>
      <c r="G191" t="s">
        <v>54</v>
      </c>
      <c r="H191">
        <v>8</v>
      </c>
      <c r="I191">
        <v>26035</v>
      </c>
      <c r="J191">
        <v>0.05</v>
      </c>
    </row>
    <row r="192" spans="1:11" x14ac:dyDescent="0.3">
      <c r="A192" t="s">
        <v>249</v>
      </c>
      <c r="B192" s="1">
        <v>45350</v>
      </c>
      <c r="C192" t="s">
        <v>4</v>
      </c>
      <c r="D192" t="s">
        <v>69</v>
      </c>
      <c r="E192" t="s">
        <v>26</v>
      </c>
      <c r="F192" t="s">
        <v>24</v>
      </c>
      <c r="G192" t="s">
        <v>54</v>
      </c>
      <c r="H192">
        <v>4</v>
      </c>
      <c r="I192">
        <v>3582</v>
      </c>
      <c r="J192">
        <v>0.1</v>
      </c>
    </row>
    <row r="193" spans="1:11" x14ac:dyDescent="0.3">
      <c r="A193" t="s">
        <v>250</v>
      </c>
      <c r="B193" s="1">
        <v>45369</v>
      </c>
      <c r="C193" t="s">
        <v>3</v>
      </c>
      <c r="D193" t="s">
        <v>53</v>
      </c>
      <c r="E193" t="s">
        <v>27</v>
      </c>
      <c r="F193" t="s">
        <v>58</v>
      </c>
      <c r="G193" t="s">
        <v>54</v>
      </c>
      <c r="H193">
        <v>10</v>
      </c>
      <c r="I193">
        <v>47543</v>
      </c>
      <c r="J193">
        <v>0.1</v>
      </c>
      <c r="K193">
        <v>6081</v>
      </c>
    </row>
    <row r="194" spans="1:11" x14ac:dyDescent="0.3">
      <c r="A194" t="s">
        <v>251</v>
      </c>
      <c r="B194" s="1">
        <v>45348</v>
      </c>
      <c r="C194" t="s">
        <v>4</v>
      </c>
      <c r="D194" t="s">
        <v>49</v>
      </c>
      <c r="E194" t="s">
        <v>27</v>
      </c>
      <c r="F194" t="s">
        <v>50</v>
      </c>
      <c r="G194" t="s">
        <v>51</v>
      </c>
      <c r="H194">
        <v>1</v>
      </c>
      <c r="I194">
        <v>47193</v>
      </c>
      <c r="J194">
        <v>0.05</v>
      </c>
      <c r="K194">
        <v>23111</v>
      </c>
    </row>
    <row r="195" spans="1:11" x14ac:dyDescent="0.3">
      <c r="A195" t="s">
        <v>252</v>
      </c>
      <c r="B195" s="1">
        <v>45568</v>
      </c>
      <c r="C195" t="s">
        <v>3</v>
      </c>
      <c r="D195" t="s">
        <v>76</v>
      </c>
      <c r="E195" t="s">
        <v>26</v>
      </c>
      <c r="F195" t="s">
        <v>24</v>
      </c>
      <c r="G195" t="s">
        <v>54</v>
      </c>
      <c r="H195">
        <v>7</v>
      </c>
      <c r="I195">
        <v>21477</v>
      </c>
      <c r="J195">
        <v>0</v>
      </c>
    </row>
    <row r="196" spans="1:11" x14ac:dyDescent="0.3">
      <c r="A196" t="s">
        <v>253</v>
      </c>
      <c r="B196" s="1">
        <v>45376</v>
      </c>
      <c r="C196" t="s">
        <v>5</v>
      </c>
      <c r="D196" t="s">
        <v>64</v>
      </c>
      <c r="E196" t="s">
        <v>28</v>
      </c>
      <c r="F196" t="s">
        <v>24</v>
      </c>
      <c r="G196" t="s">
        <v>54</v>
      </c>
      <c r="H196">
        <v>7</v>
      </c>
      <c r="I196">
        <v>2621</v>
      </c>
      <c r="J196">
        <v>0</v>
      </c>
      <c r="K196">
        <v>3250</v>
      </c>
    </row>
    <row r="197" spans="1:11" x14ac:dyDescent="0.3">
      <c r="A197" t="s">
        <v>254</v>
      </c>
      <c r="B197" s="1">
        <v>45372</v>
      </c>
      <c r="C197" t="s">
        <v>3</v>
      </c>
      <c r="D197" t="s">
        <v>56</v>
      </c>
      <c r="E197" t="s">
        <v>28</v>
      </c>
      <c r="F197" t="s">
        <v>50</v>
      </c>
      <c r="G197" t="s">
        <v>51</v>
      </c>
      <c r="H197">
        <v>9</v>
      </c>
      <c r="I197">
        <v>14328</v>
      </c>
      <c r="J197">
        <v>0.05</v>
      </c>
    </row>
    <row r="198" spans="1:11" x14ac:dyDescent="0.3">
      <c r="A198" t="s">
        <v>255</v>
      </c>
      <c r="B198" s="1">
        <v>45368</v>
      </c>
      <c r="C198" t="s">
        <v>3</v>
      </c>
      <c r="D198" t="s">
        <v>76</v>
      </c>
      <c r="E198" t="s">
        <v>27</v>
      </c>
      <c r="F198" t="s">
        <v>58</v>
      </c>
      <c r="G198" t="s">
        <v>54</v>
      </c>
      <c r="H198">
        <v>7</v>
      </c>
      <c r="I198">
        <v>17010</v>
      </c>
      <c r="J198">
        <v>0</v>
      </c>
    </row>
    <row r="199" spans="1:11" x14ac:dyDescent="0.3">
      <c r="A199" t="s">
        <v>256</v>
      </c>
      <c r="B199" s="1">
        <v>45449</v>
      </c>
      <c r="C199" t="s">
        <v>3</v>
      </c>
      <c r="D199" t="s">
        <v>69</v>
      </c>
      <c r="E199" t="s">
        <v>27</v>
      </c>
      <c r="F199" t="s">
        <v>61</v>
      </c>
      <c r="G199" t="s">
        <v>54</v>
      </c>
      <c r="H199">
        <v>10</v>
      </c>
      <c r="I199">
        <v>35586</v>
      </c>
      <c r="J199">
        <v>0.05</v>
      </c>
    </row>
    <row r="200" spans="1:11" x14ac:dyDescent="0.3">
      <c r="A200" t="s">
        <v>257</v>
      </c>
      <c r="B200" s="1">
        <v>45393</v>
      </c>
      <c r="C200" t="s">
        <v>3</v>
      </c>
      <c r="D200" t="s">
        <v>49</v>
      </c>
      <c r="E200" t="s">
        <v>26</v>
      </c>
      <c r="F200" t="s">
        <v>23</v>
      </c>
      <c r="G200" t="s">
        <v>54</v>
      </c>
      <c r="H200">
        <v>1</v>
      </c>
      <c r="I200">
        <v>34969</v>
      </c>
      <c r="J200">
        <v>0.05</v>
      </c>
      <c r="K200">
        <v>28594</v>
      </c>
    </row>
    <row r="201" spans="1:11" x14ac:dyDescent="0.3">
      <c r="A201" t="s">
        <v>258</v>
      </c>
      <c r="B201" s="1">
        <v>45535</v>
      </c>
      <c r="C201" t="s">
        <v>3</v>
      </c>
      <c r="D201" t="s">
        <v>69</v>
      </c>
      <c r="E201" t="s">
        <v>27</v>
      </c>
      <c r="F201" t="s">
        <v>58</v>
      </c>
      <c r="G201" t="s">
        <v>54</v>
      </c>
      <c r="H201">
        <v>7</v>
      </c>
      <c r="I201">
        <v>24401</v>
      </c>
      <c r="J201">
        <v>0.05</v>
      </c>
    </row>
    <row r="202" spans="1:11" x14ac:dyDescent="0.3">
      <c r="A202" t="s">
        <v>259</v>
      </c>
      <c r="B202" s="1">
        <v>45375</v>
      </c>
      <c r="C202" t="s">
        <v>6</v>
      </c>
      <c r="D202" t="s">
        <v>49</v>
      </c>
      <c r="E202" t="s">
        <v>28</v>
      </c>
      <c r="F202" t="s">
        <v>50</v>
      </c>
      <c r="G202" t="s">
        <v>51</v>
      </c>
      <c r="H202">
        <v>10</v>
      </c>
      <c r="I202">
        <v>26813</v>
      </c>
      <c r="J202">
        <v>0.1</v>
      </c>
      <c r="K202">
        <v>9915</v>
      </c>
    </row>
    <row r="203" spans="1:11" x14ac:dyDescent="0.3">
      <c r="A203" t="s">
        <v>260</v>
      </c>
      <c r="B203" s="1">
        <v>45372</v>
      </c>
      <c r="C203" t="s">
        <v>6</v>
      </c>
      <c r="D203" t="s">
        <v>76</v>
      </c>
      <c r="E203" t="s">
        <v>26</v>
      </c>
      <c r="F203" t="s">
        <v>24</v>
      </c>
      <c r="G203" t="s">
        <v>54</v>
      </c>
      <c r="H203">
        <v>9</v>
      </c>
      <c r="I203">
        <v>10100</v>
      </c>
      <c r="J203">
        <v>0</v>
      </c>
    </row>
    <row r="204" spans="1:11" x14ac:dyDescent="0.3">
      <c r="A204" t="s">
        <v>261</v>
      </c>
      <c r="B204" s="1">
        <v>45342</v>
      </c>
      <c r="C204" t="s">
        <v>6</v>
      </c>
      <c r="D204" t="s">
        <v>49</v>
      </c>
      <c r="E204" t="s">
        <v>29</v>
      </c>
      <c r="F204" t="s">
        <v>50</v>
      </c>
      <c r="G204" t="s">
        <v>51</v>
      </c>
      <c r="H204">
        <v>6</v>
      </c>
      <c r="I204">
        <v>14289</v>
      </c>
      <c r="J204">
        <v>0.1</v>
      </c>
      <c r="K204">
        <v>6239</v>
      </c>
    </row>
    <row r="205" spans="1:11" x14ac:dyDescent="0.3">
      <c r="A205" t="s">
        <v>262</v>
      </c>
      <c r="B205" s="1">
        <v>45364</v>
      </c>
      <c r="C205" t="s">
        <v>4</v>
      </c>
      <c r="D205" t="s">
        <v>49</v>
      </c>
      <c r="E205" t="s">
        <v>28</v>
      </c>
      <c r="F205" t="s">
        <v>58</v>
      </c>
      <c r="G205" t="s">
        <v>54</v>
      </c>
      <c r="H205">
        <v>7</v>
      </c>
      <c r="I205">
        <v>33872</v>
      </c>
      <c r="K205">
        <v>27622</v>
      </c>
    </row>
    <row r="206" spans="1:11" x14ac:dyDescent="0.3">
      <c r="A206" t="s">
        <v>263</v>
      </c>
      <c r="B206" s="1">
        <v>45316</v>
      </c>
      <c r="C206" t="s">
        <v>5</v>
      </c>
      <c r="D206" t="s">
        <v>76</v>
      </c>
      <c r="E206" t="s">
        <v>27</v>
      </c>
      <c r="F206" t="s">
        <v>22</v>
      </c>
      <c r="G206" t="s">
        <v>51</v>
      </c>
      <c r="H206">
        <v>10</v>
      </c>
      <c r="I206">
        <v>3297</v>
      </c>
      <c r="J206">
        <v>0</v>
      </c>
      <c r="K206">
        <v>19422</v>
      </c>
    </row>
    <row r="207" spans="1:11" x14ac:dyDescent="0.3">
      <c r="A207" t="s">
        <v>264</v>
      </c>
      <c r="B207" s="1">
        <v>45375</v>
      </c>
      <c r="C207" t="s">
        <v>6</v>
      </c>
      <c r="D207" t="s">
        <v>64</v>
      </c>
      <c r="E207" t="s">
        <v>26</v>
      </c>
      <c r="F207" t="s">
        <v>50</v>
      </c>
      <c r="G207" t="s">
        <v>51</v>
      </c>
      <c r="H207">
        <v>8</v>
      </c>
      <c r="I207">
        <v>3460</v>
      </c>
      <c r="K207">
        <v>16203</v>
      </c>
    </row>
    <row r="208" spans="1:11" x14ac:dyDescent="0.3">
      <c r="A208" t="s">
        <v>265</v>
      </c>
      <c r="B208" s="1">
        <v>45338</v>
      </c>
      <c r="C208" t="s">
        <v>3</v>
      </c>
      <c r="D208" t="s">
        <v>56</v>
      </c>
      <c r="E208" t="s">
        <v>29</v>
      </c>
      <c r="F208" t="s">
        <v>61</v>
      </c>
      <c r="G208" t="s">
        <v>54</v>
      </c>
      <c r="H208">
        <v>9</v>
      </c>
      <c r="I208">
        <v>26029</v>
      </c>
    </row>
    <row r="209" spans="1:11" x14ac:dyDescent="0.3">
      <c r="A209" t="s">
        <v>266</v>
      </c>
      <c r="B209" s="1">
        <v>45458</v>
      </c>
      <c r="C209" t="s">
        <v>5</v>
      </c>
      <c r="D209" t="s">
        <v>64</v>
      </c>
      <c r="E209" t="s">
        <v>27</v>
      </c>
      <c r="F209" t="s">
        <v>50</v>
      </c>
      <c r="G209" t="s">
        <v>51</v>
      </c>
      <c r="H209">
        <v>5</v>
      </c>
      <c r="I209">
        <v>10078</v>
      </c>
    </row>
    <row r="210" spans="1:11" x14ac:dyDescent="0.3">
      <c r="A210" t="s">
        <v>267</v>
      </c>
      <c r="B210" s="1">
        <v>45306</v>
      </c>
      <c r="C210" t="s">
        <v>3</v>
      </c>
      <c r="D210" t="s">
        <v>49</v>
      </c>
      <c r="E210" t="s">
        <v>28</v>
      </c>
      <c r="F210" t="s">
        <v>23</v>
      </c>
      <c r="G210" t="s">
        <v>54</v>
      </c>
      <c r="H210">
        <v>2</v>
      </c>
      <c r="I210">
        <v>2767</v>
      </c>
      <c r="K210">
        <v>9232</v>
      </c>
    </row>
    <row r="211" spans="1:11" x14ac:dyDescent="0.3">
      <c r="A211" t="s">
        <v>268</v>
      </c>
      <c r="B211" s="1">
        <v>45485</v>
      </c>
      <c r="C211" t="s">
        <v>6</v>
      </c>
      <c r="D211" t="s">
        <v>49</v>
      </c>
      <c r="E211" t="s">
        <v>27</v>
      </c>
      <c r="F211" t="s">
        <v>61</v>
      </c>
      <c r="G211" t="s">
        <v>54</v>
      </c>
      <c r="H211">
        <v>3</v>
      </c>
      <c r="I211">
        <v>571</v>
      </c>
      <c r="K211">
        <v>15444</v>
      </c>
    </row>
    <row r="212" spans="1:11" x14ac:dyDescent="0.3">
      <c r="A212" t="s">
        <v>269</v>
      </c>
      <c r="B212" s="1">
        <v>45482</v>
      </c>
      <c r="C212" t="s">
        <v>4</v>
      </c>
      <c r="D212" t="s">
        <v>56</v>
      </c>
      <c r="E212" t="s">
        <v>27</v>
      </c>
      <c r="F212" t="s">
        <v>58</v>
      </c>
      <c r="G212" t="s">
        <v>54</v>
      </c>
      <c r="H212">
        <v>3</v>
      </c>
      <c r="I212">
        <v>11967</v>
      </c>
      <c r="J212">
        <v>0</v>
      </c>
      <c r="K212">
        <v>29281</v>
      </c>
    </row>
    <row r="213" spans="1:11" x14ac:dyDescent="0.3">
      <c r="A213" t="s">
        <v>270</v>
      </c>
      <c r="B213" s="1">
        <v>45564</v>
      </c>
      <c r="C213" t="s">
        <v>3</v>
      </c>
      <c r="D213" t="s">
        <v>69</v>
      </c>
      <c r="E213" t="s">
        <v>29</v>
      </c>
      <c r="F213" t="s">
        <v>24</v>
      </c>
      <c r="G213" t="s">
        <v>54</v>
      </c>
      <c r="H213">
        <v>8</v>
      </c>
      <c r="I213">
        <v>37104</v>
      </c>
      <c r="J213">
        <v>0.1</v>
      </c>
      <c r="K213">
        <v>5330</v>
      </c>
    </row>
    <row r="214" spans="1:11" x14ac:dyDescent="0.3">
      <c r="A214" t="s">
        <v>271</v>
      </c>
      <c r="B214" s="1">
        <v>45605</v>
      </c>
      <c r="C214" t="s">
        <v>4</v>
      </c>
      <c r="D214" t="s">
        <v>49</v>
      </c>
      <c r="E214" t="s">
        <v>28</v>
      </c>
      <c r="F214" t="s">
        <v>61</v>
      </c>
      <c r="G214" t="s">
        <v>54</v>
      </c>
      <c r="H214">
        <v>4</v>
      </c>
      <c r="I214">
        <v>49200</v>
      </c>
      <c r="J214">
        <v>0.05</v>
      </c>
    </row>
    <row r="215" spans="1:11" x14ac:dyDescent="0.3">
      <c r="A215" t="s">
        <v>272</v>
      </c>
      <c r="B215" s="1">
        <v>45388</v>
      </c>
      <c r="C215" t="s">
        <v>5</v>
      </c>
      <c r="D215" t="s">
        <v>53</v>
      </c>
      <c r="E215" t="s">
        <v>28</v>
      </c>
      <c r="F215" t="s">
        <v>61</v>
      </c>
      <c r="G215" t="s">
        <v>54</v>
      </c>
      <c r="H215">
        <v>7</v>
      </c>
      <c r="I215">
        <v>25907</v>
      </c>
      <c r="K215">
        <v>12536</v>
      </c>
    </row>
    <row r="216" spans="1:11" x14ac:dyDescent="0.3">
      <c r="A216" t="s">
        <v>273</v>
      </c>
      <c r="B216" s="1">
        <v>45657</v>
      </c>
      <c r="C216" t="s">
        <v>6</v>
      </c>
      <c r="D216" t="s">
        <v>76</v>
      </c>
      <c r="E216" t="s">
        <v>25</v>
      </c>
      <c r="F216" t="s">
        <v>58</v>
      </c>
      <c r="G216" t="s">
        <v>54</v>
      </c>
      <c r="H216">
        <v>5</v>
      </c>
      <c r="I216">
        <v>7015</v>
      </c>
    </row>
    <row r="217" spans="1:11" x14ac:dyDescent="0.3">
      <c r="A217" t="s">
        <v>274</v>
      </c>
      <c r="B217" s="1">
        <v>45314</v>
      </c>
      <c r="C217" t="s">
        <v>5</v>
      </c>
      <c r="D217" t="s">
        <v>64</v>
      </c>
      <c r="E217" t="s">
        <v>27</v>
      </c>
      <c r="F217" t="s">
        <v>61</v>
      </c>
      <c r="G217" t="s">
        <v>54</v>
      </c>
      <c r="H217">
        <v>9</v>
      </c>
      <c r="I217">
        <v>4662</v>
      </c>
      <c r="J217">
        <v>0</v>
      </c>
    </row>
    <row r="218" spans="1:11" x14ac:dyDescent="0.3">
      <c r="A218" t="s">
        <v>275</v>
      </c>
      <c r="B218" s="1">
        <v>45406</v>
      </c>
      <c r="C218" t="s">
        <v>6</v>
      </c>
      <c r="D218" t="s">
        <v>49</v>
      </c>
      <c r="E218" t="s">
        <v>27</v>
      </c>
      <c r="F218" t="s">
        <v>22</v>
      </c>
      <c r="G218" t="s">
        <v>51</v>
      </c>
      <c r="H218">
        <v>3</v>
      </c>
      <c r="I218">
        <v>41997</v>
      </c>
    </row>
    <row r="219" spans="1:11" x14ac:dyDescent="0.3">
      <c r="A219" t="s">
        <v>276</v>
      </c>
      <c r="B219" s="1">
        <v>45419</v>
      </c>
      <c r="C219" t="s">
        <v>3</v>
      </c>
      <c r="D219" t="s">
        <v>76</v>
      </c>
      <c r="E219" t="s">
        <v>27</v>
      </c>
      <c r="F219" t="s">
        <v>50</v>
      </c>
      <c r="G219" t="s">
        <v>51</v>
      </c>
      <c r="H219">
        <v>5</v>
      </c>
      <c r="I219">
        <v>21483</v>
      </c>
      <c r="J219">
        <v>0.1</v>
      </c>
    </row>
    <row r="220" spans="1:11" x14ac:dyDescent="0.3">
      <c r="A220" t="s">
        <v>277</v>
      </c>
      <c r="B220" s="1">
        <v>45640</v>
      </c>
      <c r="C220" t="s">
        <v>5</v>
      </c>
      <c r="D220" t="s">
        <v>49</v>
      </c>
      <c r="E220" t="s">
        <v>26</v>
      </c>
      <c r="F220" t="s">
        <v>61</v>
      </c>
      <c r="G220" t="s">
        <v>54</v>
      </c>
      <c r="H220">
        <v>3</v>
      </c>
      <c r="I220">
        <v>12363</v>
      </c>
      <c r="J220">
        <v>0.1</v>
      </c>
      <c r="K220">
        <v>4104</v>
      </c>
    </row>
    <row r="221" spans="1:11" x14ac:dyDescent="0.3">
      <c r="A221" t="s">
        <v>278</v>
      </c>
      <c r="B221" s="1">
        <v>45558</v>
      </c>
      <c r="C221" t="s">
        <v>6</v>
      </c>
      <c r="D221" t="s">
        <v>53</v>
      </c>
      <c r="E221" t="s">
        <v>25</v>
      </c>
      <c r="F221" t="s">
        <v>23</v>
      </c>
      <c r="G221" t="s">
        <v>54</v>
      </c>
      <c r="H221">
        <v>6</v>
      </c>
      <c r="I221">
        <v>44680</v>
      </c>
      <c r="J221">
        <v>0.1</v>
      </c>
      <c r="K221">
        <v>17301</v>
      </c>
    </row>
    <row r="222" spans="1:11" x14ac:dyDescent="0.3">
      <c r="A222" t="s">
        <v>279</v>
      </c>
      <c r="B222" s="1">
        <v>45310</v>
      </c>
      <c r="C222" t="s">
        <v>3</v>
      </c>
      <c r="D222" t="s">
        <v>49</v>
      </c>
      <c r="E222" t="s">
        <v>26</v>
      </c>
      <c r="F222" t="s">
        <v>22</v>
      </c>
      <c r="G222" t="s">
        <v>51</v>
      </c>
      <c r="H222">
        <v>8</v>
      </c>
      <c r="I222">
        <v>12220</v>
      </c>
      <c r="J222">
        <v>0.05</v>
      </c>
    </row>
    <row r="223" spans="1:11" x14ac:dyDescent="0.3">
      <c r="A223" t="s">
        <v>280</v>
      </c>
      <c r="B223" s="1">
        <v>45444</v>
      </c>
      <c r="C223" t="s">
        <v>6</v>
      </c>
      <c r="D223" t="s">
        <v>49</v>
      </c>
      <c r="E223" t="s">
        <v>25</v>
      </c>
      <c r="F223" t="s">
        <v>23</v>
      </c>
      <c r="G223" t="s">
        <v>54</v>
      </c>
      <c r="H223">
        <v>2</v>
      </c>
      <c r="I223">
        <v>16508</v>
      </c>
    </row>
    <row r="224" spans="1:11" x14ac:dyDescent="0.3">
      <c r="A224" t="s">
        <v>281</v>
      </c>
      <c r="B224" s="1">
        <v>45494</v>
      </c>
      <c r="C224" t="s">
        <v>5</v>
      </c>
      <c r="D224" t="s">
        <v>56</v>
      </c>
      <c r="E224" t="s">
        <v>25</v>
      </c>
      <c r="F224" t="s">
        <v>61</v>
      </c>
      <c r="G224" t="s">
        <v>54</v>
      </c>
      <c r="H224">
        <v>1</v>
      </c>
      <c r="I224">
        <v>21904</v>
      </c>
      <c r="J224">
        <v>0</v>
      </c>
      <c r="K224">
        <v>22341</v>
      </c>
    </row>
    <row r="225" spans="1:11" x14ac:dyDescent="0.3">
      <c r="A225" t="s">
        <v>282</v>
      </c>
      <c r="B225" s="1">
        <v>45337</v>
      </c>
      <c r="C225" t="s">
        <v>4</v>
      </c>
      <c r="D225" t="s">
        <v>76</v>
      </c>
      <c r="E225" t="s">
        <v>27</v>
      </c>
      <c r="F225" t="s">
        <v>22</v>
      </c>
      <c r="G225" t="s">
        <v>51</v>
      </c>
      <c r="H225">
        <v>6</v>
      </c>
      <c r="I225">
        <v>31019</v>
      </c>
      <c r="J225">
        <v>0.1</v>
      </c>
      <c r="K225">
        <v>21313</v>
      </c>
    </row>
    <row r="226" spans="1:11" x14ac:dyDescent="0.3">
      <c r="A226" t="s">
        <v>283</v>
      </c>
      <c r="B226" s="1">
        <v>45320</v>
      </c>
      <c r="C226" t="s">
        <v>5</v>
      </c>
      <c r="D226" t="s">
        <v>49</v>
      </c>
      <c r="E226" t="s">
        <v>27</v>
      </c>
      <c r="F226" t="s">
        <v>50</v>
      </c>
      <c r="G226" t="s">
        <v>51</v>
      </c>
      <c r="H226">
        <v>6</v>
      </c>
      <c r="I226">
        <v>37169</v>
      </c>
      <c r="J226">
        <v>0.05</v>
      </c>
    </row>
    <row r="227" spans="1:11" x14ac:dyDescent="0.3">
      <c r="A227" t="s">
        <v>284</v>
      </c>
      <c r="B227" s="1">
        <v>45418</v>
      </c>
      <c r="C227" t="s">
        <v>4</v>
      </c>
      <c r="D227" t="s">
        <v>69</v>
      </c>
      <c r="E227" t="s">
        <v>29</v>
      </c>
      <c r="F227" t="s">
        <v>22</v>
      </c>
      <c r="G227" t="s">
        <v>51</v>
      </c>
      <c r="H227">
        <v>8</v>
      </c>
      <c r="I227">
        <v>13152</v>
      </c>
      <c r="J227">
        <v>0.05</v>
      </c>
      <c r="K227">
        <v>7481</v>
      </c>
    </row>
    <row r="228" spans="1:11" x14ac:dyDescent="0.3">
      <c r="A228" t="s">
        <v>285</v>
      </c>
      <c r="B228" s="1">
        <v>45490</v>
      </c>
      <c r="C228" t="s">
        <v>6</v>
      </c>
      <c r="D228" t="s">
        <v>76</v>
      </c>
      <c r="E228" t="s">
        <v>27</v>
      </c>
      <c r="F228" t="s">
        <v>50</v>
      </c>
      <c r="G228" t="s">
        <v>51</v>
      </c>
      <c r="H228">
        <v>3</v>
      </c>
      <c r="I228">
        <v>2127</v>
      </c>
      <c r="J228">
        <v>0.1</v>
      </c>
      <c r="K228">
        <v>25757</v>
      </c>
    </row>
    <row r="229" spans="1:11" x14ac:dyDescent="0.3">
      <c r="A229" t="s">
        <v>286</v>
      </c>
      <c r="B229" s="1">
        <v>45520</v>
      </c>
      <c r="C229" t="s">
        <v>4</v>
      </c>
      <c r="D229" t="s">
        <v>56</v>
      </c>
      <c r="E229" t="s">
        <v>27</v>
      </c>
      <c r="F229" t="s">
        <v>22</v>
      </c>
      <c r="G229" t="s">
        <v>51</v>
      </c>
      <c r="H229">
        <v>2</v>
      </c>
      <c r="I229">
        <v>49195</v>
      </c>
      <c r="J229">
        <v>0.05</v>
      </c>
      <c r="K229">
        <v>2164</v>
      </c>
    </row>
    <row r="230" spans="1:11" x14ac:dyDescent="0.3">
      <c r="A230" t="s">
        <v>287</v>
      </c>
      <c r="B230" s="1">
        <v>45594</v>
      </c>
      <c r="C230" t="s">
        <v>6</v>
      </c>
      <c r="D230" t="s">
        <v>56</v>
      </c>
      <c r="E230" t="s">
        <v>29</v>
      </c>
      <c r="F230" t="s">
        <v>23</v>
      </c>
      <c r="G230" t="s">
        <v>54</v>
      </c>
      <c r="H230">
        <v>3</v>
      </c>
      <c r="I230">
        <v>20754</v>
      </c>
      <c r="J230">
        <v>0.05</v>
      </c>
      <c r="K230">
        <v>8828</v>
      </c>
    </row>
    <row r="231" spans="1:11" x14ac:dyDescent="0.3">
      <c r="A231" t="s">
        <v>288</v>
      </c>
      <c r="B231" s="1">
        <v>45624</v>
      </c>
      <c r="C231" t="s">
        <v>6</v>
      </c>
      <c r="D231" t="s">
        <v>64</v>
      </c>
      <c r="E231" t="s">
        <v>25</v>
      </c>
      <c r="F231" t="s">
        <v>22</v>
      </c>
      <c r="G231" t="s">
        <v>51</v>
      </c>
      <c r="H231">
        <v>6</v>
      </c>
      <c r="I231">
        <v>41060</v>
      </c>
      <c r="J231">
        <v>0.05</v>
      </c>
      <c r="K231">
        <v>1527</v>
      </c>
    </row>
    <row r="232" spans="1:11" x14ac:dyDescent="0.3">
      <c r="A232" t="s">
        <v>289</v>
      </c>
      <c r="B232" s="1">
        <v>45450</v>
      </c>
      <c r="C232" t="s">
        <v>4</v>
      </c>
      <c r="D232" t="s">
        <v>69</v>
      </c>
      <c r="E232" t="s">
        <v>27</v>
      </c>
      <c r="F232" t="s">
        <v>24</v>
      </c>
      <c r="G232" t="s">
        <v>54</v>
      </c>
      <c r="H232">
        <v>4</v>
      </c>
      <c r="I232">
        <v>9299</v>
      </c>
      <c r="J232">
        <v>0.05</v>
      </c>
    </row>
    <row r="233" spans="1:11" x14ac:dyDescent="0.3">
      <c r="A233" t="s">
        <v>290</v>
      </c>
      <c r="B233" s="1">
        <v>45501</v>
      </c>
      <c r="C233" t="s">
        <v>5</v>
      </c>
      <c r="D233" t="s">
        <v>56</v>
      </c>
      <c r="E233" t="s">
        <v>29</v>
      </c>
      <c r="F233" t="s">
        <v>23</v>
      </c>
      <c r="G233" t="s">
        <v>54</v>
      </c>
      <c r="H233">
        <v>6</v>
      </c>
      <c r="I233">
        <v>6150</v>
      </c>
      <c r="J233">
        <v>0</v>
      </c>
    </row>
    <row r="234" spans="1:11" x14ac:dyDescent="0.3">
      <c r="A234" t="s">
        <v>291</v>
      </c>
      <c r="B234" s="1">
        <v>45438</v>
      </c>
      <c r="C234" t="s">
        <v>4</v>
      </c>
      <c r="D234" t="s">
        <v>69</v>
      </c>
      <c r="E234" t="s">
        <v>27</v>
      </c>
      <c r="F234" t="s">
        <v>22</v>
      </c>
      <c r="G234" t="s">
        <v>51</v>
      </c>
      <c r="H234">
        <v>2</v>
      </c>
      <c r="I234">
        <v>49764</v>
      </c>
      <c r="K234">
        <v>14278</v>
      </c>
    </row>
    <row r="235" spans="1:11" x14ac:dyDescent="0.3">
      <c r="A235" t="s">
        <v>292</v>
      </c>
      <c r="B235" s="1">
        <v>45407</v>
      </c>
      <c r="C235" t="s">
        <v>3</v>
      </c>
      <c r="D235" t="s">
        <v>69</v>
      </c>
      <c r="E235" t="s">
        <v>25</v>
      </c>
      <c r="F235" t="s">
        <v>23</v>
      </c>
      <c r="G235" t="s">
        <v>54</v>
      </c>
      <c r="H235">
        <v>9</v>
      </c>
      <c r="I235">
        <v>32953</v>
      </c>
      <c r="J235">
        <v>0</v>
      </c>
      <c r="K235">
        <v>25330</v>
      </c>
    </row>
    <row r="236" spans="1:11" x14ac:dyDescent="0.3">
      <c r="A236" t="s">
        <v>293</v>
      </c>
      <c r="B236" s="1">
        <v>45657</v>
      </c>
      <c r="C236" t="s">
        <v>5</v>
      </c>
      <c r="D236" t="s">
        <v>56</v>
      </c>
      <c r="E236" t="s">
        <v>28</v>
      </c>
      <c r="F236" t="s">
        <v>61</v>
      </c>
      <c r="G236" t="s">
        <v>54</v>
      </c>
      <c r="H236">
        <v>1</v>
      </c>
      <c r="I236">
        <v>41318</v>
      </c>
    </row>
    <row r="237" spans="1:11" x14ac:dyDescent="0.3">
      <c r="A237" t="s">
        <v>294</v>
      </c>
      <c r="B237" s="1">
        <v>45491</v>
      </c>
      <c r="C237" t="s">
        <v>3</v>
      </c>
      <c r="D237" t="s">
        <v>69</v>
      </c>
      <c r="E237" t="s">
        <v>26</v>
      </c>
      <c r="F237" t="s">
        <v>24</v>
      </c>
      <c r="G237" t="s">
        <v>54</v>
      </c>
      <c r="H237">
        <v>5</v>
      </c>
      <c r="I237">
        <v>21874</v>
      </c>
      <c r="J237">
        <v>0</v>
      </c>
      <c r="K237">
        <v>29442</v>
      </c>
    </row>
    <row r="238" spans="1:11" x14ac:dyDescent="0.3">
      <c r="A238" t="s">
        <v>295</v>
      </c>
      <c r="B238" s="1">
        <v>45536</v>
      </c>
      <c r="C238" t="s">
        <v>6</v>
      </c>
      <c r="D238" t="s">
        <v>53</v>
      </c>
      <c r="E238" t="s">
        <v>25</v>
      </c>
      <c r="F238" t="s">
        <v>22</v>
      </c>
      <c r="G238" t="s">
        <v>51</v>
      </c>
      <c r="H238">
        <v>4</v>
      </c>
      <c r="I238">
        <v>2590</v>
      </c>
      <c r="K238">
        <v>21250</v>
      </c>
    </row>
    <row r="239" spans="1:11" x14ac:dyDescent="0.3">
      <c r="A239" t="s">
        <v>296</v>
      </c>
      <c r="B239" s="1">
        <v>45389</v>
      </c>
      <c r="C239" t="s">
        <v>5</v>
      </c>
      <c r="D239" t="s">
        <v>56</v>
      </c>
      <c r="E239" t="s">
        <v>29</v>
      </c>
      <c r="F239" t="s">
        <v>23</v>
      </c>
      <c r="G239" t="s">
        <v>54</v>
      </c>
      <c r="H239">
        <v>4</v>
      </c>
      <c r="I239">
        <v>44635</v>
      </c>
      <c r="J239">
        <v>0</v>
      </c>
    </row>
    <row r="240" spans="1:11" x14ac:dyDescent="0.3">
      <c r="A240" t="s">
        <v>297</v>
      </c>
      <c r="B240" s="1">
        <v>45485</v>
      </c>
      <c r="C240" t="s">
        <v>6</v>
      </c>
      <c r="D240" t="s">
        <v>64</v>
      </c>
      <c r="E240" t="s">
        <v>26</v>
      </c>
      <c r="F240" t="s">
        <v>23</v>
      </c>
      <c r="G240" t="s">
        <v>54</v>
      </c>
      <c r="H240">
        <v>5</v>
      </c>
      <c r="I240">
        <v>41238</v>
      </c>
      <c r="J240">
        <v>0</v>
      </c>
      <c r="K240">
        <v>16162</v>
      </c>
    </row>
    <row r="241" spans="1:11" x14ac:dyDescent="0.3">
      <c r="A241" t="s">
        <v>298</v>
      </c>
      <c r="B241" s="1">
        <v>45612</v>
      </c>
      <c r="C241" t="s">
        <v>6</v>
      </c>
      <c r="D241" t="s">
        <v>56</v>
      </c>
      <c r="E241" t="s">
        <v>25</v>
      </c>
      <c r="F241" t="s">
        <v>22</v>
      </c>
      <c r="G241" t="s">
        <v>51</v>
      </c>
      <c r="H241">
        <v>8</v>
      </c>
      <c r="I241">
        <v>31753</v>
      </c>
      <c r="J241">
        <v>0.1</v>
      </c>
      <c r="K241">
        <v>6886</v>
      </c>
    </row>
    <row r="242" spans="1:11" x14ac:dyDescent="0.3">
      <c r="A242" t="s">
        <v>299</v>
      </c>
      <c r="B242" s="1">
        <v>45344</v>
      </c>
      <c r="C242" t="s">
        <v>3</v>
      </c>
      <c r="D242" t="s">
        <v>69</v>
      </c>
      <c r="E242" t="s">
        <v>28</v>
      </c>
      <c r="F242" t="s">
        <v>24</v>
      </c>
      <c r="G242" t="s">
        <v>54</v>
      </c>
      <c r="H242">
        <v>7</v>
      </c>
      <c r="I242">
        <v>2314</v>
      </c>
      <c r="K242">
        <v>28739</v>
      </c>
    </row>
    <row r="243" spans="1:11" x14ac:dyDescent="0.3">
      <c r="A243" t="s">
        <v>300</v>
      </c>
      <c r="B243" s="1">
        <v>45321</v>
      </c>
      <c r="C243" t="s">
        <v>4</v>
      </c>
      <c r="D243" t="s">
        <v>56</v>
      </c>
      <c r="E243" t="s">
        <v>27</v>
      </c>
      <c r="F243" t="s">
        <v>22</v>
      </c>
      <c r="G243" t="s">
        <v>51</v>
      </c>
      <c r="H243">
        <v>8</v>
      </c>
      <c r="I243">
        <v>5742</v>
      </c>
      <c r="J243">
        <v>0.05</v>
      </c>
    </row>
    <row r="244" spans="1:11" x14ac:dyDescent="0.3">
      <c r="A244" t="s">
        <v>301</v>
      </c>
      <c r="B244" s="1">
        <v>45388</v>
      </c>
      <c r="C244" t="s">
        <v>3</v>
      </c>
      <c r="D244" t="s">
        <v>64</v>
      </c>
      <c r="E244" t="s">
        <v>29</v>
      </c>
      <c r="F244" t="s">
        <v>61</v>
      </c>
      <c r="G244" t="s">
        <v>54</v>
      </c>
      <c r="H244">
        <v>1</v>
      </c>
      <c r="I244">
        <v>7341</v>
      </c>
    </row>
    <row r="245" spans="1:11" x14ac:dyDescent="0.3">
      <c r="A245" t="s">
        <v>302</v>
      </c>
      <c r="B245" s="1">
        <v>45424</v>
      </c>
      <c r="C245" t="s">
        <v>5</v>
      </c>
      <c r="D245" t="s">
        <v>76</v>
      </c>
      <c r="E245" t="s">
        <v>28</v>
      </c>
      <c r="F245" t="s">
        <v>23</v>
      </c>
      <c r="G245" t="s">
        <v>54</v>
      </c>
      <c r="H245">
        <v>5</v>
      </c>
      <c r="I245">
        <v>14006</v>
      </c>
    </row>
    <row r="246" spans="1:11" x14ac:dyDescent="0.3">
      <c r="A246" t="s">
        <v>303</v>
      </c>
      <c r="B246" s="1">
        <v>45456</v>
      </c>
      <c r="C246" t="s">
        <v>6</v>
      </c>
      <c r="D246" t="s">
        <v>76</v>
      </c>
      <c r="E246" t="s">
        <v>27</v>
      </c>
      <c r="F246" t="s">
        <v>61</v>
      </c>
      <c r="G246" t="s">
        <v>54</v>
      </c>
      <c r="H246">
        <v>5</v>
      </c>
      <c r="I246">
        <v>33256</v>
      </c>
      <c r="J246">
        <v>0</v>
      </c>
      <c r="K246">
        <v>10559</v>
      </c>
    </row>
    <row r="247" spans="1:11" x14ac:dyDescent="0.3">
      <c r="A247" t="s">
        <v>304</v>
      </c>
      <c r="B247" s="1">
        <v>45656</v>
      </c>
      <c r="C247" t="s">
        <v>3</v>
      </c>
      <c r="D247" t="s">
        <v>56</v>
      </c>
      <c r="E247" t="s">
        <v>26</v>
      </c>
      <c r="F247" t="s">
        <v>24</v>
      </c>
      <c r="G247" t="s">
        <v>54</v>
      </c>
      <c r="H247">
        <v>3</v>
      </c>
      <c r="I247">
        <v>40733</v>
      </c>
      <c r="J247">
        <v>0.05</v>
      </c>
    </row>
    <row r="248" spans="1:11" x14ac:dyDescent="0.3">
      <c r="A248" t="s">
        <v>305</v>
      </c>
      <c r="B248" s="1">
        <v>45525</v>
      </c>
      <c r="C248" t="s">
        <v>4</v>
      </c>
      <c r="D248" t="s">
        <v>56</v>
      </c>
      <c r="E248" t="s">
        <v>28</v>
      </c>
      <c r="F248" t="s">
        <v>22</v>
      </c>
      <c r="G248" t="s">
        <v>51</v>
      </c>
      <c r="H248">
        <v>10</v>
      </c>
      <c r="I248">
        <v>4552</v>
      </c>
      <c r="J248">
        <v>0</v>
      </c>
      <c r="K248">
        <v>16220</v>
      </c>
    </row>
    <row r="249" spans="1:11" x14ac:dyDescent="0.3">
      <c r="A249" t="s">
        <v>306</v>
      </c>
      <c r="B249" s="1">
        <v>45544</v>
      </c>
      <c r="C249" t="s">
        <v>3</v>
      </c>
      <c r="D249" t="s">
        <v>49</v>
      </c>
      <c r="E249" t="s">
        <v>28</v>
      </c>
      <c r="F249" t="s">
        <v>58</v>
      </c>
      <c r="G249" t="s">
        <v>54</v>
      </c>
      <c r="H249">
        <v>2</v>
      </c>
      <c r="I249">
        <v>14608</v>
      </c>
      <c r="J249">
        <v>0.1</v>
      </c>
      <c r="K249">
        <v>26031</v>
      </c>
    </row>
    <row r="250" spans="1:11" x14ac:dyDescent="0.3">
      <c r="A250" t="s">
        <v>307</v>
      </c>
      <c r="B250" s="1">
        <v>45298</v>
      </c>
      <c r="C250" t="s">
        <v>4</v>
      </c>
      <c r="D250" t="s">
        <v>69</v>
      </c>
      <c r="E250" t="s">
        <v>27</v>
      </c>
      <c r="F250" t="s">
        <v>23</v>
      </c>
      <c r="G250" t="s">
        <v>54</v>
      </c>
      <c r="H250">
        <v>10</v>
      </c>
      <c r="I250">
        <v>1400</v>
      </c>
      <c r="J250">
        <v>0</v>
      </c>
      <c r="K250">
        <v>2038</v>
      </c>
    </row>
    <row r="251" spans="1:11" x14ac:dyDescent="0.3">
      <c r="A251" t="s">
        <v>308</v>
      </c>
      <c r="B251" s="1">
        <v>45477</v>
      </c>
      <c r="C251" t="s">
        <v>6</v>
      </c>
      <c r="D251" t="s">
        <v>64</v>
      </c>
      <c r="E251" t="s">
        <v>25</v>
      </c>
      <c r="F251" t="s">
        <v>61</v>
      </c>
      <c r="G251" t="s">
        <v>54</v>
      </c>
      <c r="H251">
        <v>8</v>
      </c>
      <c r="I251">
        <v>16258</v>
      </c>
      <c r="J251">
        <v>0.1</v>
      </c>
      <c r="K251">
        <v>1521</v>
      </c>
    </row>
    <row r="252" spans="1:11" x14ac:dyDescent="0.3">
      <c r="A252" t="s">
        <v>309</v>
      </c>
      <c r="B252" s="1">
        <v>45329</v>
      </c>
      <c r="C252" t="s">
        <v>4</v>
      </c>
      <c r="D252" t="s">
        <v>53</v>
      </c>
      <c r="E252" t="s">
        <v>26</v>
      </c>
      <c r="F252" t="s">
        <v>61</v>
      </c>
      <c r="G252" t="s">
        <v>54</v>
      </c>
      <c r="H252">
        <v>3</v>
      </c>
      <c r="I252">
        <v>7618</v>
      </c>
      <c r="K252">
        <v>22100</v>
      </c>
    </row>
    <row r="253" spans="1:11" x14ac:dyDescent="0.3">
      <c r="A253" t="s">
        <v>310</v>
      </c>
      <c r="B253" s="1">
        <v>45481</v>
      </c>
      <c r="C253" t="s">
        <v>5</v>
      </c>
      <c r="D253" t="s">
        <v>64</v>
      </c>
      <c r="E253" t="s">
        <v>26</v>
      </c>
      <c r="F253" t="s">
        <v>58</v>
      </c>
      <c r="G253" t="s">
        <v>54</v>
      </c>
      <c r="H253">
        <v>4</v>
      </c>
      <c r="I253">
        <v>18491</v>
      </c>
      <c r="J253">
        <v>0</v>
      </c>
    </row>
    <row r="254" spans="1:11" x14ac:dyDescent="0.3">
      <c r="A254" t="s">
        <v>311</v>
      </c>
      <c r="B254" s="1">
        <v>45481</v>
      </c>
      <c r="C254" t="s">
        <v>5</v>
      </c>
      <c r="D254" t="s">
        <v>56</v>
      </c>
      <c r="E254" t="s">
        <v>29</v>
      </c>
      <c r="F254" t="s">
        <v>22</v>
      </c>
      <c r="G254" t="s">
        <v>51</v>
      </c>
      <c r="H254">
        <v>6</v>
      </c>
      <c r="I254">
        <v>39319</v>
      </c>
    </row>
    <row r="255" spans="1:11" x14ac:dyDescent="0.3">
      <c r="A255" t="s">
        <v>312</v>
      </c>
      <c r="B255" s="1">
        <v>45348</v>
      </c>
      <c r="C255" t="s">
        <v>5</v>
      </c>
      <c r="D255" t="s">
        <v>53</v>
      </c>
      <c r="E255" t="s">
        <v>27</v>
      </c>
      <c r="F255" t="s">
        <v>23</v>
      </c>
      <c r="G255" t="s">
        <v>54</v>
      </c>
      <c r="H255">
        <v>8</v>
      </c>
      <c r="I255">
        <v>29170</v>
      </c>
      <c r="J255">
        <v>0</v>
      </c>
      <c r="K255">
        <v>12380</v>
      </c>
    </row>
    <row r="256" spans="1:11" x14ac:dyDescent="0.3">
      <c r="A256" t="s">
        <v>313</v>
      </c>
      <c r="B256" s="1">
        <v>45523</v>
      </c>
      <c r="C256" t="s">
        <v>4</v>
      </c>
      <c r="D256" t="s">
        <v>64</v>
      </c>
      <c r="E256" t="s">
        <v>27</v>
      </c>
      <c r="F256" t="s">
        <v>23</v>
      </c>
      <c r="G256" t="s">
        <v>54</v>
      </c>
      <c r="H256">
        <v>7</v>
      </c>
      <c r="I256">
        <v>35912</v>
      </c>
      <c r="J256">
        <v>0</v>
      </c>
      <c r="K256">
        <v>22723</v>
      </c>
    </row>
    <row r="257" spans="1:11" x14ac:dyDescent="0.3">
      <c r="A257" t="s">
        <v>314</v>
      </c>
      <c r="B257" s="1">
        <v>45420</v>
      </c>
      <c r="C257" t="s">
        <v>3</v>
      </c>
      <c r="D257" t="s">
        <v>76</v>
      </c>
      <c r="E257" t="s">
        <v>26</v>
      </c>
      <c r="F257" t="s">
        <v>61</v>
      </c>
      <c r="G257" t="s">
        <v>54</v>
      </c>
      <c r="H257">
        <v>2</v>
      </c>
      <c r="I257">
        <v>29764</v>
      </c>
      <c r="J257">
        <v>0.05</v>
      </c>
      <c r="K257">
        <v>10578</v>
      </c>
    </row>
    <row r="258" spans="1:11" x14ac:dyDescent="0.3">
      <c r="A258" t="s">
        <v>315</v>
      </c>
      <c r="B258" s="1">
        <v>45326</v>
      </c>
      <c r="C258" t="s">
        <v>4</v>
      </c>
      <c r="D258" t="s">
        <v>49</v>
      </c>
      <c r="E258" t="s">
        <v>29</v>
      </c>
      <c r="F258" t="s">
        <v>22</v>
      </c>
      <c r="G258" t="s">
        <v>51</v>
      </c>
      <c r="H258">
        <v>1</v>
      </c>
      <c r="I258">
        <v>38810</v>
      </c>
      <c r="K258">
        <v>29860</v>
      </c>
    </row>
    <row r="259" spans="1:11" x14ac:dyDescent="0.3">
      <c r="A259" t="s">
        <v>316</v>
      </c>
      <c r="B259" s="1">
        <v>45312</v>
      </c>
      <c r="C259" t="s">
        <v>3</v>
      </c>
      <c r="D259" t="s">
        <v>76</v>
      </c>
      <c r="E259" t="s">
        <v>28</v>
      </c>
      <c r="F259" t="s">
        <v>58</v>
      </c>
      <c r="G259" t="s">
        <v>54</v>
      </c>
      <c r="H259">
        <v>7</v>
      </c>
      <c r="I259">
        <v>14517</v>
      </c>
    </row>
    <row r="260" spans="1:11" x14ac:dyDescent="0.3">
      <c r="A260" t="s">
        <v>317</v>
      </c>
      <c r="B260" s="1">
        <v>45412</v>
      </c>
      <c r="C260" t="s">
        <v>6</v>
      </c>
      <c r="D260" t="s">
        <v>69</v>
      </c>
      <c r="E260" t="s">
        <v>29</v>
      </c>
      <c r="F260" t="s">
        <v>23</v>
      </c>
      <c r="G260" t="s">
        <v>54</v>
      </c>
      <c r="H260">
        <v>1</v>
      </c>
      <c r="I260">
        <v>21855</v>
      </c>
      <c r="J260">
        <v>0.1</v>
      </c>
    </row>
    <row r="261" spans="1:11" x14ac:dyDescent="0.3">
      <c r="A261" t="s">
        <v>318</v>
      </c>
      <c r="B261" s="1">
        <v>45302</v>
      </c>
      <c r="C261" t="s">
        <v>5</v>
      </c>
      <c r="D261" t="s">
        <v>56</v>
      </c>
      <c r="E261" t="s">
        <v>28</v>
      </c>
      <c r="F261" t="s">
        <v>24</v>
      </c>
      <c r="G261" t="s">
        <v>54</v>
      </c>
      <c r="H261">
        <v>10</v>
      </c>
      <c r="I261">
        <v>38029</v>
      </c>
      <c r="J261">
        <v>0</v>
      </c>
    </row>
    <row r="262" spans="1:11" x14ac:dyDescent="0.3">
      <c r="A262" t="s">
        <v>319</v>
      </c>
      <c r="B262" s="1">
        <v>45558</v>
      </c>
      <c r="C262" t="s">
        <v>4</v>
      </c>
      <c r="D262" t="s">
        <v>69</v>
      </c>
      <c r="E262" t="s">
        <v>26</v>
      </c>
      <c r="F262" t="s">
        <v>24</v>
      </c>
      <c r="G262" t="s">
        <v>54</v>
      </c>
      <c r="H262">
        <v>1</v>
      </c>
      <c r="I262">
        <v>35663</v>
      </c>
      <c r="J262">
        <v>0.1</v>
      </c>
    </row>
    <row r="263" spans="1:11" x14ac:dyDescent="0.3">
      <c r="A263" t="s">
        <v>320</v>
      </c>
      <c r="B263" s="1">
        <v>45331</v>
      </c>
      <c r="C263" t="s">
        <v>3</v>
      </c>
      <c r="D263" t="s">
        <v>69</v>
      </c>
      <c r="E263" t="s">
        <v>26</v>
      </c>
      <c r="F263" t="s">
        <v>22</v>
      </c>
      <c r="G263" t="s">
        <v>51</v>
      </c>
      <c r="H263">
        <v>8</v>
      </c>
      <c r="I263">
        <v>49032</v>
      </c>
      <c r="J263">
        <v>0.1</v>
      </c>
    </row>
    <row r="264" spans="1:11" x14ac:dyDescent="0.3">
      <c r="A264" t="s">
        <v>321</v>
      </c>
      <c r="B264" s="1">
        <v>45375</v>
      </c>
      <c r="C264" t="s">
        <v>3</v>
      </c>
      <c r="D264" t="s">
        <v>69</v>
      </c>
      <c r="E264" t="s">
        <v>28</v>
      </c>
      <c r="F264" t="s">
        <v>23</v>
      </c>
      <c r="G264" t="s">
        <v>54</v>
      </c>
      <c r="H264">
        <v>1</v>
      </c>
      <c r="I264">
        <v>9951</v>
      </c>
    </row>
    <row r="265" spans="1:11" x14ac:dyDescent="0.3">
      <c r="A265" t="s">
        <v>322</v>
      </c>
      <c r="B265" s="1">
        <v>45293</v>
      </c>
      <c r="C265" t="s">
        <v>4</v>
      </c>
      <c r="D265" t="s">
        <v>76</v>
      </c>
      <c r="E265" t="s">
        <v>25</v>
      </c>
      <c r="F265" t="s">
        <v>23</v>
      </c>
      <c r="G265" t="s">
        <v>54</v>
      </c>
      <c r="H265">
        <v>7</v>
      </c>
      <c r="I265">
        <v>5474</v>
      </c>
      <c r="J265">
        <v>0</v>
      </c>
      <c r="K265">
        <v>27707</v>
      </c>
    </row>
    <row r="266" spans="1:11" x14ac:dyDescent="0.3">
      <c r="A266" t="s">
        <v>323</v>
      </c>
      <c r="B266" s="1">
        <v>45640</v>
      </c>
      <c r="C266" t="s">
        <v>3</v>
      </c>
      <c r="D266" t="s">
        <v>49</v>
      </c>
      <c r="E266" t="s">
        <v>25</v>
      </c>
      <c r="F266" t="s">
        <v>58</v>
      </c>
      <c r="G266" t="s">
        <v>54</v>
      </c>
      <c r="H266">
        <v>9</v>
      </c>
      <c r="I266">
        <v>25072</v>
      </c>
      <c r="J266">
        <v>0</v>
      </c>
    </row>
    <row r="267" spans="1:11" x14ac:dyDescent="0.3">
      <c r="A267" t="s">
        <v>324</v>
      </c>
      <c r="B267" s="1">
        <v>45642</v>
      </c>
      <c r="C267" t="s">
        <v>3</v>
      </c>
      <c r="D267" t="s">
        <v>64</v>
      </c>
      <c r="E267" t="s">
        <v>25</v>
      </c>
      <c r="F267" t="s">
        <v>50</v>
      </c>
      <c r="G267" t="s">
        <v>51</v>
      </c>
      <c r="H267">
        <v>10</v>
      </c>
      <c r="I267">
        <v>33237</v>
      </c>
      <c r="J267">
        <v>0.05</v>
      </c>
    </row>
    <row r="268" spans="1:11" x14ac:dyDescent="0.3">
      <c r="A268" t="s">
        <v>325</v>
      </c>
      <c r="B268" s="1">
        <v>45311</v>
      </c>
      <c r="C268" t="s">
        <v>5</v>
      </c>
      <c r="D268" t="s">
        <v>64</v>
      </c>
      <c r="E268" t="s">
        <v>25</v>
      </c>
      <c r="F268" t="s">
        <v>23</v>
      </c>
      <c r="G268" t="s">
        <v>54</v>
      </c>
      <c r="H268">
        <v>1</v>
      </c>
      <c r="I268">
        <v>8086</v>
      </c>
      <c r="J268">
        <v>0.05</v>
      </c>
    </row>
    <row r="269" spans="1:11" x14ac:dyDescent="0.3">
      <c r="A269" t="s">
        <v>326</v>
      </c>
      <c r="B269" s="1">
        <v>45336</v>
      </c>
      <c r="C269" t="s">
        <v>4</v>
      </c>
      <c r="D269" t="s">
        <v>69</v>
      </c>
      <c r="E269" t="s">
        <v>27</v>
      </c>
      <c r="F269" t="s">
        <v>24</v>
      </c>
      <c r="G269" t="s">
        <v>54</v>
      </c>
      <c r="H269">
        <v>2</v>
      </c>
      <c r="I269">
        <v>46103</v>
      </c>
      <c r="K269">
        <v>12440</v>
      </c>
    </row>
    <row r="270" spans="1:11" x14ac:dyDescent="0.3">
      <c r="A270" t="s">
        <v>327</v>
      </c>
      <c r="B270" s="1">
        <v>45306</v>
      </c>
      <c r="C270" t="s">
        <v>5</v>
      </c>
      <c r="D270" t="s">
        <v>69</v>
      </c>
      <c r="E270" t="s">
        <v>27</v>
      </c>
      <c r="F270" t="s">
        <v>61</v>
      </c>
      <c r="G270" t="s">
        <v>54</v>
      </c>
      <c r="H270">
        <v>5</v>
      </c>
      <c r="I270">
        <v>1184</v>
      </c>
      <c r="J270">
        <v>0.1</v>
      </c>
    </row>
    <row r="271" spans="1:11" x14ac:dyDescent="0.3">
      <c r="A271" t="s">
        <v>328</v>
      </c>
      <c r="B271" s="1">
        <v>45293</v>
      </c>
      <c r="C271" t="s">
        <v>4</v>
      </c>
      <c r="D271" t="s">
        <v>69</v>
      </c>
      <c r="E271" t="s">
        <v>29</v>
      </c>
      <c r="F271" t="s">
        <v>23</v>
      </c>
      <c r="G271" t="s">
        <v>54</v>
      </c>
      <c r="H271">
        <v>9</v>
      </c>
      <c r="I271">
        <v>37393</v>
      </c>
      <c r="J271">
        <v>0.05</v>
      </c>
      <c r="K271">
        <v>331</v>
      </c>
    </row>
    <row r="272" spans="1:11" x14ac:dyDescent="0.3">
      <c r="A272" t="s">
        <v>329</v>
      </c>
      <c r="B272" s="1">
        <v>45333</v>
      </c>
      <c r="C272" t="s">
        <v>3</v>
      </c>
      <c r="D272" t="s">
        <v>76</v>
      </c>
      <c r="E272" t="s">
        <v>25</v>
      </c>
      <c r="F272" t="s">
        <v>58</v>
      </c>
      <c r="G272" t="s">
        <v>54</v>
      </c>
      <c r="H272">
        <v>1</v>
      </c>
      <c r="I272">
        <v>7943</v>
      </c>
      <c r="J272">
        <v>0</v>
      </c>
    </row>
    <row r="273" spans="1:11" x14ac:dyDescent="0.3">
      <c r="A273" t="s">
        <v>330</v>
      </c>
      <c r="B273" s="1">
        <v>45447</v>
      </c>
      <c r="C273" t="s">
        <v>3</v>
      </c>
      <c r="D273" t="s">
        <v>64</v>
      </c>
      <c r="E273" t="s">
        <v>29</v>
      </c>
      <c r="F273" t="s">
        <v>23</v>
      </c>
      <c r="G273" t="s">
        <v>54</v>
      </c>
      <c r="H273">
        <v>5</v>
      </c>
      <c r="I273">
        <v>43796</v>
      </c>
      <c r="J273">
        <v>0.05</v>
      </c>
      <c r="K273">
        <v>17627</v>
      </c>
    </row>
    <row r="274" spans="1:11" x14ac:dyDescent="0.3">
      <c r="A274" t="s">
        <v>331</v>
      </c>
      <c r="B274" s="1">
        <v>45303</v>
      </c>
      <c r="C274" t="s">
        <v>4</v>
      </c>
      <c r="D274" t="s">
        <v>56</v>
      </c>
      <c r="E274" t="s">
        <v>28</v>
      </c>
      <c r="F274" t="s">
        <v>50</v>
      </c>
      <c r="G274" t="s">
        <v>51</v>
      </c>
      <c r="H274">
        <v>3</v>
      </c>
      <c r="I274">
        <v>20673</v>
      </c>
      <c r="K274">
        <v>27108</v>
      </c>
    </row>
    <row r="275" spans="1:11" x14ac:dyDescent="0.3">
      <c r="A275" t="s">
        <v>332</v>
      </c>
      <c r="B275" s="1">
        <v>45447</v>
      </c>
      <c r="C275" t="s">
        <v>3</v>
      </c>
      <c r="D275" t="s">
        <v>69</v>
      </c>
      <c r="E275" t="s">
        <v>28</v>
      </c>
      <c r="F275" t="s">
        <v>58</v>
      </c>
      <c r="G275" t="s">
        <v>54</v>
      </c>
      <c r="H275">
        <v>4</v>
      </c>
      <c r="I275">
        <v>31352</v>
      </c>
      <c r="J275">
        <v>0</v>
      </c>
      <c r="K275">
        <v>14790</v>
      </c>
    </row>
    <row r="276" spans="1:11" x14ac:dyDescent="0.3">
      <c r="A276" t="s">
        <v>333</v>
      </c>
      <c r="B276" s="1">
        <v>45626</v>
      </c>
      <c r="C276" t="s">
        <v>6</v>
      </c>
      <c r="D276" t="s">
        <v>76</v>
      </c>
      <c r="E276" t="s">
        <v>25</v>
      </c>
      <c r="F276" t="s">
        <v>24</v>
      </c>
      <c r="G276" t="s">
        <v>54</v>
      </c>
      <c r="H276">
        <v>7</v>
      </c>
      <c r="I276">
        <v>14680</v>
      </c>
    </row>
    <row r="277" spans="1:11" x14ac:dyDescent="0.3">
      <c r="A277" t="s">
        <v>334</v>
      </c>
      <c r="B277" s="1">
        <v>45386</v>
      </c>
      <c r="C277" t="s">
        <v>4</v>
      </c>
      <c r="D277" t="s">
        <v>76</v>
      </c>
      <c r="E277" t="s">
        <v>28</v>
      </c>
      <c r="F277" t="s">
        <v>23</v>
      </c>
      <c r="G277" t="s">
        <v>54</v>
      </c>
      <c r="H277">
        <v>10</v>
      </c>
      <c r="I277">
        <v>35511</v>
      </c>
    </row>
    <row r="278" spans="1:11" x14ac:dyDescent="0.3">
      <c r="A278" t="s">
        <v>335</v>
      </c>
      <c r="B278" s="1">
        <v>45378</v>
      </c>
      <c r="C278" t="s">
        <v>4</v>
      </c>
      <c r="D278" t="s">
        <v>69</v>
      </c>
      <c r="E278" t="s">
        <v>28</v>
      </c>
      <c r="F278" t="s">
        <v>23</v>
      </c>
      <c r="G278" t="s">
        <v>54</v>
      </c>
      <c r="H278">
        <v>10</v>
      </c>
      <c r="I278">
        <v>12530</v>
      </c>
      <c r="J278">
        <v>0.1</v>
      </c>
    </row>
    <row r="279" spans="1:11" x14ac:dyDescent="0.3">
      <c r="A279" t="s">
        <v>336</v>
      </c>
      <c r="B279" s="1">
        <v>45373</v>
      </c>
      <c r="C279" t="s">
        <v>3</v>
      </c>
      <c r="D279" t="s">
        <v>76</v>
      </c>
      <c r="E279" t="s">
        <v>26</v>
      </c>
      <c r="F279" t="s">
        <v>50</v>
      </c>
      <c r="G279" t="s">
        <v>51</v>
      </c>
      <c r="H279">
        <v>2</v>
      </c>
      <c r="I279">
        <v>41676</v>
      </c>
      <c r="J279">
        <v>0.1</v>
      </c>
    </row>
    <row r="280" spans="1:11" x14ac:dyDescent="0.3">
      <c r="A280" t="s">
        <v>337</v>
      </c>
      <c r="B280" s="1">
        <v>45373</v>
      </c>
      <c r="C280" t="s">
        <v>4</v>
      </c>
      <c r="D280" t="s">
        <v>69</v>
      </c>
      <c r="E280" t="s">
        <v>28</v>
      </c>
      <c r="F280" t="s">
        <v>24</v>
      </c>
      <c r="G280" t="s">
        <v>54</v>
      </c>
      <c r="H280">
        <v>10</v>
      </c>
      <c r="I280">
        <v>22833</v>
      </c>
      <c r="J280">
        <v>0</v>
      </c>
    </row>
    <row r="281" spans="1:11" x14ac:dyDescent="0.3">
      <c r="A281" t="s">
        <v>338</v>
      </c>
      <c r="B281" s="1">
        <v>45520</v>
      </c>
      <c r="C281" t="s">
        <v>4</v>
      </c>
      <c r="D281" t="s">
        <v>76</v>
      </c>
      <c r="E281" t="s">
        <v>26</v>
      </c>
      <c r="F281" t="s">
        <v>22</v>
      </c>
      <c r="G281" t="s">
        <v>51</v>
      </c>
      <c r="H281">
        <v>3</v>
      </c>
      <c r="I281">
        <v>27034</v>
      </c>
      <c r="J281">
        <v>0.1</v>
      </c>
    </row>
    <row r="282" spans="1:11" x14ac:dyDescent="0.3">
      <c r="A282" t="s">
        <v>339</v>
      </c>
      <c r="B282" s="1">
        <v>45632</v>
      </c>
      <c r="C282" t="s">
        <v>5</v>
      </c>
      <c r="D282" t="s">
        <v>56</v>
      </c>
      <c r="E282" t="s">
        <v>25</v>
      </c>
      <c r="F282" t="s">
        <v>23</v>
      </c>
      <c r="G282" t="s">
        <v>54</v>
      </c>
      <c r="H282">
        <v>10</v>
      </c>
      <c r="I282">
        <v>8901</v>
      </c>
    </row>
    <row r="283" spans="1:11" x14ac:dyDescent="0.3">
      <c r="A283" t="s">
        <v>340</v>
      </c>
      <c r="B283" s="1">
        <v>45314</v>
      </c>
      <c r="C283" t="s">
        <v>6</v>
      </c>
      <c r="D283" t="s">
        <v>76</v>
      </c>
      <c r="E283" t="s">
        <v>27</v>
      </c>
      <c r="F283" t="s">
        <v>50</v>
      </c>
      <c r="G283" t="s">
        <v>51</v>
      </c>
      <c r="H283">
        <v>7</v>
      </c>
      <c r="I283">
        <v>27576</v>
      </c>
      <c r="J283">
        <v>0.1</v>
      </c>
    </row>
    <row r="284" spans="1:11" x14ac:dyDescent="0.3">
      <c r="A284" t="s">
        <v>341</v>
      </c>
      <c r="B284" s="1">
        <v>45364</v>
      </c>
      <c r="C284" t="s">
        <v>4</v>
      </c>
      <c r="D284" t="s">
        <v>56</v>
      </c>
      <c r="E284" t="s">
        <v>25</v>
      </c>
      <c r="F284" t="s">
        <v>50</v>
      </c>
      <c r="G284" t="s">
        <v>51</v>
      </c>
      <c r="H284">
        <v>4</v>
      </c>
      <c r="I284">
        <v>42661</v>
      </c>
      <c r="K284">
        <v>5622</v>
      </c>
    </row>
    <row r="285" spans="1:11" x14ac:dyDescent="0.3">
      <c r="A285" t="s">
        <v>342</v>
      </c>
      <c r="B285" s="1">
        <v>45531</v>
      </c>
      <c r="C285" t="s">
        <v>6</v>
      </c>
      <c r="D285" t="s">
        <v>49</v>
      </c>
      <c r="E285" t="s">
        <v>27</v>
      </c>
      <c r="F285" t="s">
        <v>22</v>
      </c>
      <c r="G285" t="s">
        <v>51</v>
      </c>
      <c r="H285">
        <v>2</v>
      </c>
      <c r="I285">
        <v>16344</v>
      </c>
    </row>
    <row r="286" spans="1:11" x14ac:dyDescent="0.3">
      <c r="A286" t="s">
        <v>343</v>
      </c>
      <c r="B286" s="1">
        <v>45307</v>
      </c>
      <c r="C286" t="s">
        <v>4</v>
      </c>
      <c r="D286" t="s">
        <v>53</v>
      </c>
      <c r="E286" t="s">
        <v>27</v>
      </c>
      <c r="F286" t="s">
        <v>50</v>
      </c>
      <c r="G286" t="s">
        <v>51</v>
      </c>
      <c r="H286">
        <v>2</v>
      </c>
      <c r="I286">
        <v>39671</v>
      </c>
      <c r="J286">
        <v>0</v>
      </c>
    </row>
    <row r="287" spans="1:11" x14ac:dyDescent="0.3">
      <c r="A287" t="s">
        <v>344</v>
      </c>
      <c r="B287" s="1">
        <v>45479</v>
      </c>
      <c r="C287" t="s">
        <v>3</v>
      </c>
      <c r="D287" t="s">
        <v>76</v>
      </c>
      <c r="E287" t="s">
        <v>29</v>
      </c>
      <c r="F287" t="s">
        <v>23</v>
      </c>
      <c r="G287" t="s">
        <v>54</v>
      </c>
      <c r="H287">
        <v>10</v>
      </c>
      <c r="I287">
        <v>40258</v>
      </c>
      <c r="J287">
        <v>0</v>
      </c>
    </row>
    <row r="288" spans="1:11" x14ac:dyDescent="0.3">
      <c r="A288" t="s">
        <v>345</v>
      </c>
      <c r="B288" s="1">
        <v>45402</v>
      </c>
      <c r="C288" t="s">
        <v>4</v>
      </c>
      <c r="D288" t="s">
        <v>69</v>
      </c>
      <c r="E288" t="s">
        <v>28</v>
      </c>
      <c r="F288" t="s">
        <v>61</v>
      </c>
      <c r="G288" t="s">
        <v>54</v>
      </c>
      <c r="H288">
        <v>2</v>
      </c>
      <c r="I288">
        <v>21020</v>
      </c>
      <c r="J288">
        <v>0.1</v>
      </c>
    </row>
    <row r="289" spans="1:11" x14ac:dyDescent="0.3">
      <c r="A289" t="s">
        <v>346</v>
      </c>
      <c r="B289" s="1">
        <v>45550</v>
      </c>
      <c r="C289" t="s">
        <v>5</v>
      </c>
      <c r="D289" t="s">
        <v>53</v>
      </c>
      <c r="E289" t="s">
        <v>29</v>
      </c>
      <c r="F289" t="s">
        <v>58</v>
      </c>
      <c r="G289" t="s">
        <v>54</v>
      </c>
      <c r="H289">
        <v>10</v>
      </c>
      <c r="I289">
        <v>13307</v>
      </c>
      <c r="K289">
        <v>29633</v>
      </c>
    </row>
    <row r="290" spans="1:11" x14ac:dyDescent="0.3">
      <c r="A290" t="s">
        <v>347</v>
      </c>
      <c r="B290" s="1">
        <v>45598</v>
      </c>
      <c r="C290" t="s">
        <v>5</v>
      </c>
      <c r="D290" t="s">
        <v>64</v>
      </c>
      <c r="E290" t="s">
        <v>28</v>
      </c>
      <c r="F290" t="s">
        <v>22</v>
      </c>
      <c r="G290" t="s">
        <v>51</v>
      </c>
      <c r="H290">
        <v>2</v>
      </c>
      <c r="I290">
        <v>2363</v>
      </c>
      <c r="J290">
        <v>0.05</v>
      </c>
      <c r="K290">
        <v>7904</v>
      </c>
    </row>
    <row r="291" spans="1:11" x14ac:dyDescent="0.3">
      <c r="A291" t="s">
        <v>348</v>
      </c>
      <c r="B291" s="1">
        <v>45442</v>
      </c>
      <c r="C291" t="s">
        <v>6</v>
      </c>
      <c r="D291" t="s">
        <v>64</v>
      </c>
      <c r="E291" t="s">
        <v>28</v>
      </c>
      <c r="F291" t="s">
        <v>58</v>
      </c>
      <c r="G291" t="s">
        <v>54</v>
      </c>
      <c r="H291">
        <v>6</v>
      </c>
      <c r="I291">
        <v>33956</v>
      </c>
      <c r="J291">
        <v>0.1</v>
      </c>
      <c r="K291">
        <v>27527</v>
      </c>
    </row>
    <row r="292" spans="1:11" x14ac:dyDescent="0.3">
      <c r="A292" t="s">
        <v>349</v>
      </c>
      <c r="B292" s="1">
        <v>45589</v>
      </c>
      <c r="C292" t="s">
        <v>4</v>
      </c>
      <c r="D292" t="s">
        <v>64</v>
      </c>
      <c r="E292" t="s">
        <v>29</v>
      </c>
      <c r="F292" t="s">
        <v>23</v>
      </c>
      <c r="G292" t="s">
        <v>54</v>
      </c>
      <c r="H292">
        <v>5</v>
      </c>
      <c r="I292">
        <v>42220</v>
      </c>
      <c r="K292">
        <v>29132</v>
      </c>
    </row>
    <row r="293" spans="1:11" x14ac:dyDescent="0.3">
      <c r="A293" t="s">
        <v>350</v>
      </c>
      <c r="B293" s="1">
        <v>45441</v>
      </c>
      <c r="C293" t="s">
        <v>5</v>
      </c>
      <c r="D293" t="s">
        <v>49</v>
      </c>
      <c r="E293" t="s">
        <v>26</v>
      </c>
      <c r="F293" t="s">
        <v>50</v>
      </c>
      <c r="G293" t="s">
        <v>51</v>
      </c>
      <c r="H293">
        <v>10</v>
      </c>
      <c r="I293">
        <v>12142</v>
      </c>
      <c r="J293">
        <v>0</v>
      </c>
      <c r="K293">
        <v>12197</v>
      </c>
    </row>
    <row r="294" spans="1:11" x14ac:dyDescent="0.3">
      <c r="A294" t="s">
        <v>351</v>
      </c>
      <c r="B294" s="1">
        <v>45585</v>
      </c>
      <c r="C294" t="s">
        <v>5</v>
      </c>
      <c r="D294" t="s">
        <v>53</v>
      </c>
      <c r="E294" t="s">
        <v>29</v>
      </c>
      <c r="F294" t="s">
        <v>61</v>
      </c>
      <c r="G294" t="s">
        <v>54</v>
      </c>
      <c r="H294">
        <v>1</v>
      </c>
      <c r="I294">
        <v>38643</v>
      </c>
      <c r="J294">
        <v>0.05</v>
      </c>
    </row>
    <row r="295" spans="1:11" x14ac:dyDescent="0.3">
      <c r="A295" t="s">
        <v>352</v>
      </c>
      <c r="B295" s="1">
        <v>45522</v>
      </c>
      <c r="C295" t="s">
        <v>3</v>
      </c>
      <c r="D295" t="s">
        <v>76</v>
      </c>
      <c r="E295" t="s">
        <v>25</v>
      </c>
      <c r="F295" t="s">
        <v>23</v>
      </c>
      <c r="G295" t="s">
        <v>54</v>
      </c>
      <c r="H295">
        <v>6</v>
      </c>
      <c r="I295">
        <v>18729</v>
      </c>
      <c r="J295">
        <v>0</v>
      </c>
    </row>
    <row r="296" spans="1:11" x14ac:dyDescent="0.3">
      <c r="A296" t="s">
        <v>353</v>
      </c>
      <c r="B296" s="1">
        <v>45320</v>
      </c>
      <c r="C296" t="s">
        <v>3</v>
      </c>
      <c r="D296" t="s">
        <v>53</v>
      </c>
      <c r="E296" t="s">
        <v>25</v>
      </c>
      <c r="F296" t="s">
        <v>24</v>
      </c>
      <c r="G296" t="s">
        <v>54</v>
      </c>
      <c r="H296">
        <v>4</v>
      </c>
      <c r="I296">
        <v>16868</v>
      </c>
      <c r="J296">
        <v>0.05</v>
      </c>
    </row>
    <row r="297" spans="1:11" x14ac:dyDescent="0.3">
      <c r="A297" t="s">
        <v>354</v>
      </c>
      <c r="B297" s="1">
        <v>45453</v>
      </c>
      <c r="C297" t="s">
        <v>3</v>
      </c>
      <c r="D297" t="s">
        <v>53</v>
      </c>
      <c r="E297" t="s">
        <v>27</v>
      </c>
      <c r="F297" t="s">
        <v>24</v>
      </c>
      <c r="G297" t="s">
        <v>54</v>
      </c>
      <c r="H297">
        <v>4</v>
      </c>
      <c r="I297">
        <v>25541</v>
      </c>
      <c r="J297">
        <v>0</v>
      </c>
      <c r="K297">
        <v>27478</v>
      </c>
    </row>
    <row r="298" spans="1:11" x14ac:dyDescent="0.3">
      <c r="A298" t="s">
        <v>355</v>
      </c>
      <c r="B298" s="1">
        <v>45298</v>
      </c>
      <c r="C298" t="s">
        <v>4</v>
      </c>
      <c r="D298" t="s">
        <v>64</v>
      </c>
      <c r="E298" t="s">
        <v>25</v>
      </c>
      <c r="F298" t="s">
        <v>50</v>
      </c>
      <c r="G298" t="s">
        <v>51</v>
      </c>
      <c r="H298">
        <v>10</v>
      </c>
      <c r="I298">
        <v>12880</v>
      </c>
    </row>
    <row r="299" spans="1:11" x14ac:dyDescent="0.3">
      <c r="A299" t="s">
        <v>356</v>
      </c>
      <c r="B299" s="1">
        <v>45312</v>
      </c>
      <c r="C299" t="s">
        <v>5</v>
      </c>
      <c r="D299" t="s">
        <v>76</v>
      </c>
      <c r="E299" t="s">
        <v>25</v>
      </c>
      <c r="F299" t="s">
        <v>22</v>
      </c>
      <c r="G299" t="s">
        <v>51</v>
      </c>
      <c r="H299">
        <v>9</v>
      </c>
      <c r="I299">
        <v>25387</v>
      </c>
      <c r="K299">
        <v>17234</v>
      </c>
    </row>
    <row r="300" spans="1:11" x14ac:dyDescent="0.3">
      <c r="A300" t="s">
        <v>357</v>
      </c>
      <c r="B300" s="1">
        <v>45420</v>
      </c>
      <c r="C300" t="s">
        <v>5</v>
      </c>
      <c r="D300" t="s">
        <v>76</v>
      </c>
      <c r="E300" t="s">
        <v>25</v>
      </c>
      <c r="F300" t="s">
        <v>23</v>
      </c>
      <c r="G300" t="s">
        <v>54</v>
      </c>
      <c r="H300">
        <v>9</v>
      </c>
      <c r="I300">
        <v>7879</v>
      </c>
    </row>
    <row r="301" spans="1:11" x14ac:dyDescent="0.3">
      <c r="A301" t="s">
        <v>358</v>
      </c>
      <c r="B301" s="1">
        <v>45297</v>
      </c>
      <c r="C301" t="s">
        <v>3</v>
      </c>
      <c r="D301" t="s">
        <v>49</v>
      </c>
      <c r="E301" t="s">
        <v>26</v>
      </c>
      <c r="F301" t="s">
        <v>22</v>
      </c>
      <c r="G301" t="s">
        <v>51</v>
      </c>
      <c r="H301">
        <v>1</v>
      </c>
      <c r="I301">
        <v>5325</v>
      </c>
      <c r="J301">
        <v>0</v>
      </c>
    </row>
    <row r="302" spans="1:11" x14ac:dyDescent="0.3">
      <c r="A302" t="s">
        <v>359</v>
      </c>
      <c r="B302" s="1">
        <v>45500</v>
      </c>
      <c r="C302" t="s">
        <v>3</v>
      </c>
      <c r="D302" t="s">
        <v>64</v>
      </c>
      <c r="E302" t="s">
        <v>25</v>
      </c>
      <c r="F302" t="s">
        <v>61</v>
      </c>
      <c r="G302" t="s">
        <v>54</v>
      </c>
      <c r="H302">
        <v>8</v>
      </c>
      <c r="I302">
        <v>9183</v>
      </c>
      <c r="J302">
        <v>0.05</v>
      </c>
      <c r="K302">
        <v>9900</v>
      </c>
    </row>
    <row r="303" spans="1:11" x14ac:dyDescent="0.3">
      <c r="A303" t="s">
        <v>360</v>
      </c>
      <c r="B303" s="1">
        <v>45325</v>
      </c>
      <c r="C303" t="s">
        <v>6</v>
      </c>
      <c r="D303" t="s">
        <v>49</v>
      </c>
      <c r="E303" t="s">
        <v>27</v>
      </c>
      <c r="F303" t="s">
        <v>23</v>
      </c>
      <c r="G303" t="s">
        <v>54</v>
      </c>
      <c r="H303">
        <v>10</v>
      </c>
      <c r="I303">
        <v>10645</v>
      </c>
      <c r="J303">
        <v>0</v>
      </c>
      <c r="K303">
        <v>20317</v>
      </c>
    </row>
    <row r="304" spans="1:11" x14ac:dyDescent="0.3">
      <c r="A304" t="s">
        <v>361</v>
      </c>
      <c r="B304" s="1">
        <v>45567</v>
      </c>
      <c r="C304" t="s">
        <v>3</v>
      </c>
      <c r="D304" t="s">
        <v>49</v>
      </c>
      <c r="E304" t="s">
        <v>26</v>
      </c>
      <c r="F304" t="s">
        <v>58</v>
      </c>
      <c r="G304" t="s">
        <v>54</v>
      </c>
      <c r="H304">
        <v>2</v>
      </c>
      <c r="I304">
        <v>4515</v>
      </c>
      <c r="J304">
        <v>0.1</v>
      </c>
    </row>
    <row r="305" spans="1:11" x14ac:dyDescent="0.3">
      <c r="A305" t="s">
        <v>362</v>
      </c>
      <c r="B305" s="1">
        <v>45636</v>
      </c>
      <c r="C305" t="s">
        <v>3</v>
      </c>
      <c r="D305" t="s">
        <v>53</v>
      </c>
      <c r="E305" t="s">
        <v>27</v>
      </c>
      <c r="F305" t="s">
        <v>22</v>
      </c>
      <c r="G305" t="s">
        <v>51</v>
      </c>
      <c r="H305">
        <v>5</v>
      </c>
      <c r="I305">
        <v>15620</v>
      </c>
      <c r="J305">
        <v>0.05</v>
      </c>
      <c r="K305">
        <v>6892</v>
      </c>
    </row>
    <row r="306" spans="1:11" x14ac:dyDescent="0.3">
      <c r="A306" t="s">
        <v>363</v>
      </c>
      <c r="B306" s="1">
        <v>45593</v>
      </c>
      <c r="C306" t="s">
        <v>4</v>
      </c>
      <c r="D306" t="s">
        <v>69</v>
      </c>
      <c r="E306" t="s">
        <v>26</v>
      </c>
      <c r="F306" t="s">
        <v>61</v>
      </c>
      <c r="G306" t="s">
        <v>54</v>
      </c>
      <c r="H306">
        <v>3</v>
      </c>
      <c r="I306">
        <v>14569</v>
      </c>
      <c r="J306">
        <v>0.1</v>
      </c>
      <c r="K306">
        <v>19206</v>
      </c>
    </row>
    <row r="307" spans="1:11" x14ac:dyDescent="0.3">
      <c r="A307" t="s">
        <v>364</v>
      </c>
      <c r="B307" s="1">
        <v>45568</v>
      </c>
      <c r="C307" t="s">
        <v>5</v>
      </c>
      <c r="D307" t="s">
        <v>64</v>
      </c>
      <c r="E307" t="s">
        <v>29</v>
      </c>
      <c r="F307" t="s">
        <v>61</v>
      </c>
      <c r="G307" t="s">
        <v>54</v>
      </c>
      <c r="H307">
        <v>7</v>
      </c>
      <c r="I307">
        <v>8675</v>
      </c>
      <c r="J307">
        <v>0</v>
      </c>
      <c r="K307">
        <v>12497</v>
      </c>
    </row>
    <row r="308" spans="1:11" x14ac:dyDescent="0.3">
      <c r="A308" t="s">
        <v>365</v>
      </c>
      <c r="B308" s="1">
        <v>45566</v>
      </c>
      <c r="C308" t="s">
        <v>6</v>
      </c>
      <c r="D308" t="s">
        <v>69</v>
      </c>
      <c r="E308" t="s">
        <v>25</v>
      </c>
      <c r="F308" t="s">
        <v>58</v>
      </c>
      <c r="G308" t="s">
        <v>54</v>
      </c>
      <c r="H308">
        <v>8</v>
      </c>
      <c r="I308">
        <v>34922</v>
      </c>
      <c r="J308">
        <v>0.05</v>
      </c>
    </row>
    <row r="309" spans="1:11" x14ac:dyDescent="0.3">
      <c r="A309" t="s">
        <v>366</v>
      </c>
      <c r="B309" s="1">
        <v>45463</v>
      </c>
      <c r="C309" t="s">
        <v>3</v>
      </c>
      <c r="D309" t="s">
        <v>49</v>
      </c>
      <c r="E309" t="s">
        <v>27</v>
      </c>
      <c r="F309" t="s">
        <v>22</v>
      </c>
      <c r="G309" t="s">
        <v>51</v>
      </c>
      <c r="H309">
        <v>9</v>
      </c>
      <c r="I309">
        <v>41185</v>
      </c>
      <c r="J309">
        <v>0.05</v>
      </c>
    </row>
    <row r="310" spans="1:11" x14ac:dyDescent="0.3">
      <c r="A310" t="s">
        <v>367</v>
      </c>
      <c r="B310" s="1">
        <v>45579</v>
      </c>
      <c r="C310" t="s">
        <v>4</v>
      </c>
      <c r="D310" t="s">
        <v>64</v>
      </c>
      <c r="E310" t="s">
        <v>28</v>
      </c>
      <c r="F310" t="s">
        <v>50</v>
      </c>
      <c r="G310" t="s">
        <v>51</v>
      </c>
      <c r="H310">
        <v>2</v>
      </c>
      <c r="I310">
        <v>13604</v>
      </c>
      <c r="J310">
        <v>0</v>
      </c>
      <c r="K310">
        <v>27676</v>
      </c>
    </row>
    <row r="311" spans="1:11" x14ac:dyDescent="0.3">
      <c r="A311" t="s">
        <v>368</v>
      </c>
      <c r="B311" s="1">
        <v>45461</v>
      </c>
      <c r="C311" t="s">
        <v>6</v>
      </c>
      <c r="D311" t="s">
        <v>76</v>
      </c>
      <c r="E311" t="s">
        <v>28</v>
      </c>
      <c r="F311" t="s">
        <v>61</v>
      </c>
      <c r="G311" t="s">
        <v>54</v>
      </c>
      <c r="H311">
        <v>3</v>
      </c>
      <c r="I311">
        <v>24085</v>
      </c>
    </row>
    <row r="312" spans="1:11" x14ac:dyDescent="0.3">
      <c r="A312" t="s">
        <v>369</v>
      </c>
      <c r="B312" s="1">
        <v>45387</v>
      </c>
      <c r="C312" t="s">
        <v>5</v>
      </c>
      <c r="D312" t="s">
        <v>56</v>
      </c>
      <c r="E312" t="s">
        <v>27</v>
      </c>
      <c r="F312" t="s">
        <v>50</v>
      </c>
      <c r="G312" t="s">
        <v>51</v>
      </c>
      <c r="H312">
        <v>9</v>
      </c>
      <c r="I312">
        <v>35983</v>
      </c>
      <c r="J312">
        <v>0.1</v>
      </c>
      <c r="K312">
        <v>25066</v>
      </c>
    </row>
    <row r="313" spans="1:11" x14ac:dyDescent="0.3">
      <c r="A313" t="s">
        <v>370</v>
      </c>
      <c r="B313" s="1">
        <v>45450</v>
      </c>
      <c r="C313" t="s">
        <v>6</v>
      </c>
      <c r="D313" t="s">
        <v>76</v>
      </c>
      <c r="E313" t="s">
        <v>25</v>
      </c>
      <c r="F313" t="s">
        <v>50</v>
      </c>
      <c r="G313" t="s">
        <v>51</v>
      </c>
      <c r="H313">
        <v>3</v>
      </c>
      <c r="I313">
        <v>22443</v>
      </c>
      <c r="J313">
        <v>0.1</v>
      </c>
    </row>
    <row r="314" spans="1:11" x14ac:dyDescent="0.3">
      <c r="A314" t="s">
        <v>371</v>
      </c>
      <c r="B314" s="1">
        <v>45375</v>
      </c>
      <c r="C314" t="s">
        <v>6</v>
      </c>
      <c r="D314" t="s">
        <v>56</v>
      </c>
      <c r="E314" t="s">
        <v>26</v>
      </c>
      <c r="F314" t="s">
        <v>24</v>
      </c>
      <c r="G314" t="s">
        <v>54</v>
      </c>
      <c r="H314">
        <v>3</v>
      </c>
      <c r="I314">
        <v>34124</v>
      </c>
      <c r="J314">
        <v>0</v>
      </c>
    </row>
    <row r="315" spans="1:11" x14ac:dyDescent="0.3">
      <c r="A315" t="s">
        <v>372</v>
      </c>
      <c r="B315" s="1">
        <v>45503</v>
      </c>
      <c r="C315" t="s">
        <v>3</v>
      </c>
      <c r="D315" t="s">
        <v>64</v>
      </c>
      <c r="E315" t="s">
        <v>27</v>
      </c>
      <c r="F315" t="s">
        <v>23</v>
      </c>
      <c r="G315" t="s">
        <v>54</v>
      </c>
      <c r="H315">
        <v>10</v>
      </c>
      <c r="I315">
        <v>45042</v>
      </c>
    </row>
    <row r="316" spans="1:11" x14ac:dyDescent="0.3">
      <c r="A316" t="s">
        <v>373</v>
      </c>
      <c r="B316" s="1">
        <v>45544</v>
      </c>
      <c r="C316" t="s">
        <v>5</v>
      </c>
      <c r="D316" t="s">
        <v>64</v>
      </c>
      <c r="E316" t="s">
        <v>29</v>
      </c>
      <c r="F316" t="s">
        <v>58</v>
      </c>
      <c r="G316" t="s">
        <v>54</v>
      </c>
      <c r="H316">
        <v>2</v>
      </c>
      <c r="I316">
        <v>43200</v>
      </c>
      <c r="K316">
        <v>9343</v>
      </c>
    </row>
    <row r="317" spans="1:11" x14ac:dyDescent="0.3">
      <c r="A317" t="s">
        <v>374</v>
      </c>
      <c r="B317" s="1">
        <v>45611</v>
      </c>
      <c r="C317" t="s">
        <v>4</v>
      </c>
      <c r="D317" t="s">
        <v>53</v>
      </c>
      <c r="E317" t="s">
        <v>27</v>
      </c>
      <c r="F317" t="s">
        <v>50</v>
      </c>
      <c r="G317" t="s">
        <v>51</v>
      </c>
      <c r="H317">
        <v>8</v>
      </c>
      <c r="I317">
        <v>5092</v>
      </c>
    </row>
    <row r="318" spans="1:11" x14ac:dyDescent="0.3">
      <c r="A318" t="s">
        <v>375</v>
      </c>
      <c r="B318" s="1">
        <v>45538</v>
      </c>
      <c r="C318" t="s">
        <v>3</v>
      </c>
      <c r="D318" t="s">
        <v>76</v>
      </c>
      <c r="E318" t="s">
        <v>27</v>
      </c>
      <c r="F318" t="s">
        <v>24</v>
      </c>
      <c r="G318" t="s">
        <v>54</v>
      </c>
      <c r="H318">
        <v>2</v>
      </c>
      <c r="I318">
        <v>21795</v>
      </c>
      <c r="J318">
        <v>0.05</v>
      </c>
      <c r="K318">
        <v>3074</v>
      </c>
    </row>
    <row r="319" spans="1:11" x14ac:dyDescent="0.3">
      <c r="A319" t="s">
        <v>376</v>
      </c>
      <c r="B319" s="1">
        <v>45576</v>
      </c>
      <c r="C319" t="s">
        <v>5</v>
      </c>
      <c r="D319" t="s">
        <v>64</v>
      </c>
      <c r="E319" t="s">
        <v>26</v>
      </c>
      <c r="F319" t="s">
        <v>24</v>
      </c>
      <c r="G319" t="s">
        <v>54</v>
      </c>
      <c r="H319">
        <v>5</v>
      </c>
      <c r="I319">
        <v>33835</v>
      </c>
      <c r="J319">
        <v>0</v>
      </c>
      <c r="K319">
        <v>25389</v>
      </c>
    </row>
    <row r="320" spans="1:11" x14ac:dyDescent="0.3">
      <c r="A320" t="s">
        <v>377</v>
      </c>
      <c r="B320" s="1">
        <v>45456</v>
      </c>
      <c r="C320" t="s">
        <v>3</v>
      </c>
      <c r="D320" t="s">
        <v>69</v>
      </c>
      <c r="E320" t="s">
        <v>29</v>
      </c>
      <c r="F320" t="s">
        <v>50</v>
      </c>
      <c r="G320" t="s">
        <v>51</v>
      </c>
      <c r="H320">
        <v>8</v>
      </c>
      <c r="I320">
        <v>21564</v>
      </c>
      <c r="K320">
        <v>23405</v>
      </c>
    </row>
    <row r="321" spans="1:11" x14ac:dyDescent="0.3">
      <c r="A321" t="s">
        <v>378</v>
      </c>
      <c r="B321" s="1">
        <v>45621</v>
      </c>
      <c r="C321" t="s">
        <v>6</v>
      </c>
      <c r="D321" t="s">
        <v>56</v>
      </c>
      <c r="E321" t="s">
        <v>27</v>
      </c>
      <c r="F321" t="s">
        <v>61</v>
      </c>
      <c r="G321" t="s">
        <v>54</v>
      </c>
      <c r="H321">
        <v>3</v>
      </c>
      <c r="I321">
        <v>33217</v>
      </c>
      <c r="J321">
        <v>0.05</v>
      </c>
      <c r="K321">
        <v>619</v>
      </c>
    </row>
    <row r="322" spans="1:11" x14ac:dyDescent="0.3">
      <c r="A322" t="s">
        <v>379</v>
      </c>
      <c r="B322" s="1">
        <v>45522</v>
      </c>
      <c r="C322" t="s">
        <v>4</v>
      </c>
      <c r="D322" t="s">
        <v>49</v>
      </c>
      <c r="E322" t="s">
        <v>25</v>
      </c>
      <c r="F322" t="s">
        <v>58</v>
      </c>
      <c r="G322" t="s">
        <v>54</v>
      </c>
      <c r="H322">
        <v>1</v>
      </c>
      <c r="I322">
        <v>32621</v>
      </c>
    </row>
    <row r="323" spans="1:11" x14ac:dyDescent="0.3">
      <c r="A323" t="s">
        <v>380</v>
      </c>
      <c r="B323" s="1">
        <v>45304</v>
      </c>
      <c r="C323" t="s">
        <v>6</v>
      </c>
      <c r="D323" t="s">
        <v>56</v>
      </c>
      <c r="E323" t="s">
        <v>28</v>
      </c>
      <c r="F323" t="s">
        <v>61</v>
      </c>
      <c r="G323" t="s">
        <v>54</v>
      </c>
      <c r="H323">
        <v>2</v>
      </c>
      <c r="I323">
        <v>48032</v>
      </c>
      <c r="J323">
        <v>0.1</v>
      </c>
      <c r="K323">
        <v>11968</v>
      </c>
    </row>
    <row r="324" spans="1:11" x14ac:dyDescent="0.3">
      <c r="A324" t="s">
        <v>381</v>
      </c>
      <c r="B324" s="1">
        <v>45628</v>
      </c>
      <c r="C324" t="s">
        <v>5</v>
      </c>
      <c r="D324" t="s">
        <v>69</v>
      </c>
      <c r="E324" t="s">
        <v>28</v>
      </c>
      <c r="F324" t="s">
        <v>24</v>
      </c>
      <c r="G324" t="s">
        <v>54</v>
      </c>
      <c r="H324">
        <v>5</v>
      </c>
      <c r="I324">
        <v>38706</v>
      </c>
      <c r="K324">
        <v>18743</v>
      </c>
    </row>
    <row r="325" spans="1:11" x14ac:dyDescent="0.3">
      <c r="A325" t="s">
        <v>382</v>
      </c>
      <c r="B325" s="1">
        <v>45553</v>
      </c>
      <c r="C325" t="s">
        <v>5</v>
      </c>
      <c r="D325" t="s">
        <v>53</v>
      </c>
      <c r="E325" t="s">
        <v>29</v>
      </c>
      <c r="F325" t="s">
        <v>50</v>
      </c>
      <c r="G325" t="s">
        <v>51</v>
      </c>
      <c r="H325">
        <v>7</v>
      </c>
      <c r="I325">
        <v>40336</v>
      </c>
      <c r="J325">
        <v>0.05</v>
      </c>
    </row>
    <row r="326" spans="1:11" x14ac:dyDescent="0.3">
      <c r="A326" t="s">
        <v>383</v>
      </c>
      <c r="B326" s="1">
        <v>45497</v>
      </c>
      <c r="C326" t="s">
        <v>6</v>
      </c>
      <c r="D326" t="s">
        <v>76</v>
      </c>
      <c r="E326" t="s">
        <v>27</v>
      </c>
      <c r="F326" t="s">
        <v>23</v>
      </c>
      <c r="G326" t="s">
        <v>54</v>
      </c>
      <c r="H326">
        <v>2</v>
      </c>
      <c r="I326">
        <v>49535</v>
      </c>
      <c r="J326">
        <v>0</v>
      </c>
    </row>
    <row r="327" spans="1:11" x14ac:dyDescent="0.3">
      <c r="A327" t="s">
        <v>384</v>
      </c>
      <c r="B327" s="1">
        <v>45403</v>
      </c>
      <c r="C327" t="s">
        <v>6</v>
      </c>
      <c r="D327" t="s">
        <v>76</v>
      </c>
      <c r="E327" t="s">
        <v>25</v>
      </c>
      <c r="F327" t="s">
        <v>23</v>
      </c>
      <c r="G327" t="s">
        <v>54</v>
      </c>
      <c r="H327">
        <v>3</v>
      </c>
      <c r="I327">
        <v>33565</v>
      </c>
      <c r="J327">
        <v>0.1</v>
      </c>
    </row>
    <row r="328" spans="1:11" x14ac:dyDescent="0.3">
      <c r="A328" t="s">
        <v>385</v>
      </c>
      <c r="B328" s="1">
        <v>45589</v>
      </c>
      <c r="C328" t="s">
        <v>5</v>
      </c>
      <c r="D328" t="s">
        <v>64</v>
      </c>
      <c r="E328" t="s">
        <v>29</v>
      </c>
      <c r="F328" t="s">
        <v>58</v>
      </c>
      <c r="G328" t="s">
        <v>54</v>
      </c>
      <c r="H328">
        <v>2</v>
      </c>
      <c r="I328">
        <v>4493</v>
      </c>
      <c r="J328">
        <v>0.1</v>
      </c>
    </row>
    <row r="329" spans="1:11" x14ac:dyDescent="0.3">
      <c r="A329" t="s">
        <v>386</v>
      </c>
      <c r="B329" s="1">
        <v>45511</v>
      </c>
      <c r="C329" t="s">
        <v>5</v>
      </c>
      <c r="D329" t="s">
        <v>56</v>
      </c>
      <c r="E329" t="s">
        <v>27</v>
      </c>
      <c r="F329" t="s">
        <v>24</v>
      </c>
      <c r="G329" t="s">
        <v>54</v>
      </c>
      <c r="H329">
        <v>9</v>
      </c>
      <c r="I329">
        <v>47668</v>
      </c>
      <c r="J329">
        <v>0.05</v>
      </c>
    </row>
    <row r="330" spans="1:11" x14ac:dyDescent="0.3">
      <c r="A330" t="s">
        <v>387</v>
      </c>
      <c r="B330" s="1">
        <v>45657</v>
      </c>
      <c r="C330" t="s">
        <v>5</v>
      </c>
      <c r="D330" t="s">
        <v>76</v>
      </c>
      <c r="E330" t="s">
        <v>26</v>
      </c>
      <c r="F330" t="s">
        <v>50</v>
      </c>
      <c r="G330" t="s">
        <v>51</v>
      </c>
      <c r="H330">
        <v>4</v>
      </c>
      <c r="I330">
        <v>45626</v>
      </c>
      <c r="J330">
        <v>0</v>
      </c>
    </row>
    <row r="331" spans="1:11" x14ac:dyDescent="0.3">
      <c r="A331" t="s">
        <v>388</v>
      </c>
      <c r="B331" s="1">
        <v>45349</v>
      </c>
      <c r="C331" t="s">
        <v>3</v>
      </c>
      <c r="D331" t="s">
        <v>69</v>
      </c>
      <c r="E331" t="s">
        <v>28</v>
      </c>
      <c r="F331" t="s">
        <v>23</v>
      </c>
      <c r="G331" t="s">
        <v>54</v>
      </c>
      <c r="H331">
        <v>4</v>
      </c>
      <c r="I331">
        <v>46766</v>
      </c>
    </row>
    <row r="332" spans="1:11" x14ac:dyDescent="0.3">
      <c r="A332" t="s">
        <v>389</v>
      </c>
      <c r="B332" s="1">
        <v>45590</v>
      </c>
      <c r="C332" t="s">
        <v>6</v>
      </c>
      <c r="D332" t="s">
        <v>76</v>
      </c>
      <c r="E332" t="s">
        <v>27</v>
      </c>
      <c r="F332" t="s">
        <v>22</v>
      </c>
      <c r="G332" t="s">
        <v>51</v>
      </c>
      <c r="H332">
        <v>5</v>
      </c>
      <c r="I332">
        <v>11548</v>
      </c>
      <c r="J332">
        <v>0.1</v>
      </c>
      <c r="K332">
        <v>2015</v>
      </c>
    </row>
    <row r="333" spans="1:11" x14ac:dyDescent="0.3">
      <c r="A333" t="s">
        <v>390</v>
      </c>
      <c r="B333" s="1">
        <v>45591</v>
      </c>
      <c r="C333" t="s">
        <v>6</v>
      </c>
      <c r="D333" t="s">
        <v>64</v>
      </c>
      <c r="E333" t="s">
        <v>26</v>
      </c>
      <c r="F333" t="s">
        <v>22</v>
      </c>
      <c r="G333" t="s">
        <v>51</v>
      </c>
      <c r="H333">
        <v>10</v>
      </c>
      <c r="I333">
        <v>30921</v>
      </c>
      <c r="J333">
        <v>0.05</v>
      </c>
      <c r="K333">
        <v>17631</v>
      </c>
    </row>
    <row r="334" spans="1:11" x14ac:dyDescent="0.3">
      <c r="A334" t="s">
        <v>391</v>
      </c>
      <c r="B334" s="1">
        <v>45484</v>
      </c>
      <c r="C334" t="s">
        <v>3</v>
      </c>
      <c r="D334" t="s">
        <v>76</v>
      </c>
      <c r="E334" t="s">
        <v>27</v>
      </c>
      <c r="F334" t="s">
        <v>50</v>
      </c>
      <c r="G334" t="s">
        <v>51</v>
      </c>
      <c r="H334">
        <v>4</v>
      </c>
      <c r="I334">
        <v>43407</v>
      </c>
      <c r="J334">
        <v>0.05</v>
      </c>
      <c r="K334">
        <v>3374</v>
      </c>
    </row>
    <row r="335" spans="1:11" x14ac:dyDescent="0.3">
      <c r="A335" t="s">
        <v>392</v>
      </c>
      <c r="B335" s="1">
        <v>45586</v>
      </c>
      <c r="C335" t="s">
        <v>4</v>
      </c>
      <c r="D335" t="s">
        <v>64</v>
      </c>
      <c r="E335" t="s">
        <v>28</v>
      </c>
      <c r="F335" t="s">
        <v>23</v>
      </c>
      <c r="G335" t="s">
        <v>54</v>
      </c>
      <c r="H335">
        <v>6</v>
      </c>
      <c r="I335">
        <v>35177</v>
      </c>
      <c r="J335">
        <v>0.1</v>
      </c>
      <c r="K335">
        <v>15806</v>
      </c>
    </row>
    <row r="336" spans="1:11" x14ac:dyDescent="0.3">
      <c r="A336" t="s">
        <v>393</v>
      </c>
      <c r="B336" s="1">
        <v>45409</v>
      </c>
      <c r="C336" t="s">
        <v>4</v>
      </c>
      <c r="D336" t="s">
        <v>49</v>
      </c>
      <c r="E336" t="s">
        <v>29</v>
      </c>
      <c r="F336" t="s">
        <v>58</v>
      </c>
      <c r="G336" t="s">
        <v>54</v>
      </c>
      <c r="H336">
        <v>4</v>
      </c>
      <c r="I336">
        <v>30302</v>
      </c>
      <c r="J336">
        <v>0.1</v>
      </c>
      <c r="K336">
        <v>12769</v>
      </c>
    </row>
    <row r="337" spans="1:11" x14ac:dyDescent="0.3">
      <c r="A337" t="s">
        <v>394</v>
      </c>
      <c r="B337" s="1">
        <v>45386</v>
      </c>
      <c r="C337" t="s">
        <v>5</v>
      </c>
      <c r="D337" t="s">
        <v>64</v>
      </c>
      <c r="E337" t="s">
        <v>25</v>
      </c>
      <c r="F337" t="s">
        <v>22</v>
      </c>
      <c r="G337" t="s">
        <v>51</v>
      </c>
      <c r="H337">
        <v>8</v>
      </c>
      <c r="I337">
        <v>41232</v>
      </c>
      <c r="J337">
        <v>0</v>
      </c>
    </row>
    <row r="338" spans="1:11" x14ac:dyDescent="0.3">
      <c r="A338" t="s">
        <v>395</v>
      </c>
      <c r="B338" s="1">
        <v>45329</v>
      </c>
      <c r="C338" t="s">
        <v>3</v>
      </c>
      <c r="D338" t="s">
        <v>76</v>
      </c>
      <c r="E338" t="s">
        <v>27</v>
      </c>
      <c r="F338" t="s">
        <v>58</v>
      </c>
      <c r="G338" t="s">
        <v>54</v>
      </c>
      <c r="H338">
        <v>5</v>
      </c>
      <c r="I338">
        <v>27244</v>
      </c>
      <c r="J338">
        <v>0</v>
      </c>
      <c r="K338">
        <v>13217</v>
      </c>
    </row>
    <row r="339" spans="1:11" x14ac:dyDescent="0.3">
      <c r="A339" t="s">
        <v>396</v>
      </c>
      <c r="B339" s="1">
        <v>45410</v>
      </c>
      <c r="C339" t="s">
        <v>3</v>
      </c>
      <c r="D339" t="s">
        <v>56</v>
      </c>
      <c r="E339" t="s">
        <v>27</v>
      </c>
      <c r="F339" t="s">
        <v>22</v>
      </c>
      <c r="G339" t="s">
        <v>51</v>
      </c>
      <c r="H339">
        <v>7</v>
      </c>
      <c r="I339">
        <v>34929</v>
      </c>
      <c r="K339">
        <v>5291</v>
      </c>
    </row>
    <row r="340" spans="1:11" x14ac:dyDescent="0.3">
      <c r="A340" t="s">
        <v>397</v>
      </c>
      <c r="B340" s="1">
        <v>45565</v>
      </c>
      <c r="C340" t="s">
        <v>3</v>
      </c>
      <c r="D340" t="s">
        <v>69</v>
      </c>
      <c r="E340" t="s">
        <v>29</v>
      </c>
      <c r="F340" t="s">
        <v>50</v>
      </c>
      <c r="G340" t="s">
        <v>51</v>
      </c>
      <c r="H340">
        <v>4</v>
      </c>
      <c r="I340">
        <v>14387</v>
      </c>
      <c r="J340">
        <v>0</v>
      </c>
    </row>
    <row r="341" spans="1:11" x14ac:dyDescent="0.3">
      <c r="A341" t="s">
        <v>398</v>
      </c>
      <c r="B341" s="1">
        <v>45319</v>
      </c>
      <c r="C341" t="s">
        <v>5</v>
      </c>
      <c r="D341" t="s">
        <v>64</v>
      </c>
      <c r="E341" t="s">
        <v>29</v>
      </c>
      <c r="F341" t="s">
        <v>58</v>
      </c>
      <c r="G341" t="s">
        <v>54</v>
      </c>
      <c r="H341">
        <v>6</v>
      </c>
      <c r="I341">
        <v>47869</v>
      </c>
      <c r="J341">
        <v>0.1</v>
      </c>
    </row>
    <row r="342" spans="1:11" x14ac:dyDescent="0.3">
      <c r="A342" t="s">
        <v>399</v>
      </c>
      <c r="B342" s="1">
        <v>45508</v>
      </c>
      <c r="C342" t="s">
        <v>4</v>
      </c>
      <c r="D342" t="s">
        <v>64</v>
      </c>
      <c r="E342" t="s">
        <v>28</v>
      </c>
      <c r="F342" t="s">
        <v>24</v>
      </c>
      <c r="G342" t="s">
        <v>54</v>
      </c>
      <c r="H342">
        <v>5</v>
      </c>
      <c r="I342">
        <v>46984</v>
      </c>
      <c r="J342">
        <v>0</v>
      </c>
      <c r="K342">
        <v>11921</v>
      </c>
    </row>
    <row r="343" spans="1:11" x14ac:dyDescent="0.3">
      <c r="A343" t="s">
        <v>400</v>
      </c>
      <c r="B343" s="1">
        <v>45591</v>
      </c>
      <c r="C343" t="s">
        <v>4</v>
      </c>
      <c r="D343" t="s">
        <v>69</v>
      </c>
      <c r="E343" t="s">
        <v>26</v>
      </c>
      <c r="F343" t="s">
        <v>61</v>
      </c>
      <c r="G343" t="s">
        <v>54</v>
      </c>
      <c r="H343">
        <v>8</v>
      </c>
      <c r="I343">
        <v>16869</v>
      </c>
      <c r="J343">
        <v>0</v>
      </c>
    </row>
    <row r="344" spans="1:11" x14ac:dyDescent="0.3">
      <c r="A344" t="s">
        <v>401</v>
      </c>
      <c r="B344" s="1">
        <v>45538</v>
      </c>
      <c r="C344" t="s">
        <v>5</v>
      </c>
      <c r="D344" t="s">
        <v>56</v>
      </c>
      <c r="E344" t="s">
        <v>27</v>
      </c>
      <c r="F344" t="s">
        <v>58</v>
      </c>
      <c r="G344" t="s">
        <v>54</v>
      </c>
      <c r="H344">
        <v>9</v>
      </c>
      <c r="I344">
        <v>24778</v>
      </c>
      <c r="J344">
        <v>0.1</v>
      </c>
    </row>
    <row r="345" spans="1:11" x14ac:dyDescent="0.3">
      <c r="A345" t="s">
        <v>402</v>
      </c>
      <c r="B345" s="1">
        <v>45325</v>
      </c>
      <c r="C345" t="s">
        <v>5</v>
      </c>
      <c r="D345" t="s">
        <v>64</v>
      </c>
      <c r="E345" t="s">
        <v>26</v>
      </c>
      <c r="F345" t="s">
        <v>58</v>
      </c>
      <c r="G345" t="s">
        <v>54</v>
      </c>
      <c r="H345">
        <v>6</v>
      </c>
      <c r="I345">
        <v>36389</v>
      </c>
      <c r="J345">
        <v>0</v>
      </c>
    </row>
    <row r="346" spans="1:11" x14ac:dyDescent="0.3">
      <c r="A346" t="s">
        <v>403</v>
      </c>
      <c r="B346" s="1">
        <v>45492</v>
      </c>
      <c r="C346" t="s">
        <v>4</v>
      </c>
      <c r="D346" t="s">
        <v>56</v>
      </c>
      <c r="E346" t="s">
        <v>27</v>
      </c>
      <c r="F346" t="s">
        <v>61</v>
      </c>
      <c r="G346" t="s">
        <v>54</v>
      </c>
      <c r="H346">
        <v>8</v>
      </c>
      <c r="I346">
        <v>9311</v>
      </c>
    </row>
    <row r="347" spans="1:11" x14ac:dyDescent="0.3">
      <c r="A347" t="s">
        <v>404</v>
      </c>
      <c r="B347" s="1">
        <v>45327</v>
      </c>
      <c r="C347" t="s">
        <v>6</v>
      </c>
      <c r="D347" t="s">
        <v>49</v>
      </c>
      <c r="E347" t="s">
        <v>27</v>
      </c>
      <c r="F347" t="s">
        <v>23</v>
      </c>
      <c r="G347" t="s">
        <v>54</v>
      </c>
      <c r="H347">
        <v>8</v>
      </c>
      <c r="I347">
        <v>23641</v>
      </c>
    </row>
    <row r="348" spans="1:11" x14ac:dyDescent="0.3">
      <c r="A348" t="s">
        <v>405</v>
      </c>
      <c r="B348" s="1">
        <v>45527</v>
      </c>
      <c r="C348" t="s">
        <v>6</v>
      </c>
      <c r="D348" t="s">
        <v>76</v>
      </c>
      <c r="E348" t="s">
        <v>29</v>
      </c>
      <c r="F348" t="s">
        <v>58</v>
      </c>
      <c r="G348" t="s">
        <v>54</v>
      </c>
      <c r="H348">
        <v>10</v>
      </c>
      <c r="I348">
        <v>22061</v>
      </c>
      <c r="J348">
        <v>0.05</v>
      </c>
      <c r="K348">
        <v>20497</v>
      </c>
    </row>
    <row r="349" spans="1:11" x14ac:dyDescent="0.3">
      <c r="A349" t="s">
        <v>406</v>
      </c>
      <c r="B349" s="1">
        <v>45367</v>
      </c>
      <c r="C349" t="s">
        <v>6</v>
      </c>
      <c r="D349" t="s">
        <v>56</v>
      </c>
      <c r="E349" t="s">
        <v>26</v>
      </c>
      <c r="F349" t="s">
        <v>22</v>
      </c>
      <c r="G349" t="s">
        <v>51</v>
      </c>
      <c r="H349">
        <v>3</v>
      </c>
      <c r="I349">
        <v>42630</v>
      </c>
      <c r="J349">
        <v>0.05</v>
      </c>
      <c r="K349">
        <v>25287</v>
      </c>
    </row>
    <row r="350" spans="1:11" x14ac:dyDescent="0.3">
      <c r="A350" t="s">
        <v>407</v>
      </c>
      <c r="B350" s="1">
        <v>45503</v>
      </c>
      <c r="C350" t="s">
        <v>5</v>
      </c>
      <c r="D350" t="s">
        <v>53</v>
      </c>
      <c r="E350" t="s">
        <v>27</v>
      </c>
      <c r="F350" t="s">
        <v>61</v>
      </c>
      <c r="G350" t="s">
        <v>54</v>
      </c>
      <c r="H350">
        <v>8</v>
      </c>
      <c r="I350">
        <v>47194</v>
      </c>
      <c r="J350">
        <v>0</v>
      </c>
    </row>
    <row r="351" spans="1:11" x14ac:dyDescent="0.3">
      <c r="A351" t="s">
        <v>408</v>
      </c>
      <c r="B351" s="1">
        <v>45344</v>
      </c>
      <c r="C351" t="s">
        <v>6</v>
      </c>
      <c r="D351" t="s">
        <v>69</v>
      </c>
      <c r="E351" t="s">
        <v>25</v>
      </c>
      <c r="F351" t="s">
        <v>23</v>
      </c>
      <c r="G351" t="s">
        <v>54</v>
      </c>
      <c r="H351">
        <v>6</v>
      </c>
      <c r="I351">
        <v>32421</v>
      </c>
      <c r="J351">
        <v>0.1</v>
      </c>
      <c r="K351">
        <v>6790</v>
      </c>
    </row>
    <row r="352" spans="1:11" x14ac:dyDescent="0.3">
      <c r="A352" t="s">
        <v>409</v>
      </c>
      <c r="B352" s="1">
        <v>45654</v>
      </c>
      <c r="C352" t="s">
        <v>6</v>
      </c>
      <c r="D352" t="s">
        <v>64</v>
      </c>
      <c r="E352" t="s">
        <v>29</v>
      </c>
      <c r="F352" t="s">
        <v>24</v>
      </c>
      <c r="G352" t="s">
        <v>54</v>
      </c>
      <c r="H352">
        <v>4</v>
      </c>
      <c r="I352">
        <v>30071</v>
      </c>
      <c r="J352">
        <v>0</v>
      </c>
    </row>
    <row r="353" spans="1:11" x14ac:dyDescent="0.3">
      <c r="A353" t="s">
        <v>410</v>
      </c>
      <c r="B353" s="1">
        <v>45647</v>
      </c>
      <c r="C353" t="s">
        <v>6</v>
      </c>
      <c r="D353" t="s">
        <v>49</v>
      </c>
      <c r="E353" t="s">
        <v>27</v>
      </c>
      <c r="F353" t="s">
        <v>61</v>
      </c>
      <c r="G353" t="s">
        <v>54</v>
      </c>
      <c r="H353">
        <v>2</v>
      </c>
      <c r="I353">
        <v>12186</v>
      </c>
      <c r="J353">
        <v>0</v>
      </c>
      <c r="K353">
        <v>2071</v>
      </c>
    </row>
    <row r="354" spans="1:11" x14ac:dyDescent="0.3">
      <c r="A354" t="s">
        <v>411</v>
      </c>
      <c r="B354" s="1">
        <v>45300</v>
      </c>
      <c r="C354" t="s">
        <v>4</v>
      </c>
      <c r="D354" t="s">
        <v>76</v>
      </c>
      <c r="E354" t="s">
        <v>26</v>
      </c>
      <c r="F354" t="s">
        <v>61</v>
      </c>
      <c r="G354" t="s">
        <v>54</v>
      </c>
      <c r="H354">
        <v>5</v>
      </c>
      <c r="I354">
        <v>24081</v>
      </c>
      <c r="K354">
        <v>19227</v>
      </c>
    </row>
    <row r="355" spans="1:11" x14ac:dyDescent="0.3">
      <c r="A355" t="s">
        <v>412</v>
      </c>
      <c r="B355" s="1">
        <v>45581</v>
      </c>
      <c r="C355" t="s">
        <v>4</v>
      </c>
      <c r="D355" t="s">
        <v>49</v>
      </c>
      <c r="E355" t="s">
        <v>25</v>
      </c>
      <c r="F355" t="s">
        <v>24</v>
      </c>
      <c r="G355" t="s">
        <v>54</v>
      </c>
      <c r="H355">
        <v>8</v>
      </c>
      <c r="I355">
        <v>11781</v>
      </c>
      <c r="J355">
        <v>0</v>
      </c>
    </row>
    <row r="356" spans="1:11" x14ac:dyDescent="0.3">
      <c r="A356" t="s">
        <v>413</v>
      </c>
      <c r="B356" s="1">
        <v>45432</v>
      </c>
      <c r="C356" t="s">
        <v>5</v>
      </c>
      <c r="D356" t="s">
        <v>69</v>
      </c>
      <c r="E356" t="s">
        <v>29</v>
      </c>
      <c r="F356" t="s">
        <v>24</v>
      </c>
      <c r="G356" t="s">
        <v>54</v>
      </c>
      <c r="H356">
        <v>3</v>
      </c>
      <c r="I356">
        <v>44474</v>
      </c>
      <c r="J356">
        <v>0.05</v>
      </c>
    </row>
    <row r="357" spans="1:11" x14ac:dyDescent="0.3">
      <c r="A357" t="s">
        <v>414</v>
      </c>
      <c r="B357" s="1">
        <v>45593</v>
      </c>
      <c r="C357" t="s">
        <v>5</v>
      </c>
      <c r="D357" t="s">
        <v>56</v>
      </c>
      <c r="E357" t="s">
        <v>27</v>
      </c>
      <c r="F357" t="s">
        <v>24</v>
      </c>
      <c r="G357" t="s">
        <v>54</v>
      </c>
      <c r="H357">
        <v>8</v>
      </c>
      <c r="I357">
        <v>20712</v>
      </c>
      <c r="J357">
        <v>0.05</v>
      </c>
    </row>
    <row r="358" spans="1:11" x14ac:dyDescent="0.3">
      <c r="A358" t="s">
        <v>415</v>
      </c>
      <c r="B358" s="1">
        <v>45425</v>
      </c>
      <c r="C358" t="s">
        <v>6</v>
      </c>
      <c r="D358" t="s">
        <v>64</v>
      </c>
      <c r="E358" t="s">
        <v>29</v>
      </c>
      <c r="F358" t="s">
        <v>22</v>
      </c>
      <c r="G358" t="s">
        <v>51</v>
      </c>
      <c r="H358">
        <v>10</v>
      </c>
      <c r="I358">
        <v>5026</v>
      </c>
    </row>
    <row r="359" spans="1:11" x14ac:dyDescent="0.3">
      <c r="A359" t="s">
        <v>416</v>
      </c>
      <c r="B359" s="1">
        <v>45371</v>
      </c>
      <c r="C359" t="s">
        <v>4</v>
      </c>
      <c r="D359" t="s">
        <v>64</v>
      </c>
      <c r="E359" t="s">
        <v>28</v>
      </c>
      <c r="F359" t="s">
        <v>22</v>
      </c>
      <c r="G359" t="s">
        <v>51</v>
      </c>
      <c r="H359">
        <v>4</v>
      </c>
      <c r="I359">
        <v>30888</v>
      </c>
      <c r="J359">
        <v>0</v>
      </c>
      <c r="K359">
        <v>28987</v>
      </c>
    </row>
    <row r="360" spans="1:11" x14ac:dyDescent="0.3">
      <c r="A360" t="s">
        <v>417</v>
      </c>
      <c r="B360" s="1">
        <v>45588</v>
      </c>
      <c r="C360" t="s">
        <v>3</v>
      </c>
      <c r="D360" t="s">
        <v>69</v>
      </c>
      <c r="E360" t="s">
        <v>28</v>
      </c>
      <c r="F360" t="s">
        <v>50</v>
      </c>
      <c r="G360" t="s">
        <v>51</v>
      </c>
      <c r="H360">
        <v>4</v>
      </c>
      <c r="I360">
        <v>1631</v>
      </c>
      <c r="J360">
        <v>0.05</v>
      </c>
      <c r="K360">
        <v>13429</v>
      </c>
    </row>
    <row r="361" spans="1:11" x14ac:dyDescent="0.3">
      <c r="A361" t="s">
        <v>418</v>
      </c>
      <c r="B361" s="1">
        <v>45471</v>
      </c>
      <c r="C361" t="s">
        <v>6</v>
      </c>
      <c r="D361" t="s">
        <v>49</v>
      </c>
      <c r="E361" t="s">
        <v>28</v>
      </c>
      <c r="F361" t="s">
        <v>61</v>
      </c>
      <c r="G361" t="s">
        <v>54</v>
      </c>
      <c r="H361">
        <v>2</v>
      </c>
      <c r="I361">
        <v>1931</v>
      </c>
      <c r="J361">
        <v>0.05</v>
      </c>
      <c r="K361">
        <v>12824</v>
      </c>
    </row>
    <row r="362" spans="1:11" x14ac:dyDescent="0.3">
      <c r="A362" t="s">
        <v>419</v>
      </c>
      <c r="B362" s="1">
        <v>45404</v>
      </c>
      <c r="C362" t="s">
        <v>4</v>
      </c>
      <c r="D362" t="s">
        <v>56</v>
      </c>
      <c r="E362" t="s">
        <v>28</v>
      </c>
      <c r="F362" t="s">
        <v>24</v>
      </c>
      <c r="G362" t="s">
        <v>54</v>
      </c>
      <c r="H362">
        <v>10</v>
      </c>
      <c r="I362">
        <v>23499</v>
      </c>
    </row>
    <row r="363" spans="1:11" x14ac:dyDescent="0.3">
      <c r="A363" t="s">
        <v>420</v>
      </c>
      <c r="B363" s="1">
        <v>45566</v>
      </c>
      <c r="C363" t="s">
        <v>4</v>
      </c>
      <c r="D363" t="s">
        <v>49</v>
      </c>
      <c r="E363" t="s">
        <v>25</v>
      </c>
      <c r="F363" t="s">
        <v>58</v>
      </c>
      <c r="G363" t="s">
        <v>54</v>
      </c>
      <c r="H363">
        <v>4</v>
      </c>
      <c r="I363">
        <v>9153</v>
      </c>
    </row>
    <row r="364" spans="1:11" x14ac:dyDescent="0.3">
      <c r="A364" t="s">
        <v>421</v>
      </c>
      <c r="B364" s="1">
        <v>45413</v>
      </c>
      <c r="C364" t="s">
        <v>6</v>
      </c>
      <c r="D364" t="s">
        <v>56</v>
      </c>
      <c r="E364" t="s">
        <v>26</v>
      </c>
      <c r="F364" t="s">
        <v>58</v>
      </c>
      <c r="G364" t="s">
        <v>54</v>
      </c>
      <c r="H364">
        <v>4</v>
      </c>
      <c r="I364">
        <v>25770</v>
      </c>
      <c r="J364">
        <v>0</v>
      </c>
      <c r="K364">
        <v>16277</v>
      </c>
    </row>
    <row r="365" spans="1:11" x14ac:dyDescent="0.3">
      <c r="A365" t="s">
        <v>422</v>
      </c>
      <c r="B365" s="1">
        <v>45413</v>
      </c>
      <c r="C365" t="s">
        <v>6</v>
      </c>
      <c r="D365" t="s">
        <v>76</v>
      </c>
      <c r="E365" t="s">
        <v>29</v>
      </c>
      <c r="F365" t="s">
        <v>24</v>
      </c>
      <c r="G365" t="s">
        <v>54</v>
      </c>
      <c r="H365">
        <v>4</v>
      </c>
      <c r="I365">
        <v>37748</v>
      </c>
      <c r="J365">
        <v>0.1</v>
      </c>
      <c r="K365">
        <v>26061</v>
      </c>
    </row>
    <row r="366" spans="1:11" x14ac:dyDescent="0.3">
      <c r="A366" t="s">
        <v>423</v>
      </c>
      <c r="B366" s="1">
        <v>45399</v>
      </c>
      <c r="C366" t="s">
        <v>6</v>
      </c>
      <c r="D366" t="s">
        <v>64</v>
      </c>
      <c r="E366" t="s">
        <v>29</v>
      </c>
      <c r="F366" t="s">
        <v>61</v>
      </c>
      <c r="G366" t="s">
        <v>54</v>
      </c>
      <c r="H366">
        <v>1</v>
      </c>
      <c r="I366">
        <v>7157</v>
      </c>
    </row>
    <row r="367" spans="1:11" x14ac:dyDescent="0.3">
      <c r="A367" t="s">
        <v>424</v>
      </c>
      <c r="B367" s="1">
        <v>45635</v>
      </c>
      <c r="C367" t="s">
        <v>5</v>
      </c>
      <c r="D367" t="s">
        <v>69</v>
      </c>
      <c r="E367" t="s">
        <v>26</v>
      </c>
      <c r="F367" t="s">
        <v>22</v>
      </c>
      <c r="G367" t="s">
        <v>51</v>
      </c>
      <c r="H367">
        <v>3</v>
      </c>
      <c r="I367">
        <v>10861</v>
      </c>
      <c r="K367">
        <v>4730</v>
      </c>
    </row>
    <row r="368" spans="1:11" x14ac:dyDescent="0.3">
      <c r="A368" t="s">
        <v>425</v>
      </c>
      <c r="B368" s="1">
        <v>45489</v>
      </c>
      <c r="C368" t="s">
        <v>3</v>
      </c>
      <c r="D368" t="s">
        <v>69</v>
      </c>
      <c r="E368" t="s">
        <v>29</v>
      </c>
      <c r="F368" t="s">
        <v>61</v>
      </c>
      <c r="G368" t="s">
        <v>54</v>
      </c>
      <c r="H368">
        <v>1</v>
      </c>
      <c r="I368">
        <v>23523</v>
      </c>
      <c r="J368">
        <v>0</v>
      </c>
      <c r="K368">
        <v>2239</v>
      </c>
    </row>
    <row r="369" spans="1:11" x14ac:dyDescent="0.3">
      <c r="A369" t="s">
        <v>426</v>
      </c>
      <c r="B369" s="1">
        <v>45355</v>
      </c>
      <c r="C369" t="s">
        <v>3</v>
      </c>
      <c r="D369" t="s">
        <v>76</v>
      </c>
      <c r="E369" t="s">
        <v>28</v>
      </c>
      <c r="F369" t="s">
        <v>24</v>
      </c>
      <c r="G369" t="s">
        <v>54</v>
      </c>
      <c r="H369">
        <v>8</v>
      </c>
      <c r="I369">
        <v>40382</v>
      </c>
      <c r="J369">
        <v>0</v>
      </c>
    </row>
    <row r="370" spans="1:11" x14ac:dyDescent="0.3">
      <c r="A370" t="s">
        <v>427</v>
      </c>
      <c r="B370" s="1">
        <v>45348</v>
      </c>
      <c r="C370" t="s">
        <v>5</v>
      </c>
      <c r="D370" t="s">
        <v>69</v>
      </c>
      <c r="E370" t="s">
        <v>25</v>
      </c>
      <c r="F370" t="s">
        <v>22</v>
      </c>
      <c r="G370" t="s">
        <v>51</v>
      </c>
      <c r="H370">
        <v>3</v>
      </c>
      <c r="I370">
        <v>40113</v>
      </c>
      <c r="J370">
        <v>0.1</v>
      </c>
      <c r="K370">
        <v>10130</v>
      </c>
    </row>
    <row r="371" spans="1:11" x14ac:dyDescent="0.3">
      <c r="A371" t="s">
        <v>428</v>
      </c>
      <c r="B371" s="1">
        <v>45604</v>
      </c>
      <c r="C371" t="s">
        <v>3</v>
      </c>
      <c r="D371" t="s">
        <v>76</v>
      </c>
      <c r="E371" t="s">
        <v>27</v>
      </c>
      <c r="F371" t="s">
        <v>22</v>
      </c>
      <c r="G371" t="s">
        <v>51</v>
      </c>
      <c r="H371">
        <v>5</v>
      </c>
      <c r="I371">
        <v>40000</v>
      </c>
    </row>
    <row r="372" spans="1:11" x14ac:dyDescent="0.3">
      <c r="A372" t="s">
        <v>429</v>
      </c>
      <c r="B372" s="1">
        <v>45613</v>
      </c>
      <c r="C372" t="s">
        <v>5</v>
      </c>
      <c r="D372" t="s">
        <v>76</v>
      </c>
      <c r="E372" t="s">
        <v>25</v>
      </c>
      <c r="F372" t="s">
        <v>58</v>
      </c>
      <c r="G372" t="s">
        <v>54</v>
      </c>
      <c r="H372">
        <v>6</v>
      </c>
      <c r="I372">
        <v>35229</v>
      </c>
      <c r="J372">
        <v>0.1</v>
      </c>
      <c r="K372">
        <v>21984</v>
      </c>
    </row>
    <row r="373" spans="1:11" x14ac:dyDescent="0.3">
      <c r="A373" t="s">
        <v>430</v>
      </c>
      <c r="B373" s="1">
        <v>45372</v>
      </c>
      <c r="C373" t="s">
        <v>5</v>
      </c>
      <c r="D373" t="s">
        <v>69</v>
      </c>
      <c r="E373" t="s">
        <v>27</v>
      </c>
      <c r="F373" t="s">
        <v>61</v>
      </c>
      <c r="G373" t="s">
        <v>54</v>
      </c>
      <c r="H373">
        <v>3</v>
      </c>
      <c r="I373">
        <v>42936</v>
      </c>
      <c r="J373">
        <v>0</v>
      </c>
    </row>
    <row r="374" spans="1:11" x14ac:dyDescent="0.3">
      <c r="A374" t="s">
        <v>431</v>
      </c>
      <c r="B374" s="1">
        <v>45315</v>
      </c>
      <c r="C374" t="s">
        <v>5</v>
      </c>
      <c r="D374" t="s">
        <v>69</v>
      </c>
      <c r="E374" t="s">
        <v>27</v>
      </c>
      <c r="F374" t="s">
        <v>61</v>
      </c>
      <c r="G374" t="s">
        <v>54</v>
      </c>
      <c r="H374">
        <v>8</v>
      </c>
      <c r="I374">
        <v>18701</v>
      </c>
      <c r="J374">
        <v>0.1</v>
      </c>
      <c r="K374">
        <v>1221</v>
      </c>
    </row>
    <row r="375" spans="1:11" x14ac:dyDescent="0.3">
      <c r="A375" t="s">
        <v>432</v>
      </c>
      <c r="B375" s="1">
        <v>45515</v>
      </c>
      <c r="C375" t="s">
        <v>4</v>
      </c>
      <c r="D375" t="s">
        <v>49</v>
      </c>
      <c r="E375" t="s">
        <v>27</v>
      </c>
      <c r="F375" t="s">
        <v>23</v>
      </c>
      <c r="G375" t="s">
        <v>54</v>
      </c>
      <c r="H375">
        <v>4</v>
      </c>
      <c r="I375">
        <v>22470</v>
      </c>
      <c r="J375">
        <v>0.05</v>
      </c>
    </row>
    <row r="376" spans="1:11" x14ac:dyDescent="0.3">
      <c r="A376" t="s">
        <v>433</v>
      </c>
      <c r="B376" s="1">
        <v>45412</v>
      </c>
      <c r="C376" t="s">
        <v>6</v>
      </c>
      <c r="D376" t="s">
        <v>64</v>
      </c>
      <c r="E376" t="s">
        <v>28</v>
      </c>
      <c r="F376" t="s">
        <v>58</v>
      </c>
      <c r="G376" t="s">
        <v>54</v>
      </c>
      <c r="H376">
        <v>2</v>
      </c>
      <c r="I376">
        <v>28341</v>
      </c>
      <c r="K376">
        <v>14166</v>
      </c>
    </row>
    <row r="377" spans="1:11" x14ac:dyDescent="0.3">
      <c r="A377" t="s">
        <v>434</v>
      </c>
      <c r="B377" s="1">
        <v>45330</v>
      </c>
      <c r="C377" t="s">
        <v>3</v>
      </c>
      <c r="D377" t="s">
        <v>76</v>
      </c>
      <c r="E377" t="s">
        <v>28</v>
      </c>
      <c r="F377" t="s">
        <v>61</v>
      </c>
      <c r="G377" t="s">
        <v>54</v>
      </c>
      <c r="H377">
        <v>7</v>
      </c>
      <c r="I377">
        <v>43874</v>
      </c>
      <c r="J377">
        <v>0.1</v>
      </c>
    </row>
    <row r="378" spans="1:11" x14ac:dyDescent="0.3">
      <c r="A378" t="s">
        <v>435</v>
      </c>
      <c r="B378" s="1">
        <v>45626</v>
      </c>
      <c r="C378" t="s">
        <v>4</v>
      </c>
      <c r="D378" t="s">
        <v>76</v>
      </c>
      <c r="E378" t="s">
        <v>25</v>
      </c>
      <c r="F378" t="s">
        <v>22</v>
      </c>
      <c r="G378" t="s">
        <v>51</v>
      </c>
      <c r="H378">
        <v>5</v>
      </c>
      <c r="I378">
        <v>12830</v>
      </c>
      <c r="J378">
        <v>0.05</v>
      </c>
      <c r="K378">
        <v>15696</v>
      </c>
    </row>
    <row r="379" spans="1:11" x14ac:dyDescent="0.3">
      <c r="A379" t="s">
        <v>436</v>
      </c>
      <c r="B379" s="1">
        <v>45339</v>
      </c>
      <c r="C379" t="s">
        <v>5</v>
      </c>
      <c r="D379" t="s">
        <v>56</v>
      </c>
      <c r="E379" t="s">
        <v>27</v>
      </c>
      <c r="F379" t="s">
        <v>58</v>
      </c>
      <c r="G379" t="s">
        <v>54</v>
      </c>
      <c r="H379">
        <v>5</v>
      </c>
      <c r="I379">
        <v>36644</v>
      </c>
      <c r="J379">
        <v>0.1</v>
      </c>
    </row>
    <row r="380" spans="1:11" x14ac:dyDescent="0.3">
      <c r="A380" t="s">
        <v>437</v>
      </c>
      <c r="B380" s="1">
        <v>45295</v>
      </c>
      <c r="C380" t="s">
        <v>5</v>
      </c>
      <c r="D380" t="s">
        <v>69</v>
      </c>
      <c r="E380" t="s">
        <v>28</v>
      </c>
      <c r="F380" t="s">
        <v>24</v>
      </c>
      <c r="G380" t="s">
        <v>54</v>
      </c>
      <c r="H380">
        <v>10</v>
      </c>
      <c r="I380">
        <v>45518</v>
      </c>
      <c r="J380">
        <v>0</v>
      </c>
      <c r="K380">
        <v>1171</v>
      </c>
    </row>
    <row r="381" spans="1:11" x14ac:dyDescent="0.3">
      <c r="A381" t="s">
        <v>438</v>
      </c>
      <c r="B381" s="1">
        <v>45332</v>
      </c>
      <c r="C381" t="s">
        <v>4</v>
      </c>
      <c r="D381" t="s">
        <v>49</v>
      </c>
      <c r="E381" t="s">
        <v>25</v>
      </c>
      <c r="F381" t="s">
        <v>58</v>
      </c>
      <c r="G381" t="s">
        <v>54</v>
      </c>
      <c r="H381">
        <v>4</v>
      </c>
      <c r="I381">
        <v>48084</v>
      </c>
      <c r="J381">
        <v>0</v>
      </c>
    </row>
    <row r="382" spans="1:11" x14ac:dyDescent="0.3">
      <c r="A382" t="s">
        <v>439</v>
      </c>
      <c r="B382" s="1">
        <v>45649</v>
      </c>
      <c r="C382" t="s">
        <v>4</v>
      </c>
      <c r="D382" t="s">
        <v>64</v>
      </c>
      <c r="E382" t="s">
        <v>26</v>
      </c>
      <c r="F382" t="s">
        <v>24</v>
      </c>
      <c r="G382" t="s">
        <v>54</v>
      </c>
      <c r="H382">
        <v>1</v>
      </c>
      <c r="I382">
        <v>24408</v>
      </c>
      <c r="J382">
        <v>0.1</v>
      </c>
      <c r="K382">
        <v>18969</v>
      </c>
    </row>
    <row r="383" spans="1:11" x14ac:dyDescent="0.3">
      <c r="A383" t="s">
        <v>440</v>
      </c>
      <c r="B383" s="1">
        <v>45362</v>
      </c>
      <c r="C383" t="s">
        <v>4</v>
      </c>
      <c r="D383" t="s">
        <v>69</v>
      </c>
      <c r="E383" t="s">
        <v>29</v>
      </c>
      <c r="F383" t="s">
        <v>24</v>
      </c>
      <c r="G383" t="s">
        <v>54</v>
      </c>
      <c r="H383">
        <v>5</v>
      </c>
      <c r="I383">
        <v>43828</v>
      </c>
      <c r="J383">
        <v>0.1</v>
      </c>
      <c r="K383">
        <v>19950</v>
      </c>
    </row>
    <row r="384" spans="1:11" x14ac:dyDescent="0.3">
      <c r="A384" t="s">
        <v>441</v>
      </c>
      <c r="B384" s="1">
        <v>45616</v>
      </c>
      <c r="C384" t="s">
        <v>6</v>
      </c>
      <c r="D384" t="s">
        <v>69</v>
      </c>
      <c r="E384" t="s">
        <v>25</v>
      </c>
      <c r="F384" t="s">
        <v>22</v>
      </c>
      <c r="G384" t="s">
        <v>51</v>
      </c>
      <c r="H384">
        <v>2</v>
      </c>
      <c r="I384">
        <v>20688</v>
      </c>
      <c r="J384">
        <v>0.05</v>
      </c>
      <c r="K384">
        <v>16146</v>
      </c>
    </row>
    <row r="385" spans="1:11" x14ac:dyDescent="0.3">
      <c r="A385" t="s">
        <v>442</v>
      </c>
      <c r="B385" s="1">
        <v>45656</v>
      </c>
      <c r="C385" t="s">
        <v>3</v>
      </c>
      <c r="D385" t="s">
        <v>53</v>
      </c>
      <c r="E385" t="s">
        <v>28</v>
      </c>
      <c r="F385" t="s">
        <v>58</v>
      </c>
      <c r="G385" t="s">
        <v>54</v>
      </c>
      <c r="H385">
        <v>3</v>
      </c>
      <c r="I385">
        <v>566</v>
      </c>
      <c r="J385">
        <v>0.05</v>
      </c>
    </row>
    <row r="386" spans="1:11" x14ac:dyDescent="0.3">
      <c r="A386" t="s">
        <v>443</v>
      </c>
      <c r="B386" s="1">
        <v>45570</v>
      </c>
      <c r="C386" t="s">
        <v>5</v>
      </c>
      <c r="D386" t="s">
        <v>49</v>
      </c>
      <c r="E386" t="s">
        <v>28</v>
      </c>
      <c r="F386" t="s">
        <v>61</v>
      </c>
      <c r="G386" t="s">
        <v>54</v>
      </c>
      <c r="H386">
        <v>5</v>
      </c>
      <c r="I386">
        <v>2228</v>
      </c>
      <c r="J386">
        <v>0</v>
      </c>
      <c r="K386">
        <v>14010</v>
      </c>
    </row>
    <row r="387" spans="1:11" x14ac:dyDescent="0.3">
      <c r="A387" t="s">
        <v>444</v>
      </c>
      <c r="B387" s="1">
        <v>45650</v>
      </c>
      <c r="C387" t="s">
        <v>4</v>
      </c>
      <c r="D387" t="s">
        <v>56</v>
      </c>
      <c r="E387" t="s">
        <v>26</v>
      </c>
      <c r="F387" t="s">
        <v>24</v>
      </c>
      <c r="G387" t="s">
        <v>54</v>
      </c>
      <c r="H387">
        <v>2</v>
      </c>
      <c r="I387">
        <v>32635</v>
      </c>
      <c r="J387">
        <v>0</v>
      </c>
      <c r="K387">
        <v>2651</v>
      </c>
    </row>
    <row r="388" spans="1:11" x14ac:dyDescent="0.3">
      <c r="A388" t="s">
        <v>445</v>
      </c>
      <c r="B388" s="1">
        <v>45525</v>
      </c>
      <c r="C388" t="s">
        <v>5</v>
      </c>
      <c r="D388" t="s">
        <v>76</v>
      </c>
      <c r="E388" t="s">
        <v>29</v>
      </c>
      <c r="F388" t="s">
        <v>24</v>
      </c>
      <c r="G388" t="s">
        <v>54</v>
      </c>
      <c r="H388">
        <v>7</v>
      </c>
      <c r="I388">
        <v>12051</v>
      </c>
      <c r="J388">
        <v>0</v>
      </c>
    </row>
    <row r="389" spans="1:11" x14ac:dyDescent="0.3">
      <c r="A389" t="s">
        <v>446</v>
      </c>
      <c r="B389" s="1">
        <v>45619</v>
      </c>
      <c r="C389" t="s">
        <v>4</v>
      </c>
      <c r="D389" t="s">
        <v>56</v>
      </c>
      <c r="E389" t="s">
        <v>26</v>
      </c>
      <c r="F389" t="s">
        <v>61</v>
      </c>
      <c r="G389" t="s">
        <v>54</v>
      </c>
      <c r="H389">
        <v>4</v>
      </c>
      <c r="I389">
        <v>32972</v>
      </c>
      <c r="J389">
        <v>0.05</v>
      </c>
    </row>
    <row r="390" spans="1:11" x14ac:dyDescent="0.3">
      <c r="A390" t="s">
        <v>447</v>
      </c>
      <c r="B390" s="1">
        <v>45386</v>
      </c>
      <c r="C390" t="s">
        <v>3</v>
      </c>
      <c r="D390" t="s">
        <v>53</v>
      </c>
      <c r="E390" t="s">
        <v>28</v>
      </c>
      <c r="F390" t="s">
        <v>22</v>
      </c>
      <c r="G390" t="s">
        <v>51</v>
      </c>
      <c r="H390">
        <v>7</v>
      </c>
      <c r="I390">
        <v>14877</v>
      </c>
      <c r="K390">
        <v>8780</v>
      </c>
    </row>
    <row r="391" spans="1:11" x14ac:dyDescent="0.3">
      <c r="A391" t="s">
        <v>448</v>
      </c>
      <c r="B391" s="1">
        <v>45344</v>
      </c>
      <c r="C391" t="s">
        <v>6</v>
      </c>
      <c r="D391" t="s">
        <v>69</v>
      </c>
      <c r="E391" t="s">
        <v>28</v>
      </c>
      <c r="F391" t="s">
        <v>23</v>
      </c>
      <c r="G391" t="s">
        <v>54</v>
      </c>
      <c r="H391">
        <v>2</v>
      </c>
      <c r="I391">
        <v>27863</v>
      </c>
      <c r="J391">
        <v>0.1</v>
      </c>
      <c r="K391">
        <v>13854</v>
      </c>
    </row>
    <row r="392" spans="1:11" x14ac:dyDescent="0.3">
      <c r="A392" t="s">
        <v>449</v>
      </c>
      <c r="B392" s="1">
        <v>45373</v>
      </c>
      <c r="C392" t="s">
        <v>3</v>
      </c>
      <c r="D392" t="s">
        <v>56</v>
      </c>
      <c r="E392" t="s">
        <v>25</v>
      </c>
      <c r="F392" t="s">
        <v>22</v>
      </c>
      <c r="G392" t="s">
        <v>51</v>
      </c>
      <c r="H392">
        <v>8</v>
      </c>
      <c r="I392">
        <v>19576</v>
      </c>
      <c r="J392">
        <v>0.1</v>
      </c>
    </row>
    <row r="393" spans="1:11" x14ac:dyDescent="0.3">
      <c r="A393" t="s">
        <v>450</v>
      </c>
      <c r="B393" s="1">
        <v>45598</v>
      </c>
      <c r="C393" t="s">
        <v>6</v>
      </c>
      <c r="D393" t="s">
        <v>56</v>
      </c>
      <c r="E393" t="s">
        <v>26</v>
      </c>
      <c r="F393" t="s">
        <v>23</v>
      </c>
      <c r="G393" t="s">
        <v>54</v>
      </c>
      <c r="H393">
        <v>6</v>
      </c>
      <c r="I393">
        <v>24651</v>
      </c>
      <c r="J393">
        <v>0.1</v>
      </c>
      <c r="K393">
        <v>3913</v>
      </c>
    </row>
    <row r="394" spans="1:11" x14ac:dyDescent="0.3">
      <c r="A394" t="s">
        <v>451</v>
      </c>
      <c r="B394" s="1">
        <v>45611</v>
      </c>
      <c r="C394" t="s">
        <v>5</v>
      </c>
      <c r="D394" t="s">
        <v>56</v>
      </c>
      <c r="E394" t="s">
        <v>26</v>
      </c>
      <c r="F394" t="s">
        <v>22</v>
      </c>
      <c r="G394" t="s">
        <v>51</v>
      </c>
      <c r="H394">
        <v>7</v>
      </c>
      <c r="I394">
        <v>25518</v>
      </c>
      <c r="J394">
        <v>0.05</v>
      </c>
      <c r="K394">
        <v>13658</v>
      </c>
    </row>
    <row r="395" spans="1:11" x14ac:dyDescent="0.3">
      <c r="A395" t="s">
        <v>452</v>
      </c>
      <c r="B395" s="1">
        <v>45543</v>
      </c>
      <c r="C395" t="s">
        <v>3</v>
      </c>
      <c r="D395" t="s">
        <v>69</v>
      </c>
      <c r="E395" t="s">
        <v>27</v>
      </c>
      <c r="F395" t="s">
        <v>23</v>
      </c>
      <c r="G395" t="s">
        <v>54</v>
      </c>
      <c r="H395">
        <v>6</v>
      </c>
      <c r="I395">
        <v>48648</v>
      </c>
      <c r="J395">
        <v>0.1</v>
      </c>
    </row>
    <row r="396" spans="1:11" x14ac:dyDescent="0.3">
      <c r="A396" t="s">
        <v>453</v>
      </c>
      <c r="B396" s="1">
        <v>45491</v>
      </c>
      <c r="C396" t="s">
        <v>5</v>
      </c>
      <c r="D396" t="s">
        <v>56</v>
      </c>
      <c r="E396" t="s">
        <v>29</v>
      </c>
      <c r="F396" t="s">
        <v>24</v>
      </c>
      <c r="G396" t="s">
        <v>54</v>
      </c>
      <c r="H396">
        <v>10</v>
      </c>
      <c r="I396">
        <v>31654</v>
      </c>
      <c r="K396">
        <v>9153</v>
      </c>
    </row>
    <row r="397" spans="1:11" x14ac:dyDescent="0.3">
      <c r="A397" t="s">
        <v>454</v>
      </c>
      <c r="B397" s="1">
        <v>45574</v>
      </c>
      <c r="C397" t="s">
        <v>3</v>
      </c>
      <c r="D397" t="s">
        <v>53</v>
      </c>
      <c r="E397" t="s">
        <v>27</v>
      </c>
      <c r="F397" t="s">
        <v>61</v>
      </c>
      <c r="G397" t="s">
        <v>54</v>
      </c>
      <c r="H397">
        <v>7</v>
      </c>
      <c r="I397">
        <v>16953</v>
      </c>
      <c r="J397">
        <v>0</v>
      </c>
    </row>
    <row r="398" spans="1:11" x14ac:dyDescent="0.3">
      <c r="A398" t="s">
        <v>455</v>
      </c>
      <c r="B398" s="1">
        <v>45390</v>
      </c>
      <c r="C398" t="s">
        <v>6</v>
      </c>
      <c r="D398" t="s">
        <v>69</v>
      </c>
      <c r="E398" t="s">
        <v>27</v>
      </c>
      <c r="F398" t="s">
        <v>61</v>
      </c>
      <c r="G398" t="s">
        <v>54</v>
      </c>
      <c r="H398">
        <v>5</v>
      </c>
      <c r="I398">
        <v>13574</v>
      </c>
      <c r="J398">
        <v>0.1</v>
      </c>
      <c r="K398">
        <v>15669</v>
      </c>
    </row>
    <row r="399" spans="1:11" x14ac:dyDescent="0.3">
      <c r="A399" t="s">
        <v>456</v>
      </c>
      <c r="B399" s="1">
        <v>45536</v>
      </c>
      <c r="C399" t="s">
        <v>3</v>
      </c>
      <c r="D399" t="s">
        <v>69</v>
      </c>
      <c r="E399" t="s">
        <v>25</v>
      </c>
      <c r="F399" t="s">
        <v>61</v>
      </c>
      <c r="G399" t="s">
        <v>54</v>
      </c>
      <c r="H399">
        <v>9</v>
      </c>
      <c r="I399">
        <v>32049</v>
      </c>
      <c r="K399">
        <v>16472</v>
      </c>
    </row>
    <row r="400" spans="1:11" x14ac:dyDescent="0.3">
      <c r="A400" t="s">
        <v>457</v>
      </c>
      <c r="B400" s="1">
        <v>45657</v>
      </c>
      <c r="C400" t="s">
        <v>6</v>
      </c>
      <c r="D400" t="s">
        <v>53</v>
      </c>
      <c r="E400" t="s">
        <v>28</v>
      </c>
      <c r="F400" t="s">
        <v>50</v>
      </c>
      <c r="G400" t="s">
        <v>51</v>
      </c>
      <c r="H400">
        <v>1</v>
      </c>
      <c r="I400">
        <v>10178</v>
      </c>
    </row>
    <row r="401" spans="1:11" x14ac:dyDescent="0.3">
      <c r="A401" t="s">
        <v>458</v>
      </c>
      <c r="B401" s="1">
        <v>45378</v>
      </c>
      <c r="C401" t="s">
        <v>5</v>
      </c>
      <c r="D401" t="s">
        <v>69</v>
      </c>
      <c r="E401" t="s">
        <v>27</v>
      </c>
      <c r="F401" t="s">
        <v>24</v>
      </c>
      <c r="G401" t="s">
        <v>54</v>
      </c>
      <c r="H401">
        <v>7</v>
      </c>
      <c r="I401">
        <v>12346</v>
      </c>
    </row>
    <row r="402" spans="1:11" x14ac:dyDescent="0.3">
      <c r="A402" t="s">
        <v>459</v>
      </c>
      <c r="B402" s="1">
        <v>45479</v>
      </c>
      <c r="C402" t="s">
        <v>6</v>
      </c>
      <c r="D402" t="s">
        <v>64</v>
      </c>
      <c r="E402" t="s">
        <v>25</v>
      </c>
      <c r="F402" t="s">
        <v>23</v>
      </c>
      <c r="G402" t="s">
        <v>54</v>
      </c>
      <c r="H402">
        <v>9</v>
      </c>
      <c r="I402">
        <v>7842</v>
      </c>
      <c r="J402">
        <v>0.1</v>
      </c>
    </row>
    <row r="403" spans="1:11" x14ac:dyDescent="0.3">
      <c r="A403" t="s">
        <v>460</v>
      </c>
      <c r="B403" s="1">
        <v>45308</v>
      </c>
      <c r="C403" t="s">
        <v>3</v>
      </c>
      <c r="D403" t="s">
        <v>69</v>
      </c>
      <c r="E403" t="s">
        <v>25</v>
      </c>
      <c r="F403" t="s">
        <v>22</v>
      </c>
      <c r="G403" t="s">
        <v>51</v>
      </c>
      <c r="H403">
        <v>5</v>
      </c>
      <c r="I403">
        <v>49128</v>
      </c>
    </row>
    <row r="404" spans="1:11" x14ac:dyDescent="0.3">
      <c r="A404" t="s">
        <v>461</v>
      </c>
      <c r="B404" s="1">
        <v>45551</v>
      </c>
      <c r="C404" t="s">
        <v>5</v>
      </c>
      <c r="D404" t="s">
        <v>76</v>
      </c>
      <c r="E404" t="s">
        <v>29</v>
      </c>
      <c r="F404" t="s">
        <v>23</v>
      </c>
      <c r="G404" t="s">
        <v>54</v>
      </c>
      <c r="H404">
        <v>10</v>
      </c>
      <c r="I404">
        <v>40502</v>
      </c>
      <c r="J404">
        <v>0.05</v>
      </c>
      <c r="K404">
        <v>13345</v>
      </c>
    </row>
    <row r="405" spans="1:11" x14ac:dyDescent="0.3">
      <c r="A405" t="s">
        <v>462</v>
      </c>
      <c r="B405" s="1">
        <v>45548</v>
      </c>
      <c r="C405" t="s">
        <v>4</v>
      </c>
      <c r="D405" t="s">
        <v>56</v>
      </c>
      <c r="E405" t="s">
        <v>26</v>
      </c>
      <c r="F405" t="s">
        <v>22</v>
      </c>
      <c r="G405" t="s">
        <v>51</v>
      </c>
      <c r="H405">
        <v>1</v>
      </c>
      <c r="I405">
        <v>35461</v>
      </c>
      <c r="J405">
        <v>0</v>
      </c>
      <c r="K405">
        <v>23632</v>
      </c>
    </row>
    <row r="406" spans="1:11" x14ac:dyDescent="0.3">
      <c r="A406" t="s">
        <v>463</v>
      </c>
      <c r="B406" s="1">
        <v>45464</v>
      </c>
      <c r="C406" t="s">
        <v>6</v>
      </c>
      <c r="D406" t="s">
        <v>76</v>
      </c>
      <c r="E406" t="s">
        <v>25</v>
      </c>
      <c r="F406" t="s">
        <v>58</v>
      </c>
      <c r="G406" t="s">
        <v>54</v>
      </c>
      <c r="H406">
        <v>10</v>
      </c>
      <c r="I406">
        <v>6890</v>
      </c>
      <c r="J406">
        <v>0.1</v>
      </c>
    </row>
    <row r="407" spans="1:11" x14ac:dyDescent="0.3">
      <c r="A407" t="s">
        <v>464</v>
      </c>
      <c r="B407" s="1">
        <v>45417</v>
      </c>
      <c r="C407" t="s">
        <v>6</v>
      </c>
      <c r="D407" t="s">
        <v>64</v>
      </c>
      <c r="E407" t="s">
        <v>27</v>
      </c>
      <c r="F407" t="s">
        <v>24</v>
      </c>
      <c r="G407" t="s">
        <v>54</v>
      </c>
      <c r="H407">
        <v>5</v>
      </c>
      <c r="I407">
        <v>47450</v>
      </c>
      <c r="J407">
        <v>0.1</v>
      </c>
    </row>
    <row r="408" spans="1:11" x14ac:dyDescent="0.3">
      <c r="A408" t="s">
        <v>465</v>
      </c>
      <c r="B408" s="1">
        <v>45299</v>
      </c>
      <c r="C408" t="s">
        <v>3</v>
      </c>
      <c r="D408" t="s">
        <v>64</v>
      </c>
      <c r="E408" t="s">
        <v>26</v>
      </c>
      <c r="F408" t="s">
        <v>61</v>
      </c>
      <c r="G408" t="s">
        <v>54</v>
      </c>
      <c r="H408">
        <v>8</v>
      </c>
      <c r="I408">
        <v>48987</v>
      </c>
      <c r="J408">
        <v>0.1</v>
      </c>
    </row>
    <row r="409" spans="1:11" x14ac:dyDescent="0.3">
      <c r="A409" t="s">
        <v>466</v>
      </c>
      <c r="B409" s="1">
        <v>45578</v>
      </c>
      <c r="C409" t="s">
        <v>4</v>
      </c>
      <c r="D409" t="s">
        <v>49</v>
      </c>
      <c r="E409" t="s">
        <v>26</v>
      </c>
      <c r="F409" t="s">
        <v>23</v>
      </c>
      <c r="G409" t="s">
        <v>54</v>
      </c>
      <c r="H409">
        <v>10</v>
      </c>
      <c r="I409">
        <v>11357</v>
      </c>
      <c r="J409">
        <v>0.1</v>
      </c>
    </row>
    <row r="410" spans="1:11" x14ac:dyDescent="0.3">
      <c r="A410" t="s">
        <v>467</v>
      </c>
      <c r="B410" s="1">
        <v>45599</v>
      </c>
      <c r="C410" t="s">
        <v>4</v>
      </c>
      <c r="D410" t="s">
        <v>49</v>
      </c>
      <c r="E410" t="s">
        <v>28</v>
      </c>
      <c r="F410" t="s">
        <v>24</v>
      </c>
      <c r="G410" t="s">
        <v>54</v>
      </c>
      <c r="H410">
        <v>4</v>
      </c>
      <c r="I410">
        <v>47448</v>
      </c>
    </row>
    <row r="411" spans="1:11" x14ac:dyDescent="0.3">
      <c r="A411" t="s">
        <v>468</v>
      </c>
      <c r="B411" s="1">
        <v>45513</v>
      </c>
      <c r="C411" t="s">
        <v>6</v>
      </c>
      <c r="D411" t="s">
        <v>49</v>
      </c>
      <c r="E411" t="s">
        <v>29</v>
      </c>
      <c r="F411" t="s">
        <v>61</v>
      </c>
      <c r="G411" t="s">
        <v>54</v>
      </c>
      <c r="H411">
        <v>6</v>
      </c>
      <c r="I411">
        <v>3259</v>
      </c>
      <c r="J411">
        <v>0.05</v>
      </c>
    </row>
    <row r="412" spans="1:11" x14ac:dyDescent="0.3">
      <c r="A412" t="s">
        <v>469</v>
      </c>
      <c r="B412" s="1">
        <v>45603</v>
      </c>
      <c r="C412" t="s">
        <v>6</v>
      </c>
      <c r="D412" t="s">
        <v>76</v>
      </c>
      <c r="E412" t="s">
        <v>29</v>
      </c>
      <c r="F412" t="s">
        <v>24</v>
      </c>
      <c r="G412" t="s">
        <v>54</v>
      </c>
      <c r="H412">
        <v>2</v>
      </c>
      <c r="I412">
        <v>29289</v>
      </c>
      <c r="J412">
        <v>0.05</v>
      </c>
      <c r="K412">
        <v>27170</v>
      </c>
    </row>
    <row r="413" spans="1:11" x14ac:dyDescent="0.3">
      <c r="A413" t="s">
        <v>470</v>
      </c>
      <c r="B413" s="1">
        <v>45372</v>
      </c>
      <c r="C413" t="s">
        <v>4</v>
      </c>
      <c r="D413" t="s">
        <v>76</v>
      </c>
      <c r="E413" t="s">
        <v>26</v>
      </c>
      <c r="F413" t="s">
        <v>24</v>
      </c>
      <c r="G413" t="s">
        <v>54</v>
      </c>
      <c r="H413">
        <v>2</v>
      </c>
      <c r="I413">
        <v>31911</v>
      </c>
    </row>
    <row r="414" spans="1:11" x14ac:dyDescent="0.3">
      <c r="A414" t="s">
        <v>471</v>
      </c>
      <c r="B414" s="1">
        <v>45526</v>
      </c>
      <c r="C414" t="s">
        <v>6</v>
      </c>
      <c r="D414" t="s">
        <v>53</v>
      </c>
      <c r="E414" t="s">
        <v>29</v>
      </c>
      <c r="F414" t="s">
        <v>58</v>
      </c>
      <c r="G414" t="s">
        <v>54</v>
      </c>
      <c r="H414">
        <v>2</v>
      </c>
      <c r="I414">
        <v>18540</v>
      </c>
      <c r="J414">
        <v>0</v>
      </c>
    </row>
    <row r="415" spans="1:11" x14ac:dyDescent="0.3">
      <c r="A415" t="s">
        <v>472</v>
      </c>
      <c r="B415" s="1">
        <v>45475</v>
      </c>
      <c r="C415" t="s">
        <v>5</v>
      </c>
      <c r="D415" t="s">
        <v>76</v>
      </c>
      <c r="E415" t="s">
        <v>29</v>
      </c>
      <c r="F415" t="s">
        <v>61</v>
      </c>
      <c r="G415" t="s">
        <v>54</v>
      </c>
      <c r="H415">
        <v>2</v>
      </c>
      <c r="I415">
        <v>787</v>
      </c>
      <c r="J415">
        <v>0</v>
      </c>
      <c r="K415">
        <v>6405</v>
      </c>
    </row>
    <row r="416" spans="1:11" x14ac:dyDescent="0.3">
      <c r="A416" t="s">
        <v>473</v>
      </c>
      <c r="B416" s="1">
        <v>45649</v>
      </c>
      <c r="C416" t="s">
        <v>3</v>
      </c>
      <c r="D416" t="s">
        <v>64</v>
      </c>
      <c r="E416" t="s">
        <v>29</v>
      </c>
      <c r="F416" t="s">
        <v>50</v>
      </c>
      <c r="G416" t="s">
        <v>51</v>
      </c>
      <c r="H416">
        <v>2</v>
      </c>
      <c r="I416">
        <v>2106</v>
      </c>
      <c r="K416">
        <v>6951</v>
      </c>
    </row>
    <row r="417" spans="1:11" x14ac:dyDescent="0.3">
      <c r="A417" t="s">
        <v>474</v>
      </c>
      <c r="B417" s="1">
        <v>45525</v>
      </c>
      <c r="C417" t="s">
        <v>3</v>
      </c>
      <c r="D417" t="s">
        <v>49</v>
      </c>
      <c r="E417" t="s">
        <v>29</v>
      </c>
      <c r="F417" t="s">
        <v>61</v>
      </c>
      <c r="G417" t="s">
        <v>54</v>
      </c>
      <c r="H417">
        <v>2</v>
      </c>
      <c r="I417">
        <v>26153</v>
      </c>
      <c r="J417">
        <v>0.05</v>
      </c>
    </row>
    <row r="418" spans="1:11" x14ac:dyDescent="0.3">
      <c r="A418" t="s">
        <v>475</v>
      </c>
      <c r="B418" s="1">
        <v>45637</v>
      </c>
      <c r="C418" t="s">
        <v>4</v>
      </c>
      <c r="D418" t="s">
        <v>69</v>
      </c>
      <c r="E418" t="s">
        <v>25</v>
      </c>
      <c r="F418" t="s">
        <v>58</v>
      </c>
      <c r="G418" t="s">
        <v>54</v>
      </c>
      <c r="H418">
        <v>5</v>
      </c>
      <c r="I418">
        <v>35854</v>
      </c>
      <c r="J418">
        <v>0</v>
      </c>
    </row>
    <row r="419" spans="1:11" x14ac:dyDescent="0.3">
      <c r="A419" t="s">
        <v>476</v>
      </c>
      <c r="B419" s="1">
        <v>45564</v>
      </c>
      <c r="C419" t="s">
        <v>5</v>
      </c>
      <c r="D419" t="s">
        <v>49</v>
      </c>
      <c r="E419" t="s">
        <v>27</v>
      </c>
      <c r="F419" t="s">
        <v>22</v>
      </c>
      <c r="G419" t="s">
        <v>51</v>
      </c>
      <c r="H419">
        <v>9</v>
      </c>
      <c r="I419">
        <v>23456</v>
      </c>
      <c r="J419">
        <v>0.05</v>
      </c>
      <c r="K419">
        <v>25604</v>
      </c>
    </row>
    <row r="420" spans="1:11" x14ac:dyDescent="0.3">
      <c r="A420" t="s">
        <v>477</v>
      </c>
      <c r="B420" s="1">
        <v>45588</v>
      </c>
      <c r="C420" t="s">
        <v>5</v>
      </c>
      <c r="D420" t="s">
        <v>69</v>
      </c>
      <c r="E420" t="s">
        <v>26</v>
      </c>
      <c r="F420" t="s">
        <v>58</v>
      </c>
      <c r="G420" t="s">
        <v>54</v>
      </c>
      <c r="H420">
        <v>5</v>
      </c>
      <c r="I420">
        <v>18042</v>
      </c>
      <c r="J420">
        <v>0.05</v>
      </c>
    </row>
    <row r="421" spans="1:11" x14ac:dyDescent="0.3">
      <c r="A421" t="s">
        <v>478</v>
      </c>
      <c r="B421" s="1">
        <v>45335</v>
      </c>
      <c r="C421" t="s">
        <v>3</v>
      </c>
      <c r="D421" t="s">
        <v>49</v>
      </c>
      <c r="E421" t="s">
        <v>25</v>
      </c>
      <c r="F421" t="s">
        <v>58</v>
      </c>
      <c r="G421" t="s">
        <v>54</v>
      </c>
      <c r="H421">
        <v>4</v>
      </c>
      <c r="I421">
        <v>37181</v>
      </c>
      <c r="J421">
        <v>0.05</v>
      </c>
      <c r="K421">
        <v>2967</v>
      </c>
    </row>
    <row r="422" spans="1:11" x14ac:dyDescent="0.3">
      <c r="A422" t="s">
        <v>479</v>
      </c>
      <c r="B422" s="1">
        <v>45566</v>
      </c>
      <c r="C422" t="s">
        <v>5</v>
      </c>
      <c r="D422" t="s">
        <v>76</v>
      </c>
      <c r="E422" t="s">
        <v>29</v>
      </c>
      <c r="F422" t="s">
        <v>23</v>
      </c>
      <c r="G422" t="s">
        <v>54</v>
      </c>
      <c r="H422">
        <v>4</v>
      </c>
      <c r="I422">
        <v>23332</v>
      </c>
      <c r="J422">
        <v>0.1</v>
      </c>
      <c r="K422">
        <v>27556</v>
      </c>
    </row>
    <row r="423" spans="1:11" x14ac:dyDescent="0.3">
      <c r="A423" t="s">
        <v>480</v>
      </c>
      <c r="B423" s="1">
        <v>45401</v>
      </c>
      <c r="C423" t="s">
        <v>5</v>
      </c>
      <c r="D423" t="s">
        <v>64</v>
      </c>
      <c r="E423" t="s">
        <v>26</v>
      </c>
      <c r="F423" t="s">
        <v>23</v>
      </c>
      <c r="G423" t="s">
        <v>54</v>
      </c>
      <c r="H423">
        <v>7</v>
      </c>
      <c r="I423">
        <v>41961</v>
      </c>
      <c r="J423">
        <v>0.1</v>
      </c>
    </row>
    <row r="424" spans="1:11" x14ac:dyDescent="0.3">
      <c r="A424" t="s">
        <v>481</v>
      </c>
      <c r="B424" s="1">
        <v>45543</v>
      </c>
      <c r="C424" t="s">
        <v>3</v>
      </c>
      <c r="D424" t="s">
        <v>76</v>
      </c>
      <c r="E424" t="s">
        <v>27</v>
      </c>
      <c r="F424" t="s">
        <v>23</v>
      </c>
      <c r="G424" t="s">
        <v>54</v>
      </c>
      <c r="H424">
        <v>6</v>
      </c>
      <c r="I424">
        <v>43295</v>
      </c>
      <c r="J424">
        <v>0</v>
      </c>
      <c r="K424">
        <v>26119</v>
      </c>
    </row>
    <row r="425" spans="1:11" x14ac:dyDescent="0.3">
      <c r="A425" t="s">
        <v>482</v>
      </c>
      <c r="B425" s="1">
        <v>45459</v>
      </c>
      <c r="C425" t="s">
        <v>5</v>
      </c>
      <c r="D425" t="s">
        <v>69</v>
      </c>
      <c r="E425" t="s">
        <v>25</v>
      </c>
      <c r="F425" t="s">
        <v>23</v>
      </c>
      <c r="G425" t="s">
        <v>54</v>
      </c>
      <c r="H425">
        <v>10</v>
      </c>
      <c r="I425">
        <v>33957</v>
      </c>
      <c r="J425">
        <v>0.1</v>
      </c>
    </row>
    <row r="426" spans="1:11" x14ac:dyDescent="0.3">
      <c r="A426" t="s">
        <v>483</v>
      </c>
      <c r="B426" s="1">
        <v>45344</v>
      </c>
      <c r="C426" t="s">
        <v>5</v>
      </c>
      <c r="D426" t="s">
        <v>53</v>
      </c>
      <c r="E426" t="s">
        <v>29</v>
      </c>
      <c r="F426" t="s">
        <v>61</v>
      </c>
      <c r="G426" t="s">
        <v>54</v>
      </c>
      <c r="H426">
        <v>2</v>
      </c>
      <c r="I426">
        <v>34251</v>
      </c>
      <c r="J426">
        <v>0</v>
      </c>
    </row>
    <row r="427" spans="1:11" x14ac:dyDescent="0.3">
      <c r="A427" t="s">
        <v>484</v>
      </c>
      <c r="B427" s="1">
        <v>45595</v>
      </c>
      <c r="C427" t="s">
        <v>6</v>
      </c>
      <c r="D427" t="s">
        <v>69</v>
      </c>
      <c r="E427" t="s">
        <v>27</v>
      </c>
      <c r="F427" t="s">
        <v>61</v>
      </c>
      <c r="G427" t="s">
        <v>54</v>
      </c>
      <c r="H427">
        <v>10</v>
      </c>
      <c r="I427">
        <v>19874</v>
      </c>
      <c r="J427">
        <v>0.05</v>
      </c>
      <c r="K427">
        <v>21117</v>
      </c>
    </row>
    <row r="428" spans="1:11" x14ac:dyDescent="0.3">
      <c r="A428" t="s">
        <v>485</v>
      </c>
      <c r="B428" s="1">
        <v>45335</v>
      </c>
      <c r="C428" t="s">
        <v>4</v>
      </c>
      <c r="D428" t="s">
        <v>49</v>
      </c>
      <c r="E428" t="s">
        <v>28</v>
      </c>
      <c r="F428" t="s">
        <v>50</v>
      </c>
      <c r="G428" t="s">
        <v>51</v>
      </c>
      <c r="H428">
        <v>1</v>
      </c>
      <c r="I428">
        <v>10984</v>
      </c>
      <c r="J428">
        <v>0.05</v>
      </c>
      <c r="K428">
        <v>29609</v>
      </c>
    </row>
    <row r="429" spans="1:11" x14ac:dyDescent="0.3">
      <c r="A429" t="s">
        <v>486</v>
      </c>
      <c r="B429" s="1">
        <v>45496</v>
      </c>
      <c r="C429" t="s">
        <v>5</v>
      </c>
      <c r="D429" t="s">
        <v>76</v>
      </c>
      <c r="E429" t="s">
        <v>28</v>
      </c>
      <c r="F429" t="s">
        <v>58</v>
      </c>
      <c r="G429" t="s">
        <v>54</v>
      </c>
      <c r="H429">
        <v>5</v>
      </c>
      <c r="I429">
        <v>34499</v>
      </c>
      <c r="J429">
        <v>0</v>
      </c>
    </row>
    <row r="430" spans="1:11" x14ac:dyDescent="0.3">
      <c r="A430" t="s">
        <v>487</v>
      </c>
      <c r="B430" s="1">
        <v>45525</v>
      </c>
      <c r="C430" t="s">
        <v>6</v>
      </c>
      <c r="D430" t="s">
        <v>76</v>
      </c>
      <c r="E430" t="s">
        <v>28</v>
      </c>
      <c r="F430" t="s">
        <v>61</v>
      </c>
      <c r="G430" t="s">
        <v>54</v>
      </c>
      <c r="H430">
        <v>10</v>
      </c>
      <c r="I430">
        <v>46603</v>
      </c>
      <c r="J430">
        <v>0.1</v>
      </c>
    </row>
    <row r="431" spans="1:11" x14ac:dyDescent="0.3">
      <c r="A431" t="s">
        <v>488</v>
      </c>
      <c r="B431" s="1">
        <v>45636</v>
      </c>
      <c r="C431" t="s">
        <v>3</v>
      </c>
      <c r="D431" t="s">
        <v>76</v>
      </c>
      <c r="E431" t="s">
        <v>29</v>
      </c>
      <c r="F431" t="s">
        <v>50</v>
      </c>
      <c r="G431" t="s">
        <v>51</v>
      </c>
      <c r="H431">
        <v>8</v>
      </c>
      <c r="I431">
        <v>26216</v>
      </c>
    </row>
    <row r="432" spans="1:11" x14ac:dyDescent="0.3">
      <c r="A432" t="s">
        <v>489</v>
      </c>
      <c r="B432" s="1">
        <v>45594</v>
      </c>
      <c r="C432" t="s">
        <v>4</v>
      </c>
      <c r="D432" t="s">
        <v>49</v>
      </c>
      <c r="E432" t="s">
        <v>26</v>
      </c>
      <c r="F432" t="s">
        <v>22</v>
      </c>
      <c r="G432" t="s">
        <v>51</v>
      </c>
      <c r="H432">
        <v>7</v>
      </c>
      <c r="I432">
        <v>46356</v>
      </c>
      <c r="J432">
        <v>0.1</v>
      </c>
    </row>
    <row r="433" spans="1:11" x14ac:dyDescent="0.3">
      <c r="A433" t="s">
        <v>490</v>
      </c>
      <c r="B433" s="1">
        <v>45374</v>
      </c>
      <c r="C433" t="s">
        <v>4</v>
      </c>
      <c r="D433" t="s">
        <v>64</v>
      </c>
      <c r="E433" t="s">
        <v>26</v>
      </c>
      <c r="F433" t="s">
        <v>58</v>
      </c>
      <c r="G433" t="s">
        <v>54</v>
      </c>
      <c r="H433">
        <v>8</v>
      </c>
      <c r="I433">
        <v>23080</v>
      </c>
      <c r="J433">
        <v>0.1</v>
      </c>
      <c r="K433">
        <v>6004</v>
      </c>
    </row>
    <row r="434" spans="1:11" x14ac:dyDescent="0.3">
      <c r="A434" t="s">
        <v>491</v>
      </c>
      <c r="B434" s="1">
        <v>45551</v>
      </c>
      <c r="C434" t="s">
        <v>6</v>
      </c>
      <c r="D434" t="s">
        <v>69</v>
      </c>
      <c r="E434" t="s">
        <v>26</v>
      </c>
      <c r="F434" t="s">
        <v>58</v>
      </c>
      <c r="G434" t="s">
        <v>54</v>
      </c>
      <c r="H434">
        <v>4</v>
      </c>
      <c r="I434">
        <v>35728</v>
      </c>
      <c r="J434">
        <v>0</v>
      </c>
    </row>
    <row r="435" spans="1:11" x14ac:dyDescent="0.3">
      <c r="A435" t="s">
        <v>492</v>
      </c>
      <c r="B435" s="1">
        <v>45602</v>
      </c>
      <c r="C435" t="s">
        <v>6</v>
      </c>
      <c r="D435" t="s">
        <v>69</v>
      </c>
      <c r="E435" t="s">
        <v>27</v>
      </c>
      <c r="F435" t="s">
        <v>58</v>
      </c>
      <c r="G435" t="s">
        <v>54</v>
      </c>
      <c r="H435">
        <v>3</v>
      </c>
      <c r="I435">
        <v>48132</v>
      </c>
      <c r="K435">
        <v>7587</v>
      </c>
    </row>
    <row r="436" spans="1:11" x14ac:dyDescent="0.3">
      <c r="A436" t="s">
        <v>493</v>
      </c>
      <c r="B436" s="1">
        <v>45369</v>
      </c>
      <c r="C436" t="s">
        <v>5</v>
      </c>
      <c r="D436" t="s">
        <v>76</v>
      </c>
      <c r="E436" t="s">
        <v>29</v>
      </c>
      <c r="F436" t="s">
        <v>22</v>
      </c>
      <c r="G436" t="s">
        <v>51</v>
      </c>
      <c r="H436">
        <v>5</v>
      </c>
      <c r="I436">
        <v>1021</v>
      </c>
      <c r="J436">
        <v>0</v>
      </c>
      <c r="K436">
        <v>18069</v>
      </c>
    </row>
    <row r="437" spans="1:11" x14ac:dyDescent="0.3">
      <c r="A437" t="s">
        <v>494</v>
      </c>
      <c r="B437" s="1">
        <v>45525</v>
      </c>
      <c r="C437" t="s">
        <v>6</v>
      </c>
      <c r="D437" t="s">
        <v>64</v>
      </c>
      <c r="E437" t="s">
        <v>26</v>
      </c>
      <c r="F437" t="s">
        <v>50</v>
      </c>
      <c r="G437" t="s">
        <v>51</v>
      </c>
      <c r="H437">
        <v>1</v>
      </c>
      <c r="I437">
        <v>21988</v>
      </c>
      <c r="K437">
        <v>9322</v>
      </c>
    </row>
    <row r="438" spans="1:11" x14ac:dyDescent="0.3">
      <c r="A438" t="s">
        <v>495</v>
      </c>
      <c r="B438" s="1">
        <v>45600</v>
      </c>
      <c r="C438" t="s">
        <v>4</v>
      </c>
      <c r="D438" t="s">
        <v>56</v>
      </c>
      <c r="E438" t="s">
        <v>27</v>
      </c>
      <c r="F438" t="s">
        <v>24</v>
      </c>
      <c r="G438" t="s">
        <v>54</v>
      </c>
      <c r="H438">
        <v>8</v>
      </c>
      <c r="I438">
        <v>36668</v>
      </c>
      <c r="J438">
        <v>0.05</v>
      </c>
    </row>
    <row r="439" spans="1:11" x14ac:dyDescent="0.3">
      <c r="A439" t="s">
        <v>496</v>
      </c>
      <c r="B439" s="1">
        <v>45310</v>
      </c>
      <c r="C439" t="s">
        <v>4</v>
      </c>
      <c r="D439" t="s">
        <v>69</v>
      </c>
      <c r="E439" t="s">
        <v>29</v>
      </c>
      <c r="F439" t="s">
        <v>23</v>
      </c>
      <c r="G439" t="s">
        <v>54</v>
      </c>
      <c r="H439">
        <v>9</v>
      </c>
      <c r="I439">
        <v>14464</v>
      </c>
    </row>
    <row r="440" spans="1:11" x14ac:dyDescent="0.3">
      <c r="A440" t="s">
        <v>497</v>
      </c>
      <c r="B440" s="1">
        <v>45629</v>
      </c>
      <c r="C440" t="s">
        <v>5</v>
      </c>
      <c r="D440" t="s">
        <v>64</v>
      </c>
      <c r="E440" t="s">
        <v>26</v>
      </c>
      <c r="F440" t="s">
        <v>24</v>
      </c>
      <c r="G440" t="s">
        <v>54</v>
      </c>
      <c r="H440">
        <v>9</v>
      </c>
      <c r="I440">
        <v>47320</v>
      </c>
      <c r="J440">
        <v>0.05</v>
      </c>
      <c r="K440">
        <v>17954</v>
      </c>
    </row>
    <row r="441" spans="1:11" x14ac:dyDescent="0.3">
      <c r="A441" t="s">
        <v>498</v>
      </c>
      <c r="B441" s="1">
        <v>45599</v>
      </c>
      <c r="C441" t="s">
        <v>5</v>
      </c>
      <c r="D441" t="s">
        <v>76</v>
      </c>
      <c r="E441" t="s">
        <v>25</v>
      </c>
      <c r="F441" t="s">
        <v>61</v>
      </c>
      <c r="G441" t="s">
        <v>54</v>
      </c>
      <c r="H441">
        <v>8</v>
      </c>
      <c r="I441">
        <v>39858</v>
      </c>
      <c r="J441">
        <v>0.1</v>
      </c>
      <c r="K441">
        <v>4863</v>
      </c>
    </row>
    <row r="442" spans="1:11" x14ac:dyDescent="0.3">
      <c r="A442" t="s">
        <v>499</v>
      </c>
      <c r="B442" s="1">
        <v>45390</v>
      </c>
      <c r="C442" t="s">
        <v>5</v>
      </c>
      <c r="D442" t="s">
        <v>76</v>
      </c>
      <c r="E442" t="s">
        <v>29</v>
      </c>
      <c r="F442" t="s">
        <v>61</v>
      </c>
      <c r="G442" t="s">
        <v>54</v>
      </c>
      <c r="H442">
        <v>7</v>
      </c>
      <c r="I442">
        <v>18091</v>
      </c>
      <c r="J442">
        <v>0.1</v>
      </c>
    </row>
    <row r="443" spans="1:11" x14ac:dyDescent="0.3">
      <c r="A443" t="s">
        <v>500</v>
      </c>
      <c r="B443" s="1">
        <v>45567</v>
      </c>
      <c r="C443" t="s">
        <v>3</v>
      </c>
      <c r="D443" t="s">
        <v>56</v>
      </c>
      <c r="E443" t="s">
        <v>29</v>
      </c>
      <c r="F443" t="s">
        <v>23</v>
      </c>
      <c r="G443" t="s">
        <v>54</v>
      </c>
      <c r="H443">
        <v>6</v>
      </c>
      <c r="I443">
        <v>4005</v>
      </c>
      <c r="K443">
        <v>22765</v>
      </c>
    </row>
    <row r="444" spans="1:11" x14ac:dyDescent="0.3">
      <c r="A444" t="s">
        <v>501</v>
      </c>
      <c r="B444" s="1">
        <v>45437</v>
      </c>
      <c r="C444" t="s">
        <v>4</v>
      </c>
      <c r="D444" t="s">
        <v>53</v>
      </c>
      <c r="E444" t="s">
        <v>25</v>
      </c>
      <c r="F444" t="s">
        <v>50</v>
      </c>
      <c r="G444" t="s">
        <v>51</v>
      </c>
      <c r="H444">
        <v>6</v>
      </c>
      <c r="I444">
        <v>7704</v>
      </c>
      <c r="K444">
        <v>3748</v>
      </c>
    </row>
    <row r="445" spans="1:11" x14ac:dyDescent="0.3">
      <c r="A445" t="s">
        <v>502</v>
      </c>
      <c r="B445" s="1">
        <v>45316</v>
      </c>
      <c r="C445" t="s">
        <v>6</v>
      </c>
      <c r="D445" t="s">
        <v>49</v>
      </c>
      <c r="E445" t="s">
        <v>27</v>
      </c>
      <c r="F445" t="s">
        <v>22</v>
      </c>
      <c r="G445" t="s">
        <v>51</v>
      </c>
      <c r="H445">
        <v>8</v>
      </c>
      <c r="I445">
        <v>25619</v>
      </c>
      <c r="J445">
        <v>0.05</v>
      </c>
      <c r="K445">
        <v>785</v>
      </c>
    </row>
    <row r="446" spans="1:11" x14ac:dyDescent="0.3">
      <c r="A446" t="s">
        <v>503</v>
      </c>
      <c r="B446" s="1">
        <v>45626</v>
      </c>
      <c r="C446" t="s">
        <v>6</v>
      </c>
      <c r="D446" t="s">
        <v>76</v>
      </c>
      <c r="E446" t="s">
        <v>29</v>
      </c>
      <c r="F446" t="s">
        <v>58</v>
      </c>
      <c r="G446" t="s">
        <v>54</v>
      </c>
      <c r="H446">
        <v>4</v>
      </c>
      <c r="I446">
        <v>918</v>
      </c>
      <c r="J446">
        <v>0</v>
      </c>
    </row>
    <row r="447" spans="1:11" x14ac:dyDescent="0.3">
      <c r="A447" t="s">
        <v>504</v>
      </c>
      <c r="B447" s="1">
        <v>45318</v>
      </c>
      <c r="C447" t="s">
        <v>4</v>
      </c>
      <c r="D447" t="s">
        <v>49</v>
      </c>
      <c r="E447" t="s">
        <v>26</v>
      </c>
      <c r="F447" t="s">
        <v>24</v>
      </c>
      <c r="G447" t="s">
        <v>54</v>
      </c>
      <c r="H447">
        <v>2</v>
      </c>
      <c r="I447">
        <v>41050</v>
      </c>
    </row>
    <row r="448" spans="1:11" x14ac:dyDescent="0.3">
      <c r="A448" t="s">
        <v>505</v>
      </c>
      <c r="B448" s="1">
        <v>45424</v>
      </c>
      <c r="C448" t="s">
        <v>3</v>
      </c>
      <c r="D448" t="s">
        <v>76</v>
      </c>
      <c r="E448" t="s">
        <v>27</v>
      </c>
      <c r="F448" t="s">
        <v>50</v>
      </c>
      <c r="G448" t="s">
        <v>51</v>
      </c>
      <c r="H448">
        <v>2</v>
      </c>
      <c r="I448">
        <v>9119</v>
      </c>
      <c r="J448">
        <v>0.05</v>
      </c>
    </row>
    <row r="449" spans="1:11" x14ac:dyDescent="0.3">
      <c r="A449" t="s">
        <v>506</v>
      </c>
      <c r="B449" s="1">
        <v>45573</v>
      </c>
      <c r="C449" t="s">
        <v>5</v>
      </c>
      <c r="D449" t="s">
        <v>49</v>
      </c>
      <c r="E449" t="s">
        <v>26</v>
      </c>
      <c r="F449" t="s">
        <v>58</v>
      </c>
      <c r="G449" t="s">
        <v>54</v>
      </c>
      <c r="H449">
        <v>3</v>
      </c>
      <c r="I449">
        <v>15945</v>
      </c>
      <c r="J449">
        <v>0.1</v>
      </c>
    </row>
    <row r="450" spans="1:11" x14ac:dyDescent="0.3">
      <c r="A450" t="s">
        <v>507</v>
      </c>
      <c r="B450" s="1">
        <v>45328</v>
      </c>
      <c r="C450" t="s">
        <v>3</v>
      </c>
      <c r="D450" t="s">
        <v>69</v>
      </c>
      <c r="E450" t="s">
        <v>28</v>
      </c>
      <c r="F450" t="s">
        <v>58</v>
      </c>
      <c r="G450" t="s">
        <v>54</v>
      </c>
      <c r="H450">
        <v>9</v>
      </c>
      <c r="I450">
        <v>38254</v>
      </c>
    </row>
    <row r="451" spans="1:11" x14ac:dyDescent="0.3">
      <c r="A451" t="s">
        <v>508</v>
      </c>
      <c r="B451" s="1">
        <v>45399</v>
      </c>
      <c r="C451" t="s">
        <v>3</v>
      </c>
      <c r="D451" t="s">
        <v>64</v>
      </c>
      <c r="E451" t="s">
        <v>29</v>
      </c>
      <c r="F451" t="s">
        <v>58</v>
      </c>
      <c r="G451" t="s">
        <v>54</v>
      </c>
      <c r="H451">
        <v>7</v>
      </c>
      <c r="I451">
        <v>26357</v>
      </c>
    </row>
    <row r="452" spans="1:11" x14ac:dyDescent="0.3">
      <c r="A452" t="s">
        <v>509</v>
      </c>
      <c r="B452" s="1">
        <v>45497</v>
      </c>
      <c r="C452" t="s">
        <v>5</v>
      </c>
      <c r="D452" t="s">
        <v>56</v>
      </c>
      <c r="E452" t="s">
        <v>26</v>
      </c>
      <c r="F452" t="s">
        <v>58</v>
      </c>
      <c r="G452" t="s">
        <v>54</v>
      </c>
      <c r="H452">
        <v>10</v>
      </c>
      <c r="I452">
        <v>44196</v>
      </c>
      <c r="J452">
        <v>0.05</v>
      </c>
    </row>
    <row r="453" spans="1:11" x14ac:dyDescent="0.3">
      <c r="A453" t="s">
        <v>510</v>
      </c>
      <c r="B453" s="1">
        <v>45521</v>
      </c>
      <c r="C453" t="s">
        <v>3</v>
      </c>
      <c r="D453" t="s">
        <v>56</v>
      </c>
      <c r="E453" t="s">
        <v>28</v>
      </c>
      <c r="F453" t="s">
        <v>23</v>
      </c>
      <c r="G453" t="s">
        <v>54</v>
      </c>
      <c r="H453">
        <v>10</v>
      </c>
      <c r="I453">
        <v>11629</v>
      </c>
      <c r="J453">
        <v>0.05</v>
      </c>
    </row>
    <row r="454" spans="1:11" x14ac:dyDescent="0.3">
      <c r="A454" t="s">
        <v>511</v>
      </c>
      <c r="B454" s="1">
        <v>45463</v>
      </c>
      <c r="C454" t="s">
        <v>4</v>
      </c>
      <c r="D454" t="s">
        <v>76</v>
      </c>
      <c r="E454" t="s">
        <v>26</v>
      </c>
      <c r="F454" t="s">
        <v>61</v>
      </c>
      <c r="G454" t="s">
        <v>54</v>
      </c>
      <c r="H454">
        <v>7</v>
      </c>
      <c r="I454">
        <v>48016</v>
      </c>
      <c r="J454">
        <v>0</v>
      </c>
      <c r="K454">
        <v>8644</v>
      </c>
    </row>
    <row r="455" spans="1:11" x14ac:dyDescent="0.3">
      <c r="A455" t="s">
        <v>512</v>
      </c>
      <c r="B455" s="1">
        <v>45569</v>
      </c>
      <c r="C455" t="s">
        <v>6</v>
      </c>
      <c r="D455" t="s">
        <v>64</v>
      </c>
      <c r="E455" t="s">
        <v>26</v>
      </c>
      <c r="F455" t="s">
        <v>23</v>
      </c>
      <c r="G455" t="s">
        <v>54</v>
      </c>
      <c r="H455">
        <v>8</v>
      </c>
      <c r="I455">
        <v>28804</v>
      </c>
    </row>
    <row r="456" spans="1:11" x14ac:dyDescent="0.3">
      <c r="A456" t="s">
        <v>513</v>
      </c>
      <c r="B456" s="1">
        <v>45623</v>
      </c>
      <c r="C456" t="s">
        <v>5</v>
      </c>
      <c r="D456" t="s">
        <v>49</v>
      </c>
      <c r="E456" t="s">
        <v>26</v>
      </c>
      <c r="F456" t="s">
        <v>23</v>
      </c>
      <c r="G456" t="s">
        <v>54</v>
      </c>
      <c r="H456">
        <v>7</v>
      </c>
      <c r="I456">
        <v>48561</v>
      </c>
      <c r="J456">
        <v>0</v>
      </c>
      <c r="K456">
        <v>24680</v>
      </c>
    </row>
    <row r="457" spans="1:11" x14ac:dyDescent="0.3">
      <c r="A457" t="s">
        <v>514</v>
      </c>
      <c r="B457" s="1">
        <v>45516</v>
      </c>
      <c r="C457" t="s">
        <v>3</v>
      </c>
      <c r="D457" t="s">
        <v>64</v>
      </c>
      <c r="E457" t="s">
        <v>26</v>
      </c>
      <c r="F457" t="s">
        <v>23</v>
      </c>
      <c r="G457" t="s">
        <v>54</v>
      </c>
      <c r="H457">
        <v>2</v>
      </c>
      <c r="I457">
        <v>31530</v>
      </c>
      <c r="J457">
        <v>0.05</v>
      </c>
    </row>
    <row r="458" spans="1:11" x14ac:dyDescent="0.3">
      <c r="A458" t="s">
        <v>515</v>
      </c>
      <c r="B458" s="1">
        <v>45459</v>
      </c>
      <c r="C458" t="s">
        <v>5</v>
      </c>
      <c r="D458" t="s">
        <v>76</v>
      </c>
      <c r="E458" t="s">
        <v>25</v>
      </c>
      <c r="F458" t="s">
        <v>23</v>
      </c>
      <c r="G458" t="s">
        <v>54</v>
      </c>
      <c r="H458">
        <v>6</v>
      </c>
      <c r="I458">
        <v>38837</v>
      </c>
    </row>
    <row r="459" spans="1:11" x14ac:dyDescent="0.3">
      <c r="A459" t="s">
        <v>516</v>
      </c>
      <c r="B459" s="1">
        <v>45377</v>
      </c>
      <c r="C459" t="s">
        <v>5</v>
      </c>
      <c r="D459" t="s">
        <v>49</v>
      </c>
      <c r="E459" t="s">
        <v>25</v>
      </c>
      <c r="F459" t="s">
        <v>50</v>
      </c>
      <c r="G459" t="s">
        <v>51</v>
      </c>
      <c r="H459">
        <v>5</v>
      </c>
      <c r="I459">
        <v>7712</v>
      </c>
      <c r="J459">
        <v>0.1</v>
      </c>
    </row>
    <row r="460" spans="1:11" x14ac:dyDescent="0.3">
      <c r="A460" t="s">
        <v>517</v>
      </c>
      <c r="B460" s="1">
        <v>45532</v>
      </c>
      <c r="C460" t="s">
        <v>3</v>
      </c>
      <c r="D460" t="s">
        <v>53</v>
      </c>
      <c r="E460" t="s">
        <v>29</v>
      </c>
      <c r="F460" t="s">
        <v>22</v>
      </c>
      <c r="G460" t="s">
        <v>51</v>
      </c>
      <c r="H460">
        <v>9</v>
      </c>
      <c r="I460">
        <v>41752</v>
      </c>
      <c r="J460">
        <v>0</v>
      </c>
    </row>
    <row r="461" spans="1:11" x14ac:dyDescent="0.3">
      <c r="A461" t="s">
        <v>518</v>
      </c>
      <c r="B461" s="1">
        <v>45592</v>
      </c>
      <c r="C461" t="s">
        <v>5</v>
      </c>
      <c r="D461" t="s">
        <v>49</v>
      </c>
      <c r="E461" t="s">
        <v>27</v>
      </c>
      <c r="F461" t="s">
        <v>22</v>
      </c>
      <c r="G461" t="s">
        <v>51</v>
      </c>
      <c r="H461">
        <v>8</v>
      </c>
      <c r="I461">
        <v>45206</v>
      </c>
      <c r="J461">
        <v>0.05</v>
      </c>
      <c r="K461">
        <v>26119</v>
      </c>
    </row>
    <row r="462" spans="1:11" x14ac:dyDescent="0.3">
      <c r="A462" t="s">
        <v>519</v>
      </c>
      <c r="B462" s="1">
        <v>45294</v>
      </c>
      <c r="C462" t="s">
        <v>3</v>
      </c>
      <c r="D462" t="s">
        <v>49</v>
      </c>
      <c r="E462" t="s">
        <v>28</v>
      </c>
      <c r="F462" t="s">
        <v>22</v>
      </c>
      <c r="G462" t="s">
        <v>51</v>
      </c>
      <c r="H462">
        <v>9</v>
      </c>
      <c r="I462">
        <v>6523</v>
      </c>
      <c r="J462">
        <v>0.1</v>
      </c>
    </row>
    <row r="463" spans="1:11" x14ac:dyDescent="0.3">
      <c r="A463" t="s">
        <v>520</v>
      </c>
      <c r="B463" s="1">
        <v>45520</v>
      </c>
      <c r="C463" t="s">
        <v>6</v>
      </c>
      <c r="D463" t="s">
        <v>56</v>
      </c>
      <c r="E463" t="s">
        <v>27</v>
      </c>
      <c r="F463" t="s">
        <v>22</v>
      </c>
      <c r="G463" t="s">
        <v>51</v>
      </c>
      <c r="H463">
        <v>8</v>
      </c>
      <c r="I463">
        <v>30450</v>
      </c>
      <c r="J463">
        <v>0.05</v>
      </c>
      <c r="K463">
        <v>24771</v>
      </c>
    </row>
    <row r="464" spans="1:11" x14ac:dyDescent="0.3">
      <c r="A464" t="s">
        <v>521</v>
      </c>
      <c r="B464" s="1">
        <v>45430</v>
      </c>
      <c r="C464" t="s">
        <v>5</v>
      </c>
      <c r="D464" t="s">
        <v>69</v>
      </c>
      <c r="E464" t="s">
        <v>27</v>
      </c>
      <c r="F464" t="s">
        <v>50</v>
      </c>
      <c r="G464" t="s">
        <v>51</v>
      </c>
      <c r="H464">
        <v>2</v>
      </c>
      <c r="I464">
        <v>46475</v>
      </c>
      <c r="J464">
        <v>0.1</v>
      </c>
    </row>
    <row r="465" spans="1:11" x14ac:dyDescent="0.3">
      <c r="A465" t="s">
        <v>522</v>
      </c>
      <c r="B465" s="1">
        <v>45513</v>
      </c>
      <c r="C465" t="s">
        <v>5</v>
      </c>
      <c r="D465" t="s">
        <v>69</v>
      </c>
      <c r="E465" t="s">
        <v>27</v>
      </c>
      <c r="F465" t="s">
        <v>58</v>
      </c>
      <c r="G465" t="s">
        <v>54</v>
      </c>
      <c r="H465">
        <v>3</v>
      </c>
      <c r="I465">
        <v>7799</v>
      </c>
      <c r="J465">
        <v>0.1</v>
      </c>
      <c r="K465">
        <v>17480</v>
      </c>
    </row>
    <row r="466" spans="1:11" x14ac:dyDescent="0.3">
      <c r="A466" t="s">
        <v>523</v>
      </c>
      <c r="B466" s="1">
        <v>45591</v>
      </c>
      <c r="C466" t="s">
        <v>6</v>
      </c>
      <c r="D466" t="s">
        <v>64</v>
      </c>
      <c r="E466" t="s">
        <v>26</v>
      </c>
      <c r="F466" t="s">
        <v>24</v>
      </c>
      <c r="G466" t="s">
        <v>54</v>
      </c>
      <c r="H466">
        <v>5</v>
      </c>
      <c r="I466">
        <v>1122</v>
      </c>
      <c r="J466">
        <v>0</v>
      </c>
    </row>
    <row r="467" spans="1:11" x14ac:dyDescent="0.3">
      <c r="A467" t="s">
        <v>524</v>
      </c>
      <c r="B467" s="1">
        <v>45294</v>
      </c>
      <c r="C467" t="s">
        <v>5</v>
      </c>
      <c r="D467" t="s">
        <v>69</v>
      </c>
      <c r="E467" t="s">
        <v>28</v>
      </c>
      <c r="F467" t="s">
        <v>61</v>
      </c>
      <c r="G467" t="s">
        <v>54</v>
      </c>
      <c r="H467">
        <v>5</v>
      </c>
      <c r="I467">
        <v>48459</v>
      </c>
      <c r="J467">
        <v>0.05</v>
      </c>
    </row>
    <row r="468" spans="1:11" x14ac:dyDescent="0.3">
      <c r="A468" t="s">
        <v>525</v>
      </c>
      <c r="B468" s="1">
        <v>45351</v>
      </c>
      <c r="C468" t="s">
        <v>3</v>
      </c>
      <c r="D468" t="s">
        <v>69</v>
      </c>
      <c r="E468" t="s">
        <v>26</v>
      </c>
      <c r="F468" t="s">
        <v>58</v>
      </c>
      <c r="G468" t="s">
        <v>54</v>
      </c>
      <c r="H468">
        <v>4</v>
      </c>
      <c r="I468">
        <v>47867</v>
      </c>
      <c r="J468">
        <v>0.05</v>
      </c>
    </row>
    <row r="469" spans="1:11" x14ac:dyDescent="0.3">
      <c r="A469" t="s">
        <v>526</v>
      </c>
      <c r="B469" s="1">
        <v>45566</v>
      </c>
      <c r="C469" t="s">
        <v>6</v>
      </c>
      <c r="D469" t="s">
        <v>49</v>
      </c>
      <c r="E469" t="s">
        <v>26</v>
      </c>
      <c r="F469" t="s">
        <v>23</v>
      </c>
      <c r="G469" t="s">
        <v>54</v>
      </c>
      <c r="H469">
        <v>10</v>
      </c>
      <c r="I469">
        <v>45363</v>
      </c>
      <c r="J469">
        <v>0.05</v>
      </c>
    </row>
    <row r="470" spans="1:11" x14ac:dyDescent="0.3">
      <c r="A470" t="s">
        <v>527</v>
      </c>
      <c r="B470" s="1">
        <v>45498</v>
      </c>
      <c r="C470" t="s">
        <v>6</v>
      </c>
      <c r="D470" t="s">
        <v>76</v>
      </c>
      <c r="E470" t="s">
        <v>25</v>
      </c>
      <c r="F470" t="s">
        <v>58</v>
      </c>
      <c r="G470" t="s">
        <v>54</v>
      </c>
      <c r="H470">
        <v>8</v>
      </c>
      <c r="I470">
        <v>6474</v>
      </c>
      <c r="K470">
        <v>6595</v>
      </c>
    </row>
    <row r="471" spans="1:11" x14ac:dyDescent="0.3">
      <c r="A471" t="s">
        <v>528</v>
      </c>
      <c r="B471" s="1">
        <v>45653</v>
      </c>
      <c r="C471" t="s">
        <v>6</v>
      </c>
      <c r="D471" t="s">
        <v>69</v>
      </c>
      <c r="E471" t="s">
        <v>28</v>
      </c>
      <c r="F471" t="s">
        <v>23</v>
      </c>
      <c r="G471" t="s">
        <v>54</v>
      </c>
      <c r="H471">
        <v>2</v>
      </c>
      <c r="I471">
        <v>15799</v>
      </c>
    </row>
    <row r="472" spans="1:11" x14ac:dyDescent="0.3">
      <c r="A472" t="s">
        <v>529</v>
      </c>
      <c r="B472" s="1">
        <v>45591</v>
      </c>
      <c r="C472" t="s">
        <v>6</v>
      </c>
      <c r="D472" t="s">
        <v>53</v>
      </c>
      <c r="E472" t="s">
        <v>27</v>
      </c>
      <c r="F472" t="s">
        <v>61</v>
      </c>
      <c r="G472" t="s">
        <v>54</v>
      </c>
      <c r="H472">
        <v>2</v>
      </c>
      <c r="I472">
        <v>18072</v>
      </c>
      <c r="J472">
        <v>0.05</v>
      </c>
    </row>
    <row r="473" spans="1:11" x14ac:dyDescent="0.3">
      <c r="A473" t="s">
        <v>530</v>
      </c>
      <c r="B473" s="1">
        <v>45423</v>
      </c>
      <c r="C473" t="s">
        <v>6</v>
      </c>
      <c r="D473" t="s">
        <v>64</v>
      </c>
      <c r="E473" t="s">
        <v>25</v>
      </c>
      <c r="F473" t="s">
        <v>58</v>
      </c>
      <c r="G473" t="s">
        <v>54</v>
      </c>
      <c r="H473">
        <v>8</v>
      </c>
      <c r="I473">
        <v>36185</v>
      </c>
      <c r="J473">
        <v>0.1</v>
      </c>
      <c r="K473">
        <v>13840</v>
      </c>
    </row>
    <row r="474" spans="1:11" x14ac:dyDescent="0.3">
      <c r="A474" t="s">
        <v>531</v>
      </c>
      <c r="B474" s="1">
        <v>45643</v>
      </c>
      <c r="C474" t="s">
        <v>5</v>
      </c>
      <c r="D474" t="s">
        <v>53</v>
      </c>
      <c r="E474" t="s">
        <v>29</v>
      </c>
      <c r="F474" t="s">
        <v>23</v>
      </c>
      <c r="G474" t="s">
        <v>54</v>
      </c>
      <c r="H474">
        <v>3</v>
      </c>
      <c r="I474">
        <v>44091</v>
      </c>
      <c r="J474">
        <v>0</v>
      </c>
      <c r="K474">
        <v>25640</v>
      </c>
    </row>
    <row r="475" spans="1:11" x14ac:dyDescent="0.3">
      <c r="A475" t="s">
        <v>532</v>
      </c>
      <c r="B475" s="1">
        <v>45402</v>
      </c>
      <c r="C475" t="s">
        <v>3</v>
      </c>
      <c r="D475" t="s">
        <v>53</v>
      </c>
      <c r="E475" t="s">
        <v>27</v>
      </c>
      <c r="F475" t="s">
        <v>58</v>
      </c>
      <c r="G475" t="s">
        <v>54</v>
      </c>
      <c r="H475">
        <v>4</v>
      </c>
      <c r="I475">
        <v>31279</v>
      </c>
      <c r="J475">
        <v>0</v>
      </c>
    </row>
    <row r="476" spans="1:11" x14ac:dyDescent="0.3">
      <c r="A476" t="s">
        <v>533</v>
      </c>
      <c r="B476" s="1">
        <v>45636</v>
      </c>
      <c r="C476" t="s">
        <v>3</v>
      </c>
      <c r="D476" t="s">
        <v>64</v>
      </c>
      <c r="E476" t="s">
        <v>26</v>
      </c>
      <c r="F476" t="s">
        <v>24</v>
      </c>
      <c r="G476" t="s">
        <v>54</v>
      </c>
      <c r="H476">
        <v>6</v>
      </c>
      <c r="I476">
        <v>38494</v>
      </c>
      <c r="J476">
        <v>0</v>
      </c>
    </row>
    <row r="477" spans="1:11" x14ac:dyDescent="0.3">
      <c r="A477" t="s">
        <v>534</v>
      </c>
      <c r="B477" s="1">
        <v>45527</v>
      </c>
      <c r="C477" t="s">
        <v>6</v>
      </c>
      <c r="D477" t="s">
        <v>69</v>
      </c>
      <c r="E477" t="s">
        <v>25</v>
      </c>
      <c r="F477" t="s">
        <v>24</v>
      </c>
      <c r="G477" t="s">
        <v>54</v>
      </c>
      <c r="H477">
        <v>6</v>
      </c>
      <c r="I477">
        <v>908</v>
      </c>
      <c r="K477">
        <v>2789</v>
      </c>
    </row>
    <row r="478" spans="1:11" x14ac:dyDescent="0.3">
      <c r="A478" t="s">
        <v>535</v>
      </c>
      <c r="B478" s="1">
        <v>45527</v>
      </c>
      <c r="C478" t="s">
        <v>6</v>
      </c>
      <c r="D478" t="s">
        <v>49</v>
      </c>
      <c r="E478" t="s">
        <v>28</v>
      </c>
      <c r="F478" t="s">
        <v>58</v>
      </c>
      <c r="G478" t="s">
        <v>54</v>
      </c>
      <c r="H478">
        <v>5</v>
      </c>
      <c r="I478">
        <v>12938</v>
      </c>
      <c r="J478">
        <v>0</v>
      </c>
      <c r="K478">
        <v>6911</v>
      </c>
    </row>
    <row r="479" spans="1:11" x14ac:dyDescent="0.3">
      <c r="A479" t="s">
        <v>536</v>
      </c>
      <c r="B479" s="1">
        <v>45334</v>
      </c>
      <c r="C479" t="s">
        <v>6</v>
      </c>
      <c r="D479" t="s">
        <v>64</v>
      </c>
      <c r="E479" t="s">
        <v>28</v>
      </c>
      <c r="F479" t="s">
        <v>58</v>
      </c>
      <c r="G479" t="s">
        <v>54</v>
      </c>
      <c r="H479">
        <v>10</v>
      </c>
      <c r="I479">
        <v>35188</v>
      </c>
      <c r="J479">
        <v>0</v>
      </c>
    </row>
    <row r="480" spans="1:11" x14ac:dyDescent="0.3">
      <c r="A480" t="s">
        <v>537</v>
      </c>
      <c r="B480" s="1">
        <v>45370</v>
      </c>
      <c r="C480" t="s">
        <v>6</v>
      </c>
      <c r="D480" t="s">
        <v>53</v>
      </c>
      <c r="E480" t="s">
        <v>26</v>
      </c>
      <c r="F480" t="s">
        <v>61</v>
      </c>
      <c r="G480" t="s">
        <v>54</v>
      </c>
      <c r="H480">
        <v>1</v>
      </c>
      <c r="I480">
        <v>36441</v>
      </c>
    </row>
    <row r="481" spans="1:11" x14ac:dyDescent="0.3">
      <c r="A481" t="s">
        <v>538</v>
      </c>
      <c r="B481" s="1">
        <v>45415</v>
      </c>
      <c r="C481" t="s">
        <v>3</v>
      </c>
      <c r="D481" t="s">
        <v>49</v>
      </c>
      <c r="E481" t="s">
        <v>28</v>
      </c>
      <c r="F481" t="s">
        <v>61</v>
      </c>
      <c r="G481" t="s">
        <v>54</v>
      </c>
      <c r="H481">
        <v>4</v>
      </c>
      <c r="I481">
        <v>7440</v>
      </c>
      <c r="J481">
        <v>0.05</v>
      </c>
      <c r="K481">
        <v>19989</v>
      </c>
    </row>
    <row r="482" spans="1:11" x14ac:dyDescent="0.3">
      <c r="A482" t="s">
        <v>539</v>
      </c>
      <c r="B482" s="1">
        <v>45528</v>
      </c>
      <c r="C482" t="s">
        <v>6</v>
      </c>
      <c r="D482" t="s">
        <v>76</v>
      </c>
      <c r="E482" t="s">
        <v>28</v>
      </c>
      <c r="F482" t="s">
        <v>23</v>
      </c>
      <c r="G482" t="s">
        <v>54</v>
      </c>
      <c r="H482">
        <v>8</v>
      </c>
      <c r="I482">
        <v>44600</v>
      </c>
      <c r="J482">
        <v>0.05</v>
      </c>
      <c r="K482">
        <v>13428</v>
      </c>
    </row>
    <row r="483" spans="1:11" x14ac:dyDescent="0.3">
      <c r="A483" t="s">
        <v>540</v>
      </c>
      <c r="B483" s="1">
        <v>45449</v>
      </c>
      <c r="C483" t="s">
        <v>3</v>
      </c>
      <c r="D483" t="s">
        <v>76</v>
      </c>
      <c r="E483" t="s">
        <v>28</v>
      </c>
      <c r="F483" t="s">
        <v>23</v>
      </c>
      <c r="G483" t="s">
        <v>54</v>
      </c>
      <c r="H483">
        <v>6</v>
      </c>
      <c r="I483">
        <v>30770</v>
      </c>
      <c r="J483">
        <v>0.1</v>
      </c>
    </row>
    <row r="484" spans="1:11" x14ac:dyDescent="0.3">
      <c r="A484" t="s">
        <v>541</v>
      </c>
      <c r="B484" s="1">
        <v>45373</v>
      </c>
      <c r="C484" t="s">
        <v>5</v>
      </c>
      <c r="D484" t="s">
        <v>69</v>
      </c>
      <c r="E484" t="s">
        <v>25</v>
      </c>
      <c r="F484" t="s">
        <v>24</v>
      </c>
      <c r="G484" t="s">
        <v>54</v>
      </c>
      <c r="H484">
        <v>5</v>
      </c>
      <c r="I484">
        <v>2147</v>
      </c>
      <c r="J484">
        <v>0.05</v>
      </c>
    </row>
    <row r="485" spans="1:11" x14ac:dyDescent="0.3">
      <c r="A485" t="s">
        <v>542</v>
      </c>
      <c r="B485" s="1">
        <v>45435</v>
      </c>
      <c r="C485" t="s">
        <v>4</v>
      </c>
      <c r="D485" t="s">
        <v>49</v>
      </c>
      <c r="E485" t="s">
        <v>29</v>
      </c>
      <c r="F485" t="s">
        <v>22</v>
      </c>
      <c r="G485" t="s">
        <v>51</v>
      </c>
      <c r="H485">
        <v>3</v>
      </c>
      <c r="I485">
        <v>34704</v>
      </c>
      <c r="J485">
        <v>0</v>
      </c>
    </row>
    <row r="486" spans="1:11" x14ac:dyDescent="0.3">
      <c r="A486" t="s">
        <v>543</v>
      </c>
      <c r="B486" s="1">
        <v>45647</v>
      </c>
      <c r="C486" t="s">
        <v>5</v>
      </c>
      <c r="D486" t="s">
        <v>53</v>
      </c>
      <c r="E486" t="s">
        <v>28</v>
      </c>
      <c r="F486" t="s">
        <v>23</v>
      </c>
      <c r="G486" t="s">
        <v>54</v>
      </c>
      <c r="H486">
        <v>1</v>
      </c>
      <c r="I486">
        <v>14578</v>
      </c>
      <c r="J486">
        <v>0.1</v>
      </c>
    </row>
    <row r="487" spans="1:11" x14ac:dyDescent="0.3">
      <c r="A487" t="s">
        <v>544</v>
      </c>
      <c r="B487" s="1">
        <v>45461</v>
      </c>
      <c r="C487" t="s">
        <v>4</v>
      </c>
      <c r="D487" t="s">
        <v>69</v>
      </c>
      <c r="E487" t="s">
        <v>25</v>
      </c>
      <c r="F487" t="s">
        <v>58</v>
      </c>
      <c r="G487" t="s">
        <v>54</v>
      </c>
      <c r="H487">
        <v>1</v>
      </c>
      <c r="I487">
        <v>45021</v>
      </c>
      <c r="J487">
        <v>0.05</v>
      </c>
      <c r="K487">
        <v>8286</v>
      </c>
    </row>
    <row r="488" spans="1:11" x14ac:dyDescent="0.3">
      <c r="A488" t="s">
        <v>545</v>
      </c>
      <c r="B488" s="1">
        <v>45392</v>
      </c>
      <c r="C488" t="s">
        <v>4</v>
      </c>
      <c r="D488" t="s">
        <v>49</v>
      </c>
      <c r="E488" t="s">
        <v>28</v>
      </c>
      <c r="F488" t="s">
        <v>24</v>
      </c>
      <c r="G488" t="s">
        <v>54</v>
      </c>
      <c r="H488">
        <v>8</v>
      </c>
      <c r="I488">
        <v>2888</v>
      </c>
      <c r="K488">
        <v>26508</v>
      </c>
    </row>
    <row r="489" spans="1:11" x14ac:dyDescent="0.3">
      <c r="A489" t="s">
        <v>546</v>
      </c>
      <c r="B489" s="1">
        <v>45377</v>
      </c>
      <c r="C489" t="s">
        <v>6</v>
      </c>
      <c r="D489" t="s">
        <v>56</v>
      </c>
      <c r="E489" t="s">
        <v>25</v>
      </c>
      <c r="F489" t="s">
        <v>23</v>
      </c>
      <c r="G489" t="s">
        <v>54</v>
      </c>
      <c r="H489">
        <v>1</v>
      </c>
      <c r="I489">
        <v>22410</v>
      </c>
      <c r="J489">
        <v>0.1</v>
      </c>
    </row>
    <row r="490" spans="1:11" x14ac:dyDescent="0.3">
      <c r="A490" t="s">
        <v>547</v>
      </c>
      <c r="B490" s="1">
        <v>45468</v>
      </c>
      <c r="C490" t="s">
        <v>6</v>
      </c>
      <c r="D490" t="s">
        <v>69</v>
      </c>
      <c r="E490" t="s">
        <v>25</v>
      </c>
      <c r="F490" t="s">
        <v>23</v>
      </c>
      <c r="G490" t="s">
        <v>54</v>
      </c>
      <c r="H490">
        <v>9</v>
      </c>
      <c r="I490">
        <v>8777</v>
      </c>
      <c r="J490">
        <v>0</v>
      </c>
    </row>
    <row r="491" spans="1:11" x14ac:dyDescent="0.3">
      <c r="A491" t="s">
        <v>548</v>
      </c>
      <c r="B491" s="1">
        <v>45504</v>
      </c>
      <c r="C491" t="s">
        <v>3</v>
      </c>
      <c r="D491" t="s">
        <v>76</v>
      </c>
      <c r="E491" t="s">
        <v>28</v>
      </c>
      <c r="F491" t="s">
        <v>24</v>
      </c>
      <c r="G491" t="s">
        <v>54</v>
      </c>
      <c r="H491">
        <v>5</v>
      </c>
      <c r="I491">
        <v>13506</v>
      </c>
    </row>
    <row r="492" spans="1:11" x14ac:dyDescent="0.3">
      <c r="A492" t="s">
        <v>549</v>
      </c>
      <c r="B492" s="1">
        <v>45493</v>
      </c>
      <c r="C492" t="s">
        <v>4</v>
      </c>
      <c r="D492" t="s">
        <v>49</v>
      </c>
      <c r="E492" t="s">
        <v>27</v>
      </c>
      <c r="F492" t="s">
        <v>22</v>
      </c>
      <c r="G492" t="s">
        <v>51</v>
      </c>
      <c r="H492">
        <v>2</v>
      </c>
      <c r="I492">
        <v>15272</v>
      </c>
    </row>
    <row r="493" spans="1:11" x14ac:dyDescent="0.3">
      <c r="A493" t="s">
        <v>550</v>
      </c>
      <c r="B493" s="1">
        <v>45302</v>
      </c>
      <c r="C493" t="s">
        <v>5</v>
      </c>
      <c r="D493" t="s">
        <v>69</v>
      </c>
      <c r="E493" t="s">
        <v>28</v>
      </c>
      <c r="F493" t="s">
        <v>23</v>
      </c>
      <c r="G493" t="s">
        <v>54</v>
      </c>
      <c r="H493">
        <v>3</v>
      </c>
      <c r="I493">
        <v>4046</v>
      </c>
      <c r="J493">
        <v>0.1</v>
      </c>
    </row>
    <row r="494" spans="1:11" x14ac:dyDescent="0.3">
      <c r="A494" t="s">
        <v>551</v>
      </c>
      <c r="B494" s="1">
        <v>45496</v>
      </c>
      <c r="C494" t="s">
        <v>4</v>
      </c>
      <c r="D494" t="s">
        <v>64</v>
      </c>
      <c r="E494" t="s">
        <v>26</v>
      </c>
      <c r="F494" t="s">
        <v>50</v>
      </c>
      <c r="G494" t="s">
        <v>51</v>
      </c>
      <c r="H494">
        <v>9</v>
      </c>
      <c r="I494">
        <v>11369</v>
      </c>
      <c r="J494">
        <v>0.1</v>
      </c>
      <c r="K494">
        <v>11607</v>
      </c>
    </row>
    <row r="495" spans="1:11" x14ac:dyDescent="0.3">
      <c r="A495" t="s">
        <v>552</v>
      </c>
      <c r="B495" s="1">
        <v>45312</v>
      </c>
      <c r="C495" t="s">
        <v>6</v>
      </c>
      <c r="D495" t="s">
        <v>76</v>
      </c>
      <c r="E495" t="s">
        <v>28</v>
      </c>
      <c r="F495" t="s">
        <v>61</v>
      </c>
      <c r="G495" t="s">
        <v>54</v>
      </c>
      <c r="H495">
        <v>5</v>
      </c>
      <c r="I495">
        <v>22985</v>
      </c>
      <c r="J495">
        <v>0.1</v>
      </c>
    </row>
    <row r="496" spans="1:11" x14ac:dyDescent="0.3">
      <c r="A496" t="s">
        <v>553</v>
      </c>
      <c r="B496" s="1">
        <v>45430</v>
      </c>
      <c r="C496" t="s">
        <v>3</v>
      </c>
      <c r="D496" t="s">
        <v>56</v>
      </c>
      <c r="E496" t="s">
        <v>27</v>
      </c>
      <c r="F496" t="s">
        <v>50</v>
      </c>
      <c r="G496" t="s">
        <v>51</v>
      </c>
      <c r="H496">
        <v>7</v>
      </c>
      <c r="I496">
        <v>39453</v>
      </c>
      <c r="J496">
        <v>0.05</v>
      </c>
    </row>
    <row r="497" spans="1:11" x14ac:dyDescent="0.3">
      <c r="A497" t="s">
        <v>554</v>
      </c>
      <c r="B497" s="1">
        <v>45522</v>
      </c>
      <c r="C497" t="s">
        <v>6</v>
      </c>
      <c r="D497" t="s">
        <v>49</v>
      </c>
      <c r="E497" t="s">
        <v>27</v>
      </c>
      <c r="F497" t="s">
        <v>24</v>
      </c>
      <c r="G497" t="s">
        <v>54</v>
      </c>
      <c r="H497">
        <v>7</v>
      </c>
      <c r="I497">
        <v>5650</v>
      </c>
      <c r="J497">
        <v>0.05</v>
      </c>
      <c r="K497">
        <v>9979</v>
      </c>
    </row>
    <row r="498" spans="1:11" x14ac:dyDescent="0.3">
      <c r="A498" t="s">
        <v>555</v>
      </c>
      <c r="B498" s="1">
        <v>45557</v>
      </c>
      <c r="C498" t="s">
        <v>5</v>
      </c>
      <c r="D498" t="s">
        <v>69</v>
      </c>
      <c r="E498" t="s">
        <v>26</v>
      </c>
      <c r="F498" t="s">
        <v>24</v>
      </c>
      <c r="G498" t="s">
        <v>54</v>
      </c>
      <c r="H498">
        <v>2</v>
      </c>
      <c r="I498">
        <v>8023</v>
      </c>
      <c r="J498">
        <v>0</v>
      </c>
    </row>
    <row r="499" spans="1:11" x14ac:dyDescent="0.3">
      <c r="A499" t="s">
        <v>556</v>
      </c>
      <c r="B499" s="1">
        <v>45393</v>
      </c>
      <c r="C499" t="s">
        <v>3</v>
      </c>
      <c r="D499" t="s">
        <v>76</v>
      </c>
      <c r="E499" t="s">
        <v>25</v>
      </c>
      <c r="F499" t="s">
        <v>58</v>
      </c>
      <c r="G499" t="s">
        <v>54</v>
      </c>
      <c r="H499">
        <v>9</v>
      </c>
      <c r="I499">
        <v>28939</v>
      </c>
      <c r="J499">
        <v>0.1</v>
      </c>
    </row>
    <row r="500" spans="1:11" x14ac:dyDescent="0.3">
      <c r="A500" t="s">
        <v>557</v>
      </c>
      <c r="B500" s="1">
        <v>45367</v>
      </c>
      <c r="C500" t="s">
        <v>5</v>
      </c>
      <c r="D500" t="s">
        <v>49</v>
      </c>
      <c r="E500" t="s">
        <v>26</v>
      </c>
      <c r="F500" t="s">
        <v>50</v>
      </c>
      <c r="G500" t="s">
        <v>51</v>
      </c>
      <c r="H500">
        <v>4</v>
      </c>
      <c r="I500">
        <v>4165</v>
      </c>
      <c r="J500">
        <v>0</v>
      </c>
      <c r="K500">
        <v>28412</v>
      </c>
    </row>
    <row r="501" spans="1:11" x14ac:dyDescent="0.3">
      <c r="A501" t="s">
        <v>558</v>
      </c>
      <c r="B501" s="1">
        <v>45362</v>
      </c>
      <c r="C501" t="s">
        <v>6</v>
      </c>
      <c r="D501" t="s">
        <v>64</v>
      </c>
      <c r="E501" t="s">
        <v>25</v>
      </c>
      <c r="F501" t="s">
        <v>22</v>
      </c>
      <c r="G501" t="s">
        <v>51</v>
      </c>
      <c r="H501">
        <v>10</v>
      </c>
      <c r="I501">
        <v>44880</v>
      </c>
      <c r="J501">
        <v>0</v>
      </c>
    </row>
    <row r="502" spans="1:11" x14ac:dyDescent="0.3">
      <c r="A502" t="s">
        <v>559</v>
      </c>
      <c r="B502" s="1">
        <v>45557</v>
      </c>
      <c r="C502" t="s">
        <v>3</v>
      </c>
      <c r="D502" t="s">
        <v>76</v>
      </c>
      <c r="E502" t="s">
        <v>29</v>
      </c>
      <c r="F502" t="s">
        <v>50</v>
      </c>
      <c r="G502" t="s">
        <v>51</v>
      </c>
      <c r="H502">
        <v>4</v>
      </c>
      <c r="I502">
        <v>37965</v>
      </c>
      <c r="J502">
        <v>0.1</v>
      </c>
    </row>
    <row r="503" spans="1:11" x14ac:dyDescent="0.3">
      <c r="A503" t="s">
        <v>560</v>
      </c>
      <c r="B503" s="1">
        <v>45635</v>
      </c>
      <c r="C503" t="s">
        <v>4</v>
      </c>
      <c r="D503" t="s">
        <v>53</v>
      </c>
      <c r="E503" t="s">
        <v>26</v>
      </c>
      <c r="F503" t="s">
        <v>61</v>
      </c>
      <c r="G503" t="s">
        <v>54</v>
      </c>
      <c r="H503">
        <v>4</v>
      </c>
      <c r="I503">
        <v>17400</v>
      </c>
      <c r="J503">
        <v>0</v>
      </c>
    </row>
    <row r="504" spans="1:11" x14ac:dyDescent="0.3">
      <c r="A504" t="s">
        <v>561</v>
      </c>
      <c r="B504" s="1">
        <v>45417</v>
      </c>
      <c r="C504" t="s">
        <v>3</v>
      </c>
      <c r="D504" t="s">
        <v>69</v>
      </c>
      <c r="E504" t="s">
        <v>26</v>
      </c>
      <c r="F504" t="s">
        <v>24</v>
      </c>
      <c r="G504" t="s">
        <v>54</v>
      </c>
      <c r="H504">
        <v>9</v>
      </c>
      <c r="I504">
        <v>30111</v>
      </c>
      <c r="K504">
        <v>6984</v>
      </c>
    </row>
    <row r="505" spans="1:11" x14ac:dyDescent="0.3">
      <c r="A505" t="s">
        <v>562</v>
      </c>
      <c r="B505" s="1">
        <v>45371</v>
      </c>
      <c r="C505" t="s">
        <v>4</v>
      </c>
      <c r="D505" t="s">
        <v>64</v>
      </c>
      <c r="E505" t="s">
        <v>25</v>
      </c>
      <c r="F505" t="s">
        <v>23</v>
      </c>
      <c r="G505" t="s">
        <v>54</v>
      </c>
      <c r="H505">
        <v>3</v>
      </c>
      <c r="I505">
        <v>28414</v>
      </c>
      <c r="J505">
        <v>0.1</v>
      </c>
      <c r="K505">
        <v>19285</v>
      </c>
    </row>
    <row r="506" spans="1:11" x14ac:dyDescent="0.3">
      <c r="A506" t="s">
        <v>563</v>
      </c>
      <c r="B506" s="1">
        <v>45614</v>
      </c>
      <c r="C506" t="s">
        <v>3</v>
      </c>
      <c r="D506" t="s">
        <v>56</v>
      </c>
      <c r="E506" t="s">
        <v>27</v>
      </c>
      <c r="F506" t="s">
        <v>24</v>
      </c>
      <c r="G506" t="s">
        <v>54</v>
      </c>
      <c r="H506">
        <v>3</v>
      </c>
      <c r="I506">
        <v>27465</v>
      </c>
      <c r="J506">
        <v>0.1</v>
      </c>
    </row>
    <row r="507" spans="1:11" x14ac:dyDescent="0.3">
      <c r="A507" t="s">
        <v>564</v>
      </c>
      <c r="B507" s="1">
        <v>45576</v>
      </c>
      <c r="C507" t="s">
        <v>4</v>
      </c>
      <c r="D507" t="s">
        <v>64</v>
      </c>
      <c r="E507" t="s">
        <v>27</v>
      </c>
      <c r="F507" t="s">
        <v>23</v>
      </c>
      <c r="G507" t="s">
        <v>54</v>
      </c>
      <c r="H507">
        <v>4</v>
      </c>
      <c r="I507">
        <v>7634</v>
      </c>
      <c r="J507">
        <v>0.05</v>
      </c>
    </row>
    <row r="508" spans="1:11" x14ac:dyDescent="0.3">
      <c r="A508" t="s">
        <v>565</v>
      </c>
      <c r="B508" s="1">
        <v>45363</v>
      </c>
      <c r="C508" t="s">
        <v>5</v>
      </c>
      <c r="D508" t="s">
        <v>69</v>
      </c>
      <c r="E508" t="s">
        <v>26</v>
      </c>
      <c r="F508" t="s">
        <v>61</v>
      </c>
      <c r="G508" t="s">
        <v>54</v>
      </c>
      <c r="H508">
        <v>6</v>
      </c>
      <c r="I508">
        <v>8587</v>
      </c>
      <c r="J508">
        <v>0.1</v>
      </c>
      <c r="K508">
        <v>17080</v>
      </c>
    </row>
    <row r="509" spans="1:11" x14ac:dyDescent="0.3">
      <c r="A509" t="s">
        <v>566</v>
      </c>
      <c r="B509" s="1">
        <v>45352</v>
      </c>
      <c r="C509" t="s">
        <v>4</v>
      </c>
      <c r="D509" t="s">
        <v>49</v>
      </c>
      <c r="E509" t="s">
        <v>26</v>
      </c>
      <c r="F509" t="s">
        <v>50</v>
      </c>
      <c r="G509" t="s">
        <v>51</v>
      </c>
      <c r="H509">
        <v>3</v>
      </c>
      <c r="I509">
        <v>2432</v>
      </c>
      <c r="J509">
        <v>0</v>
      </c>
      <c r="K509">
        <v>9312</v>
      </c>
    </row>
    <row r="510" spans="1:11" x14ac:dyDescent="0.3">
      <c r="A510" t="s">
        <v>567</v>
      </c>
      <c r="B510" s="1">
        <v>45340</v>
      </c>
      <c r="C510" t="s">
        <v>4</v>
      </c>
      <c r="D510" t="s">
        <v>64</v>
      </c>
      <c r="E510" t="s">
        <v>26</v>
      </c>
      <c r="F510" t="s">
        <v>22</v>
      </c>
      <c r="G510" t="s">
        <v>51</v>
      </c>
      <c r="H510">
        <v>10</v>
      </c>
      <c r="I510">
        <v>39047</v>
      </c>
      <c r="J510">
        <v>0</v>
      </c>
    </row>
    <row r="511" spans="1:11" x14ac:dyDescent="0.3">
      <c r="A511" t="s">
        <v>568</v>
      </c>
      <c r="B511" s="1">
        <v>45651</v>
      </c>
      <c r="C511" t="s">
        <v>5</v>
      </c>
      <c r="D511" t="s">
        <v>49</v>
      </c>
      <c r="E511" t="s">
        <v>29</v>
      </c>
      <c r="F511" t="s">
        <v>50</v>
      </c>
      <c r="G511" t="s">
        <v>51</v>
      </c>
      <c r="H511">
        <v>5</v>
      </c>
      <c r="I511">
        <v>33540</v>
      </c>
      <c r="J511">
        <v>0.1</v>
      </c>
      <c r="K511">
        <v>4603</v>
      </c>
    </row>
    <row r="512" spans="1:11" x14ac:dyDescent="0.3">
      <c r="A512" t="s">
        <v>569</v>
      </c>
      <c r="B512" s="1">
        <v>45630</v>
      </c>
      <c r="C512" t="s">
        <v>6</v>
      </c>
      <c r="D512" t="s">
        <v>56</v>
      </c>
      <c r="E512" t="s">
        <v>25</v>
      </c>
      <c r="F512" t="s">
        <v>58</v>
      </c>
      <c r="G512" t="s">
        <v>54</v>
      </c>
      <c r="H512">
        <v>4</v>
      </c>
      <c r="I512">
        <v>42593</v>
      </c>
      <c r="J512">
        <v>0</v>
      </c>
    </row>
    <row r="513" spans="1:11" x14ac:dyDescent="0.3">
      <c r="A513" t="s">
        <v>570</v>
      </c>
      <c r="B513" s="1">
        <v>45523</v>
      </c>
      <c r="C513" t="s">
        <v>3</v>
      </c>
      <c r="D513" t="s">
        <v>56</v>
      </c>
      <c r="E513" t="s">
        <v>29</v>
      </c>
      <c r="F513" t="s">
        <v>50</v>
      </c>
      <c r="G513" t="s">
        <v>51</v>
      </c>
      <c r="H513">
        <v>7</v>
      </c>
      <c r="I513">
        <v>30970</v>
      </c>
      <c r="J513">
        <v>0.05</v>
      </c>
    </row>
    <row r="514" spans="1:11" x14ac:dyDescent="0.3">
      <c r="A514" t="s">
        <v>571</v>
      </c>
      <c r="B514" s="1">
        <v>45463</v>
      </c>
      <c r="C514" t="s">
        <v>5</v>
      </c>
      <c r="D514" t="s">
        <v>69</v>
      </c>
      <c r="E514" t="s">
        <v>29</v>
      </c>
      <c r="F514" t="s">
        <v>22</v>
      </c>
      <c r="G514" t="s">
        <v>51</v>
      </c>
      <c r="H514">
        <v>7</v>
      </c>
      <c r="I514">
        <v>25845</v>
      </c>
      <c r="J514">
        <v>0.05</v>
      </c>
    </row>
    <row r="515" spans="1:11" x14ac:dyDescent="0.3">
      <c r="A515" t="s">
        <v>572</v>
      </c>
      <c r="B515" s="1">
        <v>45538</v>
      </c>
      <c r="C515" t="s">
        <v>6</v>
      </c>
      <c r="D515" t="s">
        <v>64</v>
      </c>
      <c r="E515" t="s">
        <v>28</v>
      </c>
      <c r="F515" t="s">
        <v>50</v>
      </c>
      <c r="G515" t="s">
        <v>51</v>
      </c>
      <c r="H515">
        <v>4</v>
      </c>
      <c r="I515">
        <v>34791</v>
      </c>
    </row>
    <row r="516" spans="1:11" x14ac:dyDescent="0.3">
      <c r="A516" t="s">
        <v>573</v>
      </c>
      <c r="B516" s="1">
        <v>45525</v>
      </c>
      <c r="C516" t="s">
        <v>3</v>
      </c>
      <c r="D516" t="s">
        <v>49</v>
      </c>
      <c r="E516" t="s">
        <v>27</v>
      </c>
      <c r="F516" t="s">
        <v>24</v>
      </c>
      <c r="G516" t="s">
        <v>54</v>
      </c>
      <c r="H516">
        <v>2</v>
      </c>
      <c r="I516">
        <v>32121</v>
      </c>
      <c r="J516">
        <v>0</v>
      </c>
    </row>
    <row r="517" spans="1:11" x14ac:dyDescent="0.3">
      <c r="A517" t="s">
        <v>574</v>
      </c>
      <c r="B517" s="1">
        <v>45327</v>
      </c>
      <c r="C517" t="s">
        <v>3</v>
      </c>
      <c r="D517" t="s">
        <v>53</v>
      </c>
      <c r="E517" t="s">
        <v>26</v>
      </c>
      <c r="F517" t="s">
        <v>50</v>
      </c>
      <c r="G517" t="s">
        <v>51</v>
      </c>
      <c r="H517">
        <v>4</v>
      </c>
      <c r="I517">
        <v>19723</v>
      </c>
      <c r="K517">
        <v>7339</v>
      </c>
    </row>
    <row r="518" spans="1:11" x14ac:dyDescent="0.3">
      <c r="A518" t="s">
        <v>575</v>
      </c>
      <c r="B518" s="1">
        <v>45428</v>
      </c>
      <c r="C518" t="s">
        <v>3</v>
      </c>
      <c r="D518" t="s">
        <v>69</v>
      </c>
      <c r="E518" t="s">
        <v>27</v>
      </c>
      <c r="F518" t="s">
        <v>23</v>
      </c>
      <c r="G518" t="s">
        <v>54</v>
      </c>
      <c r="H518">
        <v>2</v>
      </c>
      <c r="I518">
        <v>9284</v>
      </c>
      <c r="J518">
        <v>0.1</v>
      </c>
      <c r="K518">
        <v>26054</v>
      </c>
    </row>
    <row r="519" spans="1:11" x14ac:dyDescent="0.3">
      <c r="A519" t="s">
        <v>576</v>
      </c>
      <c r="B519" s="1">
        <v>45637</v>
      </c>
      <c r="C519" t="s">
        <v>6</v>
      </c>
      <c r="D519" t="s">
        <v>69</v>
      </c>
      <c r="E519" t="s">
        <v>28</v>
      </c>
      <c r="F519" t="s">
        <v>50</v>
      </c>
      <c r="G519" t="s">
        <v>51</v>
      </c>
      <c r="H519">
        <v>6</v>
      </c>
      <c r="I519">
        <v>18923</v>
      </c>
      <c r="J519">
        <v>0.1</v>
      </c>
      <c r="K519">
        <v>2796</v>
      </c>
    </row>
    <row r="520" spans="1:11" x14ac:dyDescent="0.3">
      <c r="A520" t="s">
        <v>577</v>
      </c>
      <c r="B520" s="1">
        <v>45366</v>
      </c>
      <c r="C520" t="s">
        <v>4</v>
      </c>
      <c r="D520" t="s">
        <v>56</v>
      </c>
      <c r="E520" t="s">
        <v>26</v>
      </c>
      <c r="F520" t="s">
        <v>22</v>
      </c>
      <c r="G520" t="s">
        <v>51</v>
      </c>
      <c r="H520">
        <v>10</v>
      </c>
      <c r="I520">
        <v>25979</v>
      </c>
      <c r="J520">
        <v>0.05</v>
      </c>
    </row>
    <row r="521" spans="1:11" x14ac:dyDescent="0.3">
      <c r="A521" t="s">
        <v>578</v>
      </c>
      <c r="B521" s="1">
        <v>45574</v>
      </c>
      <c r="C521" t="s">
        <v>4</v>
      </c>
      <c r="D521" t="s">
        <v>56</v>
      </c>
      <c r="E521" t="s">
        <v>28</v>
      </c>
      <c r="F521" t="s">
        <v>50</v>
      </c>
      <c r="G521" t="s">
        <v>51</v>
      </c>
      <c r="H521">
        <v>7</v>
      </c>
      <c r="I521">
        <v>16285</v>
      </c>
    </row>
    <row r="522" spans="1:11" x14ac:dyDescent="0.3">
      <c r="A522" t="s">
        <v>579</v>
      </c>
      <c r="B522" s="1">
        <v>45452</v>
      </c>
      <c r="C522" t="s">
        <v>6</v>
      </c>
      <c r="D522" t="s">
        <v>56</v>
      </c>
      <c r="E522" t="s">
        <v>25</v>
      </c>
      <c r="F522" t="s">
        <v>22</v>
      </c>
      <c r="G522" t="s">
        <v>51</v>
      </c>
      <c r="H522">
        <v>9</v>
      </c>
      <c r="I522">
        <v>48493</v>
      </c>
    </row>
    <row r="523" spans="1:11" x14ac:dyDescent="0.3">
      <c r="A523" t="s">
        <v>580</v>
      </c>
      <c r="B523" s="1">
        <v>45440</v>
      </c>
      <c r="C523" t="s">
        <v>3</v>
      </c>
      <c r="D523" t="s">
        <v>56</v>
      </c>
      <c r="E523" t="s">
        <v>28</v>
      </c>
      <c r="F523" t="s">
        <v>61</v>
      </c>
      <c r="G523" t="s">
        <v>54</v>
      </c>
      <c r="H523">
        <v>8</v>
      </c>
      <c r="I523">
        <v>44958</v>
      </c>
      <c r="J523">
        <v>0</v>
      </c>
    </row>
    <row r="524" spans="1:11" x14ac:dyDescent="0.3">
      <c r="A524" t="s">
        <v>581</v>
      </c>
      <c r="B524" s="1">
        <v>45618</v>
      </c>
      <c r="C524" t="s">
        <v>4</v>
      </c>
      <c r="D524" t="s">
        <v>69</v>
      </c>
      <c r="E524" t="s">
        <v>29</v>
      </c>
      <c r="F524" t="s">
        <v>61</v>
      </c>
      <c r="G524" t="s">
        <v>54</v>
      </c>
      <c r="H524">
        <v>9</v>
      </c>
      <c r="I524">
        <v>49284</v>
      </c>
      <c r="K524">
        <v>12577</v>
      </c>
    </row>
    <row r="525" spans="1:11" x14ac:dyDescent="0.3">
      <c r="A525" t="s">
        <v>582</v>
      </c>
      <c r="B525" s="1">
        <v>45630</v>
      </c>
      <c r="C525" t="s">
        <v>4</v>
      </c>
      <c r="D525" t="s">
        <v>56</v>
      </c>
      <c r="E525" t="s">
        <v>27</v>
      </c>
      <c r="F525" t="s">
        <v>58</v>
      </c>
      <c r="G525" t="s">
        <v>54</v>
      </c>
      <c r="H525">
        <v>9</v>
      </c>
      <c r="I525">
        <v>34811</v>
      </c>
      <c r="J525">
        <v>0.1</v>
      </c>
    </row>
    <row r="526" spans="1:11" x14ac:dyDescent="0.3">
      <c r="A526" t="s">
        <v>583</v>
      </c>
      <c r="B526" s="1">
        <v>45583</v>
      </c>
      <c r="C526" t="s">
        <v>5</v>
      </c>
      <c r="D526" t="s">
        <v>56</v>
      </c>
      <c r="E526" t="s">
        <v>29</v>
      </c>
      <c r="F526" t="s">
        <v>24</v>
      </c>
      <c r="G526" t="s">
        <v>54</v>
      </c>
      <c r="H526">
        <v>10</v>
      </c>
      <c r="I526">
        <v>48454</v>
      </c>
      <c r="J526">
        <v>0.1</v>
      </c>
      <c r="K526">
        <v>17638</v>
      </c>
    </row>
    <row r="527" spans="1:11" x14ac:dyDescent="0.3">
      <c r="A527" t="s">
        <v>584</v>
      </c>
      <c r="B527" s="1">
        <v>45416</v>
      </c>
      <c r="C527" t="s">
        <v>6</v>
      </c>
      <c r="D527" t="s">
        <v>49</v>
      </c>
      <c r="E527" t="s">
        <v>27</v>
      </c>
      <c r="F527" t="s">
        <v>50</v>
      </c>
      <c r="G527" t="s">
        <v>51</v>
      </c>
      <c r="H527">
        <v>2</v>
      </c>
      <c r="I527">
        <v>3191</v>
      </c>
      <c r="J527">
        <v>0.1</v>
      </c>
    </row>
    <row r="528" spans="1:11" x14ac:dyDescent="0.3">
      <c r="A528" t="s">
        <v>585</v>
      </c>
      <c r="B528" s="1">
        <v>45587</v>
      </c>
      <c r="C528" t="s">
        <v>3</v>
      </c>
      <c r="D528" t="s">
        <v>56</v>
      </c>
      <c r="E528" t="s">
        <v>28</v>
      </c>
      <c r="F528" t="s">
        <v>58</v>
      </c>
      <c r="G528" t="s">
        <v>54</v>
      </c>
      <c r="H528">
        <v>1</v>
      </c>
      <c r="I528">
        <v>15108</v>
      </c>
      <c r="J528">
        <v>0</v>
      </c>
      <c r="K528">
        <v>10590</v>
      </c>
    </row>
    <row r="529" spans="1:11" x14ac:dyDescent="0.3">
      <c r="A529" t="s">
        <v>586</v>
      </c>
      <c r="B529" s="1">
        <v>45400</v>
      </c>
      <c r="C529" t="s">
        <v>6</v>
      </c>
      <c r="D529" t="s">
        <v>53</v>
      </c>
      <c r="E529" t="s">
        <v>28</v>
      </c>
      <c r="F529" t="s">
        <v>50</v>
      </c>
      <c r="G529" t="s">
        <v>51</v>
      </c>
      <c r="H529">
        <v>7</v>
      </c>
      <c r="I529">
        <v>35886</v>
      </c>
      <c r="J529">
        <v>0</v>
      </c>
      <c r="K529">
        <v>25495</v>
      </c>
    </row>
    <row r="530" spans="1:11" x14ac:dyDescent="0.3">
      <c r="A530" t="s">
        <v>587</v>
      </c>
      <c r="B530" s="1">
        <v>45562</v>
      </c>
      <c r="C530" t="s">
        <v>6</v>
      </c>
      <c r="D530" t="s">
        <v>76</v>
      </c>
      <c r="E530" t="s">
        <v>27</v>
      </c>
      <c r="F530" t="s">
        <v>22</v>
      </c>
      <c r="G530" t="s">
        <v>51</v>
      </c>
      <c r="H530">
        <v>3</v>
      </c>
      <c r="I530">
        <v>14116</v>
      </c>
      <c r="J530">
        <v>0.1</v>
      </c>
    </row>
    <row r="531" spans="1:11" x14ac:dyDescent="0.3">
      <c r="A531" t="s">
        <v>588</v>
      </c>
      <c r="B531" s="1">
        <v>45379</v>
      </c>
      <c r="C531" t="s">
        <v>6</v>
      </c>
      <c r="D531" t="s">
        <v>53</v>
      </c>
      <c r="E531" t="s">
        <v>25</v>
      </c>
      <c r="F531" t="s">
        <v>24</v>
      </c>
      <c r="G531" t="s">
        <v>54</v>
      </c>
      <c r="H531">
        <v>5</v>
      </c>
      <c r="I531">
        <v>15187</v>
      </c>
      <c r="J531">
        <v>0.05</v>
      </c>
    </row>
    <row r="532" spans="1:11" x14ac:dyDescent="0.3">
      <c r="A532" t="s">
        <v>589</v>
      </c>
      <c r="B532" s="1">
        <v>45464</v>
      </c>
      <c r="C532" t="s">
        <v>5</v>
      </c>
      <c r="D532" t="s">
        <v>76</v>
      </c>
      <c r="E532" t="s">
        <v>25</v>
      </c>
      <c r="F532" t="s">
        <v>58</v>
      </c>
      <c r="G532" t="s">
        <v>54</v>
      </c>
      <c r="H532">
        <v>4</v>
      </c>
      <c r="I532">
        <v>17291</v>
      </c>
      <c r="J532">
        <v>0.05</v>
      </c>
      <c r="K532">
        <v>16722</v>
      </c>
    </row>
    <row r="533" spans="1:11" x14ac:dyDescent="0.3">
      <c r="A533" t="s">
        <v>590</v>
      </c>
      <c r="B533" s="1">
        <v>45538</v>
      </c>
      <c r="C533" t="s">
        <v>5</v>
      </c>
      <c r="D533" t="s">
        <v>64</v>
      </c>
      <c r="E533" t="s">
        <v>28</v>
      </c>
      <c r="F533" t="s">
        <v>61</v>
      </c>
      <c r="G533" t="s">
        <v>54</v>
      </c>
      <c r="H533">
        <v>5</v>
      </c>
      <c r="I533">
        <v>20592</v>
      </c>
      <c r="K533">
        <v>13321</v>
      </c>
    </row>
    <row r="534" spans="1:11" x14ac:dyDescent="0.3">
      <c r="A534" t="s">
        <v>591</v>
      </c>
      <c r="B534" s="1">
        <v>45583</v>
      </c>
      <c r="C534" t="s">
        <v>5</v>
      </c>
      <c r="D534" t="s">
        <v>56</v>
      </c>
      <c r="E534" t="s">
        <v>28</v>
      </c>
      <c r="F534" t="s">
        <v>24</v>
      </c>
      <c r="G534" t="s">
        <v>54</v>
      </c>
      <c r="H534">
        <v>9</v>
      </c>
      <c r="I534">
        <v>14405</v>
      </c>
      <c r="J534">
        <v>0</v>
      </c>
      <c r="K534">
        <v>9746</v>
      </c>
    </row>
    <row r="535" spans="1:11" x14ac:dyDescent="0.3">
      <c r="A535" t="s">
        <v>592</v>
      </c>
      <c r="B535" s="1">
        <v>45475</v>
      </c>
      <c r="C535" t="s">
        <v>5</v>
      </c>
      <c r="D535" t="s">
        <v>76</v>
      </c>
      <c r="E535" t="s">
        <v>27</v>
      </c>
      <c r="F535" t="s">
        <v>58</v>
      </c>
      <c r="G535" t="s">
        <v>54</v>
      </c>
      <c r="H535">
        <v>7</v>
      </c>
      <c r="I535">
        <v>15343</v>
      </c>
    </row>
    <row r="536" spans="1:11" x14ac:dyDescent="0.3">
      <c r="A536" t="s">
        <v>593</v>
      </c>
      <c r="B536" s="1">
        <v>45531</v>
      </c>
      <c r="C536" t="s">
        <v>6</v>
      </c>
      <c r="D536" t="s">
        <v>49</v>
      </c>
      <c r="E536" t="s">
        <v>26</v>
      </c>
      <c r="F536" t="s">
        <v>24</v>
      </c>
      <c r="G536" t="s">
        <v>54</v>
      </c>
      <c r="H536">
        <v>2</v>
      </c>
      <c r="I536">
        <v>15716</v>
      </c>
      <c r="J536">
        <v>0</v>
      </c>
    </row>
    <row r="537" spans="1:11" x14ac:dyDescent="0.3">
      <c r="A537" t="s">
        <v>594</v>
      </c>
      <c r="B537" s="1">
        <v>45451</v>
      </c>
      <c r="C537" t="s">
        <v>5</v>
      </c>
      <c r="D537" t="s">
        <v>69</v>
      </c>
      <c r="E537" t="s">
        <v>29</v>
      </c>
      <c r="F537" t="s">
        <v>61</v>
      </c>
      <c r="G537" t="s">
        <v>54</v>
      </c>
      <c r="H537">
        <v>2</v>
      </c>
      <c r="I537">
        <v>13117</v>
      </c>
      <c r="K537">
        <v>9693</v>
      </c>
    </row>
    <row r="538" spans="1:11" x14ac:dyDescent="0.3">
      <c r="A538" t="s">
        <v>595</v>
      </c>
      <c r="B538" s="1">
        <v>45593</v>
      </c>
      <c r="C538" t="s">
        <v>6</v>
      </c>
      <c r="D538" t="s">
        <v>64</v>
      </c>
      <c r="E538" t="s">
        <v>29</v>
      </c>
      <c r="F538" t="s">
        <v>24</v>
      </c>
      <c r="G538" t="s">
        <v>54</v>
      </c>
      <c r="H538">
        <v>1</v>
      </c>
      <c r="I538">
        <v>18590</v>
      </c>
      <c r="J538">
        <v>0</v>
      </c>
    </row>
    <row r="539" spans="1:11" x14ac:dyDescent="0.3">
      <c r="A539" t="s">
        <v>596</v>
      </c>
      <c r="B539" s="1">
        <v>45434</v>
      </c>
      <c r="C539" t="s">
        <v>5</v>
      </c>
      <c r="D539" t="s">
        <v>53</v>
      </c>
      <c r="E539" t="s">
        <v>29</v>
      </c>
      <c r="F539" t="s">
        <v>61</v>
      </c>
      <c r="G539" t="s">
        <v>54</v>
      </c>
      <c r="H539">
        <v>10</v>
      </c>
      <c r="I539">
        <v>15079</v>
      </c>
    </row>
    <row r="540" spans="1:11" x14ac:dyDescent="0.3">
      <c r="A540" t="s">
        <v>597</v>
      </c>
      <c r="B540" s="1">
        <v>45304</v>
      </c>
      <c r="C540" t="s">
        <v>4</v>
      </c>
      <c r="D540" t="s">
        <v>69</v>
      </c>
      <c r="E540" t="s">
        <v>28</v>
      </c>
      <c r="F540" t="s">
        <v>50</v>
      </c>
      <c r="G540" t="s">
        <v>51</v>
      </c>
      <c r="H540">
        <v>2</v>
      </c>
      <c r="I540">
        <v>24950</v>
      </c>
      <c r="K540">
        <v>12233</v>
      </c>
    </row>
    <row r="541" spans="1:11" x14ac:dyDescent="0.3">
      <c r="A541" t="s">
        <v>598</v>
      </c>
      <c r="B541" s="1">
        <v>45354</v>
      </c>
      <c r="C541" t="s">
        <v>4</v>
      </c>
      <c r="D541" t="s">
        <v>56</v>
      </c>
      <c r="E541" t="s">
        <v>27</v>
      </c>
      <c r="F541" t="s">
        <v>61</v>
      </c>
      <c r="G541" t="s">
        <v>54</v>
      </c>
      <c r="H541">
        <v>2</v>
      </c>
      <c r="I541">
        <v>25251</v>
      </c>
    </row>
    <row r="542" spans="1:11" x14ac:dyDescent="0.3">
      <c r="A542" t="s">
        <v>599</v>
      </c>
      <c r="B542" s="1">
        <v>45543</v>
      </c>
      <c r="C542" t="s">
        <v>4</v>
      </c>
      <c r="D542" t="s">
        <v>64</v>
      </c>
      <c r="E542" t="s">
        <v>29</v>
      </c>
      <c r="F542" t="s">
        <v>61</v>
      </c>
      <c r="G542" t="s">
        <v>54</v>
      </c>
      <c r="H542">
        <v>3</v>
      </c>
      <c r="I542">
        <v>19442</v>
      </c>
      <c r="K542">
        <v>17424</v>
      </c>
    </row>
    <row r="543" spans="1:11" x14ac:dyDescent="0.3">
      <c r="A543" t="s">
        <v>600</v>
      </c>
      <c r="B543" s="1">
        <v>45303</v>
      </c>
      <c r="C543" t="s">
        <v>3</v>
      </c>
      <c r="D543" t="s">
        <v>64</v>
      </c>
      <c r="E543" t="s">
        <v>29</v>
      </c>
      <c r="F543" t="s">
        <v>23</v>
      </c>
      <c r="G543" t="s">
        <v>54</v>
      </c>
      <c r="H543">
        <v>7</v>
      </c>
      <c r="I543">
        <v>39304</v>
      </c>
      <c r="K543">
        <v>512</v>
      </c>
    </row>
    <row r="544" spans="1:11" x14ac:dyDescent="0.3">
      <c r="A544" t="s">
        <v>601</v>
      </c>
      <c r="B544" s="1">
        <v>45633</v>
      </c>
      <c r="C544" t="s">
        <v>6</v>
      </c>
      <c r="D544" t="s">
        <v>76</v>
      </c>
      <c r="E544" t="s">
        <v>28</v>
      </c>
      <c r="F544" t="s">
        <v>22</v>
      </c>
      <c r="G544" t="s">
        <v>51</v>
      </c>
      <c r="H544">
        <v>3</v>
      </c>
      <c r="I544">
        <v>37200</v>
      </c>
      <c r="J544">
        <v>0.1</v>
      </c>
    </row>
    <row r="545" spans="1:11" x14ac:dyDescent="0.3">
      <c r="A545" t="s">
        <v>602</v>
      </c>
      <c r="B545" s="1">
        <v>45473</v>
      </c>
      <c r="C545" t="s">
        <v>4</v>
      </c>
      <c r="D545" t="s">
        <v>56</v>
      </c>
      <c r="E545" t="s">
        <v>27</v>
      </c>
      <c r="F545" t="s">
        <v>61</v>
      </c>
      <c r="G545" t="s">
        <v>54</v>
      </c>
      <c r="H545">
        <v>6</v>
      </c>
      <c r="I545">
        <v>20565</v>
      </c>
      <c r="J545">
        <v>0.05</v>
      </c>
    </row>
    <row r="546" spans="1:11" x14ac:dyDescent="0.3">
      <c r="A546" t="s">
        <v>603</v>
      </c>
      <c r="B546" s="1">
        <v>45623</v>
      </c>
      <c r="C546" t="s">
        <v>3</v>
      </c>
      <c r="D546" t="s">
        <v>49</v>
      </c>
      <c r="E546" t="s">
        <v>28</v>
      </c>
      <c r="F546" t="s">
        <v>22</v>
      </c>
      <c r="G546" t="s">
        <v>51</v>
      </c>
      <c r="H546">
        <v>9</v>
      </c>
      <c r="I546">
        <v>17888</v>
      </c>
      <c r="J546">
        <v>0.1</v>
      </c>
      <c r="K546">
        <v>22499</v>
      </c>
    </row>
    <row r="547" spans="1:11" x14ac:dyDescent="0.3">
      <c r="A547" t="s">
        <v>604</v>
      </c>
      <c r="B547" s="1">
        <v>45392</v>
      </c>
      <c r="C547" t="s">
        <v>6</v>
      </c>
      <c r="D547" t="s">
        <v>64</v>
      </c>
      <c r="E547" t="s">
        <v>25</v>
      </c>
      <c r="F547" t="s">
        <v>50</v>
      </c>
      <c r="G547" t="s">
        <v>51</v>
      </c>
      <c r="H547">
        <v>10</v>
      </c>
      <c r="I547">
        <v>22044</v>
      </c>
      <c r="J547">
        <v>0</v>
      </c>
      <c r="K547">
        <v>4760</v>
      </c>
    </row>
    <row r="548" spans="1:11" x14ac:dyDescent="0.3">
      <c r="A548" t="s">
        <v>605</v>
      </c>
      <c r="B548" s="1">
        <v>45633</v>
      </c>
      <c r="C548" t="s">
        <v>4</v>
      </c>
      <c r="D548" t="s">
        <v>56</v>
      </c>
      <c r="E548" t="s">
        <v>28</v>
      </c>
      <c r="F548" t="s">
        <v>50</v>
      </c>
      <c r="G548" t="s">
        <v>51</v>
      </c>
      <c r="H548">
        <v>7</v>
      </c>
      <c r="I548">
        <v>6637</v>
      </c>
      <c r="J548">
        <v>0.05</v>
      </c>
    </row>
    <row r="549" spans="1:11" x14ac:dyDescent="0.3">
      <c r="A549" t="s">
        <v>606</v>
      </c>
      <c r="B549" s="1">
        <v>45364</v>
      </c>
      <c r="C549" t="s">
        <v>4</v>
      </c>
      <c r="D549" t="s">
        <v>49</v>
      </c>
      <c r="E549" t="s">
        <v>29</v>
      </c>
      <c r="F549" t="s">
        <v>58</v>
      </c>
      <c r="G549" t="s">
        <v>54</v>
      </c>
      <c r="H549">
        <v>5</v>
      </c>
      <c r="I549">
        <v>41109</v>
      </c>
      <c r="J549">
        <v>0.05</v>
      </c>
      <c r="K549">
        <v>4334</v>
      </c>
    </row>
    <row r="550" spans="1:11" x14ac:dyDescent="0.3">
      <c r="A550" t="s">
        <v>607</v>
      </c>
      <c r="B550" s="1">
        <v>45304</v>
      </c>
      <c r="C550" t="s">
        <v>6</v>
      </c>
      <c r="D550" t="s">
        <v>49</v>
      </c>
      <c r="E550" t="s">
        <v>29</v>
      </c>
      <c r="F550" t="s">
        <v>22</v>
      </c>
      <c r="G550" t="s">
        <v>51</v>
      </c>
      <c r="H550">
        <v>6</v>
      </c>
      <c r="I550">
        <v>5896</v>
      </c>
      <c r="J550">
        <v>0.1</v>
      </c>
    </row>
    <row r="551" spans="1:11" x14ac:dyDescent="0.3">
      <c r="A551" t="s">
        <v>608</v>
      </c>
      <c r="B551" s="1">
        <v>45325</v>
      </c>
      <c r="C551" t="s">
        <v>3</v>
      </c>
      <c r="D551" t="s">
        <v>64</v>
      </c>
      <c r="E551" t="s">
        <v>29</v>
      </c>
      <c r="F551" t="s">
        <v>24</v>
      </c>
      <c r="G551" t="s">
        <v>54</v>
      </c>
      <c r="H551">
        <v>1</v>
      </c>
      <c r="I551">
        <v>23401</v>
      </c>
      <c r="J551">
        <v>0.05</v>
      </c>
    </row>
    <row r="552" spans="1:11" x14ac:dyDescent="0.3">
      <c r="A552" t="s">
        <v>609</v>
      </c>
      <c r="B552" s="1">
        <v>45570</v>
      </c>
      <c r="C552" t="s">
        <v>4</v>
      </c>
      <c r="D552" t="s">
        <v>64</v>
      </c>
      <c r="E552" t="s">
        <v>29</v>
      </c>
      <c r="F552" t="s">
        <v>50</v>
      </c>
      <c r="G552" t="s">
        <v>51</v>
      </c>
      <c r="H552">
        <v>2</v>
      </c>
      <c r="I552">
        <v>37022</v>
      </c>
      <c r="J552">
        <v>0.05</v>
      </c>
    </row>
    <row r="553" spans="1:11" x14ac:dyDescent="0.3">
      <c r="A553" t="s">
        <v>610</v>
      </c>
      <c r="B553" s="1">
        <v>45596</v>
      </c>
      <c r="C553" t="s">
        <v>3</v>
      </c>
      <c r="D553" t="s">
        <v>53</v>
      </c>
      <c r="E553" t="s">
        <v>28</v>
      </c>
      <c r="F553" t="s">
        <v>23</v>
      </c>
      <c r="G553" t="s">
        <v>54</v>
      </c>
      <c r="H553">
        <v>9</v>
      </c>
      <c r="I553">
        <v>26996</v>
      </c>
      <c r="J553">
        <v>0</v>
      </c>
    </row>
    <row r="554" spans="1:11" x14ac:dyDescent="0.3">
      <c r="A554" t="s">
        <v>611</v>
      </c>
      <c r="B554" s="1">
        <v>45419</v>
      </c>
      <c r="C554" t="s">
        <v>6</v>
      </c>
      <c r="D554" t="s">
        <v>49</v>
      </c>
      <c r="E554" t="s">
        <v>26</v>
      </c>
      <c r="F554" t="s">
        <v>50</v>
      </c>
      <c r="G554" t="s">
        <v>51</v>
      </c>
      <c r="H554">
        <v>9</v>
      </c>
      <c r="I554">
        <v>36262</v>
      </c>
      <c r="J554">
        <v>0.05</v>
      </c>
    </row>
    <row r="555" spans="1:11" x14ac:dyDescent="0.3">
      <c r="A555" t="s">
        <v>612</v>
      </c>
      <c r="B555" s="1">
        <v>45419</v>
      </c>
      <c r="C555" t="s">
        <v>4</v>
      </c>
      <c r="D555" t="s">
        <v>53</v>
      </c>
      <c r="E555" t="s">
        <v>28</v>
      </c>
      <c r="F555" t="s">
        <v>23</v>
      </c>
      <c r="G555" t="s">
        <v>54</v>
      </c>
      <c r="H555">
        <v>2</v>
      </c>
      <c r="I555">
        <v>906</v>
      </c>
      <c r="K555">
        <v>29735</v>
      </c>
    </row>
    <row r="556" spans="1:11" x14ac:dyDescent="0.3">
      <c r="A556" t="s">
        <v>613</v>
      </c>
      <c r="B556" s="1">
        <v>45603</v>
      </c>
      <c r="C556" t="s">
        <v>4</v>
      </c>
      <c r="D556" t="s">
        <v>69</v>
      </c>
      <c r="E556" t="s">
        <v>25</v>
      </c>
      <c r="F556" t="s">
        <v>61</v>
      </c>
      <c r="G556" t="s">
        <v>54</v>
      </c>
      <c r="H556">
        <v>2</v>
      </c>
      <c r="I556">
        <v>20900</v>
      </c>
      <c r="J556">
        <v>0.1</v>
      </c>
    </row>
    <row r="557" spans="1:11" x14ac:dyDescent="0.3">
      <c r="A557" t="s">
        <v>614</v>
      </c>
      <c r="B557" s="1">
        <v>45427</v>
      </c>
      <c r="C557" t="s">
        <v>5</v>
      </c>
      <c r="D557" t="s">
        <v>49</v>
      </c>
      <c r="E557" t="s">
        <v>25</v>
      </c>
      <c r="F557" t="s">
        <v>61</v>
      </c>
      <c r="G557" t="s">
        <v>54</v>
      </c>
      <c r="H557">
        <v>3</v>
      </c>
      <c r="I557">
        <v>29459</v>
      </c>
      <c r="J557">
        <v>0</v>
      </c>
    </row>
    <row r="558" spans="1:11" x14ac:dyDescent="0.3">
      <c r="A558" t="s">
        <v>615</v>
      </c>
      <c r="B558" s="1">
        <v>45525</v>
      </c>
      <c r="C558" t="s">
        <v>3</v>
      </c>
      <c r="D558" t="s">
        <v>56</v>
      </c>
      <c r="E558" t="s">
        <v>28</v>
      </c>
      <c r="F558" t="s">
        <v>61</v>
      </c>
      <c r="G558" t="s">
        <v>54</v>
      </c>
      <c r="H558">
        <v>3</v>
      </c>
      <c r="I558">
        <v>17653</v>
      </c>
      <c r="J558">
        <v>0</v>
      </c>
    </row>
    <row r="559" spans="1:11" x14ac:dyDescent="0.3">
      <c r="A559" t="s">
        <v>616</v>
      </c>
      <c r="B559" s="1">
        <v>45587</v>
      </c>
      <c r="C559" t="s">
        <v>3</v>
      </c>
      <c r="D559" t="s">
        <v>56</v>
      </c>
      <c r="E559" t="s">
        <v>29</v>
      </c>
      <c r="F559" t="s">
        <v>23</v>
      </c>
      <c r="G559" t="s">
        <v>54</v>
      </c>
      <c r="H559">
        <v>10</v>
      </c>
      <c r="I559">
        <v>21770</v>
      </c>
      <c r="J559">
        <v>0.05</v>
      </c>
    </row>
    <row r="560" spans="1:11" x14ac:dyDescent="0.3">
      <c r="A560" t="s">
        <v>617</v>
      </c>
      <c r="B560" s="1">
        <v>45418</v>
      </c>
      <c r="C560" t="s">
        <v>4</v>
      </c>
      <c r="D560" t="s">
        <v>56</v>
      </c>
      <c r="E560" t="s">
        <v>28</v>
      </c>
      <c r="F560" t="s">
        <v>22</v>
      </c>
      <c r="G560" t="s">
        <v>51</v>
      </c>
      <c r="H560">
        <v>7</v>
      </c>
      <c r="I560">
        <v>12865</v>
      </c>
    </row>
    <row r="561" spans="1:11" x14ac:dyDescent="0.3">
      <c r="A561" t="s">
        <v>618</v>
      </c>
      <c r="B561" s="1">
        <v>45638</v>
      </c>
      <c r="C561" t="s">
        <v>5</v>
      </c>
      <c r="D561" t="s">
        <v>49</v>
      </c>
      <c r="E561" t="s">
        <v>25</v>
      </c>
      <c r="F561" t="s">
        <v>22</v>
      </c>
      <c r="G561" t="s">
        <v>51</v>
      </c>
      <c r="H561">
        <v>10</v>
      </c>
      <c r="I561">
        <v>36940</v>
      </c>
      <c r="J561">
        <v>0.1</v>
      </c>
    </row>
    <row r="562" spans="1:11" x14ac:dyDescent="0.3">
      <c r="A562" t="s">
        <v>619</v>
      </c>
      <c r="B562" s="1">
        <v>45587</v>
      </c>
      <c r="C562" t="s">
        <v>5</v>
      </c>
      <c r="D562" t="s">
        <v>76</v>
      </c>
      <c r="E562" t="s">
        <v>25</v>
      </c>
      <c r="F562" t="s">
        <v>61</v>
      </c>
      <c r="G562" t="s">
        <v>54</v>
      </c>
      <c r="H562">
        <v>7</v>
      </c>
      <c r="I562">
        <v>39208</v>
      </c>
      <c r="J562">
        <v>0</v>
      </c>
      <c r="K562">
        <v>2472</v>
      </c>
    </row>
    <row r="563" spans="1:11" x14ac:dyDescent="0.3">
      <c r="A563" t="s">
        <v>620</v>
      </c>
      <c r="B563" s="1">
        <v>45616</v>
      </c>
      <c r="C563" t="s">
        <v>6</v>
      </c>
      <c r="D563" t="s">
        <v>49</v>
      </c>
      <c r="E563" t="s">
        <v>27</v>
      </c>
      <c r="F563" t="s">
        <v>58</v>
      </c>
      <c r="G563" t="s">
        <v>54</v>
      </c>
      <c r="H563">
        <v>2</v>
      </c>
      <c r="I563">
        <v>20118</v>
      </c>
      <c r="J563">
        <v>0</v>
      </c>
      <c r="K563">
        <v>14407</v>
      </c>
    </row>
    <row r="564" spans="1:11" x14ac:dyDescent="0.3">
      <c r="A564" t="s">
        <v>621</v>
      </c>
      <c r="B564" s="1">
        <v>45404</v>
      </c>
      <c r="C564" t="s">
        <v>6</v>
      </c>
      <c r="D564" t="s">
        <v>76</v>
      </c>
      <c r="E564" t="s">
        <v>27</v>
      </c>
      <c r="F564" t="s">
        <v>23</v>
      </c>
      <c r="G564" t="s">
        <v>54</v>
      </c>
      <c r="H564">
        <v>2</v>
      </c>
      <c r="I564">
        <v>15154</v>
      </c>
      <c r="J564">
        <v>0</v>
      </c>
    </row>
    <row r="565" spans="1:11" x14ac:dyDescent="0.3">
      <c r="A565" t="s">
        <v>622</v>
      </c>
      <c r="B565" s="1">
        <v>45497</v>
      </c>
      <c r="C565" t="s">
        <v>5</v>
      </c>
      <c r="D565" t="s">
        <v>56</v>
      </c>
      <c r="E565" t="s">
        <v>25</v>
      </c>
      <c r="F565" t="s">
        <v>22</v>
      </c>
      <c r="G565" t="s">
        <v>51</v>
      </c>
      <c r="H565">
        <v>3</v>
      </c>
      <c r="I565">
        <v>8350</v>
      </c>
      <c r="J565">
        <v>0.05</v>
      </c>
      <c r="K565">
        <v>23727</v>
      </c>
    </row>
    <row r="566" spans="1:11" x14ac:dyDescent="0.3">
      <c r="A566" t="s">
        <v>623</v>
      </c>
      <c r="B566" s="1">
        <v>45436</v>
      </c>
      <c r="C566" t="s">
        <v>4</v>
      </c>
      <c r="D566" t="s">
        <v>53</v>
      </c>
      <c r="E566" t="s">
        <v>26</v>
      </c>
      <c r="F566" t="s">
        <v>24</v>
      </c>
      <c r="G566" t="s">
        <v>54</v>
      </c>
      <c r="H566">
        <v>7</v>
      </c>
      <c r="I566">
        <v>32701</v>
      </c>
      <c r="J566">
        <v>0.1</v>
      </c>
    </row>
    <row r="567" spans="1:11" x14ac:dyDescent="0.3">
      <c r="A567" t="s">
        <v>624</v>
      </c>
      <c r="B567" s="1">
        <v>45306</v>
      </c>
      <c r="C567" t="s">
        <v>3</v>
      </c>
      <c r="D567" t="s">
        <v>64</v>
      </c>
      <c r="E567" t="s">
        <v>26</v>
      </c>
      <c r="F567" t="s">
        <v>22</v>
      </c>
      <c r="G567" t="s">
        <v>51</v>
      </c>
      <c r="H567">
        <v>3</v>
      </c>
      <c r="I567">
        <v>17006</v>
      </c>
      <c r="J567">
        <v>0.05</v>
      </c>
    </row>
    <row r="568" spans="1:11" x14ac:dyDescent="0.3">
      <c r="A568" t="s">
        <v>625</v>
      </c>
      <c r="B568" s="1">
        <v>45478</v>
      </c>
      <c r="C568" t="s">
        <v>6</v>
      </c>
      <c r="D568" t="s">
        <v>64</v>
      </c>
      <c r="E568" t="s">
        <v>29</v>
      </c>
      <c r="F568" t="s">
        <v>50</v>
      </c>
      <c r="G568" t="s">
        <v>51</v>
      </c>
      <c r="H568">
        <v>8</v>
      </c>
      <c r="I568">
        <v>40449</v>
      </c>
      <c r="J568">
        <v>0</v>
      </c>
    </row>
    <row r="569" spans="1:11" x14ac:dyDescent="0.3">
      <c r="A569" t="s">
        <v>626</v>
      </c>
      <c r="B569" s="1">
        <v>45537</v>
      </c>
      <c r="C569" t="s">
        <v>6</v>
      </c>
      <c r="D569" t="s">
        <v>76</v>
      </c>
      <c r="E569" t="s">
        <v>25</v>
      </c>
      <c r="F569" t="s">
        <v>24</v>
      </c>
      <c r="G569" t="s">
        <v>54</v>
      </c>
      <c r="H569">
        <v>7</v>
      </c>
      <c r="I569">
        <v>15509</v>
      </c>
      <c r="K569">
        <v>9519</v>
      </c>
    </row>
    <row r="570" spans="1:11" x14ac:dyDescent="0.3">
      <c r="A570" t="s">
        <v>627</v>
      </c>
      <c r="B570" s="1">
        <v>45430</v>
      </c>
      <c r="C570" t="s">
        <v>4</v>
      </c>
      <c r="D570" t="s">
        <v>53</v>
      </c>
      <c r="E570" t="s">
        <v>29</v>
      </c>
      <c r="F570" t="s">
        <v>58</v>
      </c>
      <c r="G570" t="s">
        <v>54</v>
      </c>
      <c r="H570">
        <v>10</v>
      </c>
      <c r="I570">
        <v>8605</v>
      </c>
      <c r="K570">
        <v>3838</v>
      </c>
    </row>
    <row r="571" spans="1:11" x14ac:dyDescent="0.3">
      <c r="A571" t="s">
        <v>628</v>
      </c>
      <c r="B571" s="1">
        <v>45309</v>
      </c>
      <c r="C571" t="s">
        <v>6</v>
      </c>
      <c r="D571" t="s">
        <v>64</v>
      </c>
      <c r="E571" t="s">
        <v>25</v>
      </c>
      <c r="F571" t="s">
        <v>23</v>
      </c>
      <c r="G571" t="s">
        <v>54</v>
      </c>
      <c r="H571">
        <v>9</v>
      </c>
      <c r="I571">
        <v>5624</v>
      </c>
      <c r="J571">
        <v>0</v>
      </c>
    </row>
    <row r="572" spans="1:11" x14ac:dyDescent="0.3">
      <c r="A572" t="s">
        <v>629</v>
      </c>
      <c r="B572" s="1">
        <v>45460</v>
      </c>
      <c r="C572" t="s">
        <v>4</v>
      </c>
      <c r="D572" t="s">
        <v>69</v>
      </c>
      <c r="E572" t="s">
        <v>27</v>
      </c>
      <c r="F572" t="s">
        <v>23</v>
      </c>
      <c r="G572" t="s">
        <v>54</v>
      </c>
      <c r="H572">
        <v>10</v>
      </c>
      <c r="I572">
        <v>10467</v>
      </c>
      <c r="K572">
        <v>23843</v>
      </c>
    </row>
    <row r="573" spans="1:11" x14ac:dyDescent="0.3">
      <c r="A573" t="s">
        <v>630</v>
      </c>
      <c r="B573" s="1">
        <v>45613</v>
      </c>
      <c r="C573" t="s">
        <v>6</v>
      </c>
      <c r="D573" t="s">
        <v>53</v>
      </c>
      <c r="E573" t="s">
        <v>27</v>
      </c>
      <c r="F573" t="s">
        <v>58</v>
      </c>
      <c r="G573" t="s">
        <v>54</v>
      </c>
      <c r="H573">
        <v>6</v>
      </c>
      <c r="I573">
        <v>41863</v>
      </c>
      <c r="J573">
        <v>0.1</v>
      </c>
      <c r="K573">
        <v>25959</v>
      </c>
    </row>
    <row r="574" spans="1:11" x14ac:dyDescent="0.3">
      <c r="A574" t="s">
        <v>631</v>
      </c>
      <c r="B574" s="1">
        <v>45612</v>
      </c>
      <c r="C574" t="s">
        <v>4</v>
      </c>
      <c r="D574" t="s">
        <v>64</v>
      </c>
      <c r="E574" t="s">
        <v>27</v>
      </c>
      <c r="F574" t="s">
        <v>50</v>
      </c>
      <c r="G574" t="s">
        <v>51</v>
      </c>
      <c r="H574">
        <v>9</v>
      </c>
      <c r="I574">
        <v>28273</v>
      </c>
      <c r="J574">
        <v>0.1</v>
      </c>
    </row>
    <row r="575" spans="1:11" x14ac:dyDescent="0.3">
      <c r="A575" t="s">
        <v>632</v>
      </c>
      <c r="B575" s="1">
        <v>45377</v>
      </c>
      <c r="C575" t="s">
        <v>3</v>
      </c>
      <c r="D575" t="s">
        <v>49</v>
      </c>
      <c r="E575" t="s">
        <v>27</v>
      </c>
      <c r="F575" t="s">
        <v>23</v>
      </c>
      <c r="G575" t="s">
        <v>54</v>
      </c>
      <c r="H575">
        <v>9</v>
      </c>
      <c r="I575">
        <v>17369</v>
      </c>
      <c r="J575">
        <v>0</v>
      </c>
    </row>
    <row r="576" spans="1:11" x14ac:dyDescent="0.3">
      <c r="A576" t="s">
        <v>633</v>
      </c>
      <c r="B576" s="1">
        <v>45427</v>
      </c>
      <c r="C576" t="s">
        <v>3</v>
      </c>
      <c r="D576" t="s">
        <v>56</v>
      </c>
      <c r="E576" t="s">
        <v>27</v>
      </c>
      <c r="F576" t="s">
        <v>22</v>
      </c>
      <c r="G576" t="s">
        <v>51</v>
      </c>
      <c r="H576">
        <v>3</v>
      </c>
      <c r="I576">
        <v>17526</v>
      </c>
      <c r="J576">
        <v>0.1</v>
      </c>
      <c r="K576">
        <v>11573</v>
      </c>
    </row>
    <row r="577" spans="1:11" x14ac:dyDescent="0.3">
      <c r="A577" t="s">
        <v>634</v>
      </c>
      <c r="B577" s="1">
        <v>45460</v>
      </c>
      <c r="C577" t="s">
        <v>3</v>
      </c>
      <c r="D577" t="s">
        <v>64</v>
      </c>
      <c r="E577" t="s">
        <v>27</v>
      </c>
      <c r="F577" t="s">
        <v>61</v>
      </c>
      <c r="G577" t="s">
        <v>54</v>
      </c>
      <c r="H577">
        <v>8</v>
      </c>
      <c r="I577">
        <v>9503</v>
      </c>
      <c r="J577">
        <v>0.1</v>
      </c>
    </row>
    <row r="578" spans="1:11" x14ac:dyDescent="0.3">
      <c r="A578" t="s">
        <v>635</v>
      </c>
      <c r="B578" s="1">
        <v>45292</v>
      </c>
      <c r="C578" t="s">
        <v>4</v>
      </c>
      <c r="D578" t="s">
        <v>56</v>
      </c>
      <c r="E578" t="s">
        <v>27</v>
      </c>
      <c r="F578" t="s">
        <v>50</v>
      </c>
      <c r="G578" t="s">
        <v>51</v>
      </c>
      <c r="H578">
        <v>3</v>
      </c>
      <c r="I578">
        <v>28966</v>
      </c>
      <c r="J578">
        <v>0.05</v>
      </c>
    </row>
    <row r="579" spans="1:11" x14ac:dyDescent="0.3">
      <c r="A579" t="s">
        <v>636</v>
      </c>
      <c r="B579" s="1">
        <v>45622</v>
      </c>
      <c r="C579" t="s">
        <v>6</v>
      </c>
      <c r="D579" t="s">
        <v>49</v>
      </c>
      <c r="E579" t="s">
        <v>26</v>
      </c>
      <c r="F579" t="s">
        <v>22</v>
      </c>
      <c r="G579" t="s">
        <v>51</v>
      </c>
      <c r="H579">
        <v>4</v>
      </c>
      <c r="I579">
        <v>15511</v>
      </c>
    </row>
    <row r="580" spans="1:11" x14ac:dyDescent="0.3">
      <c r="A580" t="s">
        <v>637</v>
      </c>
      <c r="B580" s="1">
        <v>45392</v>
      </c>
      <c r="C580" t="s">
        <v>6</v>
      </c>
      <c r="D580" t="s">
        <v>76</v>
      </c>
      <c r="E580" t="s">
        <v>27</v>
      </c>
      <c r="F580" t="s">
        <v>23</v>
      </c>
      <c r="G580" t="s">
        <v>54</v>
      </c>
      <c r="H580">
        <v>2</v>
      </c>
      <c r="I580">
        <v>36822</v>
      </c>
      <c r="J580">
        <v>0.05</v>
      </c>
      <c r="K580">
        <v>13736</v>
      </c>
    </row>
    <row r="581" spans="1:11" x14ac:dyDescent="0.3">
      <c r="A581" t="s">
        <v>638</v>
      </c>
      <c r="B581" s="1">
        <v>45429</v>
      </c>
      <c r="C581" t="s">
        <v>6</v>
      </c>
      <c r="D581" t="s">
        <v>64</v>
      </c>
      <c r="E581" t="s">
        <v>27</v>
      </c>
      <c r="F581" t="s">
        <v>24</v>
      </c>
      <c r="G581" t="s">
        <v>54</v>
      </c>
      <c r="H581">
        <v>1</v>
      </c>
      <c r="I581">
        <v>45159</v>
      </c>
      <c r="J581">
        <v>0.05</v>
      </c>
      <c r="K581">
        <v>15897</v>
      </c>
    </row>
    <row r="582" spans="1:11" x14ac:dyDescent="0.3">
      <c r="A582" t="s">
        <v>639</v>
      </c>
      <c r="B582" s="1">
        <v>45558</v>
      </c>
      <c r="C582" t="s">
        <v>3</v>
      </c>
      <c r="D582" t="s">
        <v>64</v>
      </c>
      <c r="E582" t="s">
        <v>28</v>
      </c>
      <c r="F582" t="s">
        <v>24</v>
      </c>
      <c r="G582" t="s">
        <v>54</v>
      </c>
      <c r="H582">
        <v>1</v>
      </c>
      <c r="I582">
        <v>19446</v>
      </c>
      <c r="J582">
        <v>0</v>
      </c>
      <c r="K582">
        <v>27308</v>
      </c>
    </row>
    <row r="583" spans="1:11" x14ac:dyDescent="0.3">
      <c r="A583" t="s">
        <v>640</v>
      </c>
      <c r="B583" s="1">
        <v>45594</v>
      </c>
      <c r="C583" t="s">
        <v>4</v>
      </c>
      <c r="D583" t="s">
        <v>56</v>
      </c>
      <c r="E583" t="s">
        <v>25</v>
      </c>
      <c r="F583" t="s">
        <v>58</v>
      </c>
      <c r="G583" t="s">
        <v>54</v>
      </c>
      <c r="H583">
        <v>5</v>
      </c>
      <c r="I583">
        <v>13096</v>
      </c>
      <c r="J583">
        <v>0.1</v>
      </c>
      <c r="K583">
        <v>7595</v>
      </c>
    </row>
    <row r="584" spans="1:11" x14ac:dyDescent="0.3">
      <c r="A584" t="s">
        <v>641</v>
      </c>
      <c r="B584" s="1">
        <v>45510</v>
      </c>
      <c r="C584" t="s">
        <v>6</v>
      </c>
      <c r="D584" t="s">
        <v>49</v>
      </c>
      <c r="E584" t="s">
        <v>29</v>
      </c>
      <c r="F584" t="s">
        <v>23</v>
      </c>
      <c r="G584" t="s">
        <v>54</v>
      </c>
      <c r="H584">
        <v>8</v>
      </c>
      <c r="I584">
        <v>28213</v>
      </c>
      <c r="J584">
        <v>0</v>
      </c>
    </row>
    <row r="585" spans="1:11" x14ac:dyDescent="0.3">
      <c r="A585" t="s">
        <v>642</v>
      </c>
      <c r="B585" s="1">
        <v>45371</v>
      </c>
      <c r="C585" t="s">
        <v>6</v>
      </c>
      <c r="D585" t="s">
        <v>56</v>
      </c>
      <c r="E585" t="s">
        <v>27</v>
      </c>
      <c r="F585" t="s">
        <v>58</v>
      </c>
      <c r="G585" t="s">
        <v>54</v>
      </c>
      <c r="H585">
        <v>4</v>
      </c>
      <c r="I585">
        <v>37659</v>
      </c>
      <c r="J585">
        <v>0.05</v>
      </c>
    </row>
    <row r="586" spans="1:11" x14ac:dyDescent="0.3">
      <c r="A586" t="s">
        <v>643</v>
      </c>
      <c r="B586" s="1">
        <v>45445</v>
      </c>
      <c r="C586" t="s">
        <v>3</v>
      </c>
      <c r="D586" t="s">
        <v>76</v>
      </c>
      <c r="E586" t="s">
        <v>26</v>
      </c>
      <c r="F586" t="s">
        <v>22</v>
      </c>
      <c r="G586" t="s">
        <v>51</v>
      </c>
      <c r="H586">
        <v>5</v>
      </c>
      <c r="I586">
        <v>27298</v>
      </c>
      <c r="J586">
        <v>0</v>
      </c>
    </row>
    <row r="587" spans="1:11" x14ac:dyDescent="0.3">
      <c r="A587" t="s">
        <v>644</v>
      </c>
      <c r="B587" s="1">
        <v>45644</v>
      </c>
      <c r="C587" t="s">
        <v>6</v>
      </c>
      <c r="D587" t="s">
        <v>69</v>
      </c>
      <c r="E587" t="s">
        <v>25</v>
      </c>
      <c r="F587" t="s">
        <v>58</v>
      </c>
      <c r="G587" t="s">
        <v>54</v>
      </c>
      <c r="H587">
        <v>9</v>
      </c>
      <c r="I587">
        <v>1076</v>
      </c>
      <c r="J587">
        <v>0.05</v>
      </c>
      <c r="K587">
        <v>6734</v>
      </c>
    </row>
    <row r="588" spans="1:11" x14ac:dyDescent="0.3">
      <c r="A588" t="s">
        <v>645</v>
      </c>
      <c r="B588" s="1">
        <v>45306</v>
      </c>
      <c r="C588" t="s">
        <v>3</v>
      </c>
      <c r="D588" t="s">
        <v>49</v>
      </c>
      <c r="E588" t="s">
        <v>29</v>
      </c>
      <c r="F588" t="s">
        <v>61</v>
      </c>
      <c r="G588" t="s">
        <v>54</v>
      </c>
      <c r="H588">
        <v>7</v>
      </c>
      <c r="I588">
        <v>11358</v>
      </c>
      <c r="J588">
        <v>0.1</v>
      </c>
      <c r="K588">
        <v>4870</v>
      </c>
    </row>
    <row r="589" spans="1:11" x14ac:dyDescent="0.3">
      <c r="A589" t="s">
        <v>646</v>
      </c>
      <c r="B589" s="1">
        <v>45598</v>
      </c>
      <c r="C589" t="s">
        <v>6</v>
      </c>
      <c r="D589" t="s">
        <v>56</v>
      </c>
      <c r="E589" t="s">
        <v>29</v>
      </c>
      <c r="F589" t="s">
        <v>22</v>
      </c>
      <c r="G589" t="s">
        <v>51</v>
      </c>
      <c r="H589">
        <v>1</v>
      </c>
      <c r="I589">
        <v>26987</v>
      </c>
      <c r="J589">
        <v>0.05</v>
      </c>
    </row>
    <row r="590" spans="1:11" x14ac:dyDescent="0.3">
      <c r="A590" t="s">
        <v>647</v>
      </c>
      <c r="B590" s="1">
        <v>45382</v>
      </c>
      <c r="C590" t="s">
        <v>4</v>
      </c>
      <c r="D590" t="s">
        <v>56</v>
      </c>
      <c r="E590" t="s">
        <v>28</v>
      </c>
      <c r="F590" t="s">
        <v>22</v>
      </c>
      <c r="G590" t="s">
        <v>51</v>
      </c>
      <c r="H590">
        <v>8</v>
      </c>
      <c r="I590">
        <v>25913</v>
      </c>
    </row>
    <row r="591" spans="1:11" x14ac:dyDescent="0.3">
      <c r="A591" t="s">
        <v>648</v>
      </c>
      <c r="B591" s="1">
        <v>45295</v>
      </c>
      <c r="C591" t="s">
        <v>4</v>
      </c>
      <c r="D591" t="s">
        <v>53</v>
      </c>
      <c r="E591" t="s">
        <v>25</v>
      </c>
      <c r="F591" t="s">
        <v>23</v>
      </c>
      <c r="G591" t="s">
        <v>54</v>
      </c>
      <c r="H591">
        <v>3</v>
      </c>
      <c r="I591">
        <v>46330</v>
      </c>
    </row>
    <row r="592" spans="1:11" x14ac:dyDescent="0.3">
      <c r="A592" t="s">
        <v>649</v>
      </c>
      <c r="B592" s="1">
        <v>45332</v>
      </c>
      <c r="C592" t="s">
        <v>5</v>
      </c>
      <c r="D592" t="s">
        <v>64</v>
      </c>
      <c r="E592" t="s">
        <v>28</v>
      </c>
      <c r="F592" t="s">
        <v>23</v>
      </c>
      <c r="G592" t="s">
        <v>54</v>
      </c>
      <c r="H592">
        <v>9</v>
      </c>
      <c r="I592">
        <v>32123</v>
      </c>
      <c r="J592">
        <v>0.1</v>
      </c>
      <c r="K592">
        <v>4843</v>
      </c>
    </row>
    <row r="593" spans="1:11" x14ac:dyDescent="0.3">
      <c r="A593" t="s">
        <v>650</v>
      </c>
      <c r="B593" s="1">
        <v>45656</v>
      </c>
      <c r="C593" t="s">
        <v>3</v>
      </c>
      <c r="D593" t="s">
        <v>76</v>
      </c>
      <c r="E593" t="s">
        <v>29</v>
      </c>
      <c r="F593" t="s">
        <v>61</v>
      </c>
      <c r="G593" t="s">
        <v>54</v>
      </c>
      <c r="H593">
        <v>8</v>
      </c>
      <c r="I593">
        <v>20341</v>
      </c>
    </row>
    <row r="594" spans="1:11" x14ac:dyDescent="0.3">
      <c r="A594" t="s">
        <v>651</v>
      </c>
      <c r="B594" s="1">
        <v>45637</v>
      </c>
      <c r="C594" t="s">
        <v>4</v>
      </c>
      <c r="D594" t="s">
        <v>49</v>
      </c>
      <c r="E594" t="s">
        <v>27</v>
      </c>
      <c r="F594" t="s">
        <v>23</v>
      </c>
      <c r="G594" t="s">
        <v>54</v>
      </c>
      <c r="H594">
        <v>8</v>
      </c>
      <c r="I594">
        <v>5419</v>
      </c>
      <c r="J594">
        <v>0.1</v>
      </c>
      <c r="K594">
        <v>19953</v>
      </c>
    </row>
    <row r="595" spans="1:11" x14ac:dyDescent="0.3">
      <c r="A595" t="s">
        <v>652</v>
      </c>
      <c r="B595" s="1">
        <v>45530</v>
      </c>
      <c r="C595" t="s">
        <v>4</v>
      </c>
      <c r="D595" t="s">
        <v>69</v>
      </c>
      <c r="E595" t="s">
        <v>26</v>
      </c>
      <c r="F595" t="s">
        <v>61</v>
      </c>
      <c r="G595" t="s">
        <v>54</v>
      </c>
      <c r="H595">
        <v>10</v>
      </c>
      <c r="I595">
        <v>32160</v>
      </c>
    </row>
    <row r="596" spans="1:11" x14ac:dyDescent="0.3">
      <c r="A596" t="s">
        <v>653</v>
      </c>
      <c r="B596" s="1">
        <v>45297</v>
      </c>
      <c r="C596" t="s">
        <v>3</v>
      </c>
      <c r="D596" t="s">
        <v>69</v>
      </c>
      <c r="E596" t="s">
        <v>26</v>
      </c>
      <c r="F596" t="s">
        <v>23</v>
      </c>
      <c r="G596" t="s">
        <v>54</v>
      </c>
      <c r="H596">
        <v>3</v>
      </c>
      <c r="I596">
        <v>6717</v>
      </c>
      <c r="J596">
        <v>0.1</v>
      </c>
      <c r="K596">
        <v>28924</v>
      </c>
    </row>
    <row r="597" spans="1:11" x14ac:dyDescent="0.3">
      <c r="A597" t="s">
        <v>654</v>
      </c>
      <c r="B597" s="1">
        <v>45588</v>
      </c>
      <c r="C597" t="s">
        <v>6</v>
      </c>
      <c r="D597" t="s">
        <v>76</v>
      </c>
      <c r="E597" t="s">
        <v>28</v>
      </c>
      <c r="F597" t="s">
        <v>50</v>
      </c>
      <c r="G597" t="s">
        <v>51</v>
      </c>
      <c r="H597">
        <v>1</v>
      </c>
      <c r="I597">
        <v>29973</v>
      </c>
      <c r="K597">
        <v>24582</v>
      </c>
    </row>
    <row r="598" spans="1:11" x14ac:dyDescent="0.3">
      <c r="A598" t="s">
        <v>655</v>
      </c>
      <c r="B598" s="1">
        <v>45369</v>
      </c>
      <c r="C598" t="s">
        <v>4</v>
      </c>
      <c r="D598" t="s">
        <v>76</v>
      </c>
      <c r="E598" t="s">
        <v>27</v>
      </c>
      <c r="F598" t="s">
        <v>22</v>
      </c>
      <c r="G598" t="s">
        <v>51</v>
      </c>
      <c r="H598">
        <v>4</v>
      </c>
      <c r="I598">
        <v>19634</v>
      </c>
      <c r="J598">
        <v>0.1</v>
      </c>
    </row>
    <row r="599" spans="1:11" x14ac:dyDescent="0.3">
      <c r="A599" t="s">
        <v>656</v>
      </c>
      <c r="B599" s="1">
        <v>45293</v>
      </c>
      <c r="C599" t="s">
        <v>3</v>
      </c>
      <c r="D599" t="s">
        <v>49</v>
      </c>
      <c r="E599" t="s">
        <v>28</v>
      </c>
      <c r="F599" t="s">
        <v>58</v>
      </c>
      <c r="G599" t="s">
        <v>54</v>
      </c>
      <c r="H599">
        <v>6</v>
      </c>
      <c r="I599">
        <v>26190</v>
      </c>
      <c r="J599">
        <v>0.1</v>
      </c>
      <c r="K599">
        <v>22208</v>
      </c>
    </row>
    <row r="600" spans="1:11" x14ac:dyDescent="0.3">
      <c r="A600" t="s">
        <v>657</v>
      </c>
      <c r="B600" s="1">
        <v>45525</v>
      </c>
      <c r="C600" t="s">
        <v>3</v>
      </c>
      <c r="D600" t="s">
        <v>69</v>
      </c>
      <c r="E600" t="s">
        <v>26</v>
      </c>
      <c r="F600" t="s">
        <v>50</v>
      </c>
      <c r="G600" t="s">
        <v>51</v>
      </c>
      <c r="H600">
        <v>3</v>
      </c>
      <c r="I600">
        <v>7424</v>
      </c>
      <c r="J600">
        <v>0.1</v>
      </c>
      <c r="K600">
        <v>9732</v>
      </c>
    </row>
    <row r="601" spans="1:11" x14ac:dyDescent="0.3">
      <c r="A601" t="s">
        <v>658</v>
      </c>
      <c r="B601" s="1">
        <v>45434</v>
      </c>
      <c r="C601" t="s">
        <v>3</v>
      </c>
      <c r="D601" t="s">
        <v>53</v>
      </c>
      <c r="E601" t="s">
        <v>25</v>
      </c>
      <c r="F601" t="s">
        <v>61</v>
      </c>
      <c r="G601" t="s">
        <v>54</v>
      </c>
      <c r="H601">
        <v>10</v>
      </c>
      <c r="I601">
        <v>31661</v>
      </c>
      <c r="K601">
        <v>10543</v>
      </c>
    </row>
    <row r="602" spans="1:11" x14ac:dyDescent="0.3">
      <c r="A602" t="s">
        <v>659</v>
      </c>
      <c r="B602" s="1">
        <v>45558</v>
      </c>
      <c r="C602" t="s">
        <v>5</v>
      </c>
      <c r="D602" t="s">
        <v>76</v>
      </c>
      <c r="E602" t="s">
        <v>25</v>
      </c>
      <c r="F602" t="s">
        <v>24</v>
      </c>
      <c r="G602" t="s">
        <v>54</v>
      </c>
      <c r="H602">
        <v>3</v>
      </c>
      <c r="I602">
        <v>25358</v>
      </c>
      <c r="J602">
        <v>0.05</v>
      </c>
      <c r="K602">
        <v>15605</v>
      </c>
    </row>
    <row r="603" spans="1:11" x14ac:dyDescent="0.3">
      <c r="A603" t="s">
        <v>660</v>
      </c>
      <c r="B603" s="1">
        <v>45583</v>
      </c>
      <c r="C603" t="s">
        <v>6</v>
      </c>
      <c r="D603" t="s">
        <v>64</v>
      </c>
      <c r="E603" t="s">
        <v>29</v>
      </c>
      <c r="F603" t="s">
        <v>23</v>
      </c>
      <c r="G603" t="s">
        <v>54</v>
      </c>
      <c r="H603">
        <v>5</v>
      </c>
      <c r="I603">
        <v>41241</v>
      </c>
      <c r="J603">
        <v>0.1</v>
      </c>
      <c r="K603">
        <v>6943</v>
      </c>
    </row>
    <row r="604" spans="1:11" x14ac:dyDescent="0.3">
      <c r="A604" t="s">
        <v>661</v>
      </c>
      <c r="B604" s="1">
        <v>45329</v>
      </c>
      <c r="C604" t="s">
        <v>4</v>
      </c>
      <c r="D604" t="s">
        <v>64</v>
      </c>
      <c r="E604" t="s">
        <v>27</v>
      </c>
      <c r="F604" t="s">
        <v>24</v>
      </c>
      <c r="G604" t="s">
        <v>54</v>
      </c>
      <c r="H604">
        <v>9</v>
      </c>
      <c r="I604">
        <v>30881</v>
      </c>
      <c r="J604">
        <v>0.05</v>
      </c>
    </row>
    <row r="605" spans="1:11" x14ac:dyDescent="0.3">
      <c r="A605" t="s">
        <v>662</v>
      </c>
      <c r="B605" s="1">
        <v>45427</v>
      </c>
      <c r="C605" t="s">
        <v>6</v>
      </c>
      <c r="D605" t="s">
        <v>53</v>
      </c>
      <c r="E605" t="s">
        <v>28</v>
      </c>
      <c r="F605" t="s">
        <v>23</v>
      </c>
      <c r="G605" t="s">
        <v>54</v>
      </c>
      <c r="H605">
        <v>4</v>
      </c>
      <c r="I605">
        <v>40245</v>
      </c>
      <c r="J605">
        <v>0.05</v>
      </c>
    </row>
    <row r="606" spans="1:11" x14ac:dyDescent="0.3">
      <c r="A606" t="s">
        <v>663</v>
      </c>
      <c r="B606" s="1">
        <v>45453</v>
      </c>
      <c r="C606" t="s">
        <v>4</v>
      </c>
      <c r="D606" t="s">
        <v>56</v>
      </c>
      <c r="E606" t="s">
        <v>28</v>
      </c>
      <c r="F606" t="s">
        <v>61</v>
      </c>
      <c r="G606" t="s">
        <v>54</v>
      </c>
      <c r="H606">
        <v>3</v>
      </c>
      <c r="I606">
        <v>39303</v>
      </c>
      <c r="J606">
        <v>0</v>
      </c>
    </row>
    <row r="607" spans="1:11" x14ac:dyDescent="0.3">
      <c r="A607" t="s">
        <v>664</v>
      </c>
      <c r="B607" s="1">
        <v>45310</v>
      </c>
      <c r="C607" t="s">
        <v>4</v>
      </c>
      <c r="D607" t="s">
        <v>64</v>
      </c>
      <c r="E607" t="s">
        <v>26</v>
      </c>
      <c r="F607" t="s">
        <v>23</v>
      </c>
      <c r="G607" t="s">
        <v>54</v>
      </c>
      <c r="H607">
        <v>6</v>
      </c>
      <c r="I607">
        <v>42092</v>
      </c>
      <c r="J607">
        <v>0.1</v>
      </c>
      <c r="K607">
        <v>22857</v>
      </c>
    </row>
    <row r="608" spans="1:11" x14ac:dyDescent="0.3">
      <c r="A608" t="s">
        <v>665</v>
      </c>
      <c r="B608" s="1">
        <v>45544</v>
      </c>
      <c r="C608" t="s">
        <v>3</v>
      </c>
      <c r="D608" t="s">
        <v>69</v>
      </c>
      <c r="E608" t="s">
        <v>27</v>
      </c>
      <c r="F608" t="s">
        <v>61</v>
      </c>
      <c r="G608" t="s">
        <v>54</v>
      </c>
      <c r="H608">
        <v>2</v>
      </c>
      <c r="I608">
        <v>22759</v>
      </c>
      <c r="J608">
        <v>0.1</v>
      </c>
      <c r="K608">
        <v>1230</v>
      </c>
    </row>
    <row r="609" spans="1:11" x14ac:dyDescent="0.3">
      <c r="A609" t="s">
        <v>666</v>
      </c>
      <c r="B609" s="1">
        <v>45543</v>
      </c>
      <c r="C609" t="s">
        <v>5</v>
      </c>
      <c r="D609" t="s">
        <v>49</v>
      </c>
      <c r="E609" t="s">
        <v>29</v>
      </c>
      <c r="F609" t="s">
        <v>23</v>
      </c>
      <c r="G609" t="s">
        <v>54</v>
      </c>
      <c r="H609">
        <v>10</v>
      </c>
      <c r="I609">
        <v>17906</v>
      </c>
      <c r="J609">
        <v>0</v>
      </c>
    </row>
    <row r="610" spans="1:11" x14ac:dyDescent="0.3">
      <c r="A610" t="s">
        <v>667</v>
      </c>
      <c r="B610" s="1">
        <v>45567</v>
      </c>
      <c r="C610" t="s">
        <v>4</v>
      </c>
      <c r="D610" t="s">
        <v>76</v>
      </c>
      <c r="E610" t="s">
        <v>25</v>
      </c>
      <c r="F610" t="s">
        <v>24</v>
      </c>
      <c r="G610" t="s">
        <v>54</v>
      </c>
      <c r="H610">
        <v>5</v>
      </c>
      <c r="I610">
        <v>23831</v>
      </c>
      <c r="J610">
        <v>0</v>
      </c>
      <c r="K610">
        <v>1041</v>
      </c>
    </row>
    <row r="611" spans="1:11" x14ac:dyDescent="0.3">
      <c r="A611" t="s">
        <v>668</v>
      </c>
      <c r="B611" s="1">
        <v>45560</v>
      </c>
      <c r="C611" t="s">
        <v>4</v>
      </c>
      <c r="D611" t="s">
        <v>56</v>
      </c>
      <c r="E611" t="s">
        <v>29</v>
      </c>
      <c r="F611" t="s">
        <v>23</v>
      </c>
      <c r="G611" t="s">
        <v>54</v>
      </c>
      <c r="H611">
        <v>7</v>
      </c>
      <c r="I611">
        <v>10906</v>
      </c>
      <c r="J611">
        <v>0</v>
      </c>
      <c r="K611">
        <v>3186</v>
      </c>
    </row>
    <row r="612" spans="1:11" x14ac:dyDescent="0.3">
      <c r="A612" t="s">
        <v>669</v>
      </c>
      <c r="B612" s="1">
        <v>45471</v>
      </c>
      <c r="C612" t="s">
        <v>3</v>
      </c>
      <c r="D612" t="s">
        <v>64</v>
      </c>
      <c r="E612" t="s">
        <v>26</v>
      </c>
      <c r="F612" t="s">
        <v>58</v>
      </c>
      <c r="G612" t="s">
        <v>54</v>
      </c>
      <c r="H612">
        <v>6</v>
      </c>
      <c r="I612">
        <v>7982</v>
      </c>
    </row>
    <row r="613" spans="1:11" x14ac:dyDescent="0.3">
      <c r="A613" t="s">
        <v>670</v>
      </c>
      <c r="B613" s="1">
        <v>45417</v>
      </c>
      <c r="C613" t="s">
        <v>4</v>
      </c>
      <c r="D613" t="s">
        <v>69</v>
      </c>
      <c r="E613" t="s">
        <v>25</v>
      </c>
      <c r="F613" t="s">
        <v>61</v>
      </c>
      <c r="G613" t="s">
        <v>54</v>
      </c>
      <c r="H613">
        <v>2</v>
      </c>
      <c r="I613">
        <v>28936</v>
      </c>
      <c r="J613">
        <v>0.05</v>
      </c>
    </row>
    <row r="614" spans="1:11" x14ac:dyDescent="0.3">
      <c r="A614" t="s">
        <v>671</v>
      </c>
      <c r="B614" s="1">
        <v>45426</v>
      </c>
      <c r="C614" t="s">
        <v>6</v>
      </c>
      <c r="D614" t="s">
        <v>53</v>
      </c>
      <c r="E614" t="s">
        <v>27</v>
      </c>
      <c r="F614" t="s">
        <v>24</v>
      </c>
      <c r="G614" t="s">
        <v>54</v>
      </c>
      <c r="H614">
        <v>8</v>
      </c>
      <c r="I614">
        <v>9705</v>
      </c>
      <c r="K614">
        <v>13949</v>
      </c>
    </row>
    <row r="615" spans="1:11" x14ac:dyDescent="0.3">
      <c r="A615" t="s">
        <v>672</v>
      </c>
      <c r="B615" s="1">
        <v>45399</v>
      </c>
      <c r="C615" t="s">
        <v>4</v>
      </c>
      <c r="D615" t="s">
        <v>56</v>
      </c>
      <c r="E615" t="s">
        <v>28</v>
      </c>
      <c r="F615" t="s">
        <v>22</v>
      </c>
      <c r="G615" t="s">
        <v>51</v>
      </c>
      <c r="H615">
        <v>2</v>
      </c>
      <c r="I615">
        <v>31180</v>
      </c>
      <c r="J615">
        <v>0.05</v>
      </c>
    </row>
    <row r="616" spans="1:11" x14ac:dyDescent="0.3">
      <c r="A616" t="s">
        <v>673</v>
      </c>
      <c r="B616" s="1">
        <v>45332</v>
      </c>
      <c r="C616" t="s">
        <v>6</v>
      </c>
      <c r="D616" t="s">
        <v>53</v>
      </c>
      <c r="E616" t="s">
        <v>26</v>
      </c>
      <c r="F616" t="s">
        <v>58</v>
      </c>
      <c r="G616" t="s">
        <v>54</v>
      </c>
      <c r="H616">
        <v>8</v>
      </c>
      <c r="I616">
        <v>10158</v>
      </c>
      <c r="K616">
        <v>17293</v>
      </c>
    </row>
    <row r="617" spans="1:11" x14ac:dyDescent="0.3">
      <c r="A617" t="s">
        <v>674</v>
      </c>
      <c r="B617" s="1">
        <v>45495</v>
      </c>
      <c r="C617" t="s">
        <v>3</v>
      </c>
      <c r="D617" t="s">
        <v>76</v>
      </c>
      <c r="E617" t="s">
        <v>25</v>
      </c>
      <c r="F617" t="s">
        <v>22</v>
      </c>
      <c r="G617" t="s">
        <v>51</v>
      </c>
      <c r="H617">
        <v>6</v>
      </c>
      <c r="I617">
        <v>1645</v>
      </c>
      <c r="J617">
        <v>0.05</v>
      </c>
    </row>
    <row r="618" spans="1:11" x14ac:dyDescent="0.3">
      <c r="A618" t="s">
        <v>675</v>
      </c>
      <c r="B618" s="1">
        <v>45557</v>
      </c>
      <c r="C618" t="s">
        <v>6</v>
      </c>
      <c r="D618" t="s">
        <v>69</v>
      </c>
      <c r="E618" t="s">
        <v>25</v>
      </c>
      <c r="F618" t="s">
        <v>61</v>
      </c>
      <c r="G618" t="s">
        <v>54</v>
      </c>
      <c r="H618">
        <v>3</v>
      </c>
      <c r="I618">
        <v>20713</v>
      </c>
      <c r="J618">
        <v>0.05</v>
      </c>
      <c r="K618">
        <v>29473</v>
      </c>
    </row>
    <row r="619" spans="1:11" x14ac:dyDescent="0.3">
      <c r="A619" t="s">
        <v>676</v>
      </c>
      <c r="B619" s="1">
        <v>45336</v>
      </c>
      <c r="C619" t="s">
        <v>3</v>
      </c>
      <c r="D619" t="s">
        <v>53</v>
      </c>
      <c r="E619" t="s">
        <v>26</v>
      </c>
      <c r="F619" t="s">
        <v>22</v>
      </c>
      <c r="G619" t="s">
        <v>51</v>
      </c>
      <c r="H619">
        <v>4</v>
      </c>
      <c r="I619">
        <v>29905</v>
      </c>
      <c r="J619">
        <v>0.05</v>
      </c>
    </row>
    <row r="620" spans="1:11" x14ac:dyDescent="0.3">
      <c r="A620" t="s">
        <v>677</v>
      </c>
      <c r="B620" s="1">
        <v>45413</v>
      </c>
      <c r="C620" t="s">
        <v>5</v>
      </c>
      <c r="D620" t="s">
        <v>69</v>
      </c>
      <c r="E620" t="s">
        <v>28</v>
      </c>
      <c r="F620" t="s">
        <v>58</v>
      </c>
      <c r="G620" t="s">
        <v>54</v>
      </c>
      <c r="H620">
        <v>9</v>
      </c>
      <c r="I620">
        <v>35349</v>
      </c>
      <c r="J620">
        <v>0</v>
      </c>
      <c r="K620">
        <v>21570</v>
      </c>
    </row>
    <row r="621" spans="1:11" x14ac:dyDescent="0.3">
      <c r="A621" t="s">
        <v>678</v>
      </c>
      <c r="B621" s="1">
        <v>45504</v>
      </c>
      <c r="C621" t="s">
        <v>3</v>
      </c>
      <c r="D621" t="s">
        <v>69</v>
      </c>
      <c r="E621" t="s">
        <v>26</v>
      </c>
      <c r="F621" t="s">
        <v>22</v>
      </c>
      <c r="G621" t="s">
        <v>51</v>
      </c>
      <c r="H621">
        <v>3</v>
      </c>
      <c r="I621">
        <v>25830</v>
      </c>
      <c r="J621">
        <v>0.05</v>
      </c>
      <c r="K621">
        <v>1462</v>
      </c>
    </row>
    <row r="622" spans="1:11" x14ac:dyDescent="0.3">
      <c r="A622" t="s">
        <v>679</v>
      </c>
      <c r="B622" s="1">
        <v>45573</v>
      </c>
      <c r="C622" t="s">
        <v>3</v>
      </c>
      <c r="D622" t="s">
        <v>56</v>
      </c>
      <c r="E622" t="s">
        <v>25</v>
      </c>
      <c r="F622" t="s">
        <v>22</v>
      </c>
      <c r="G622" t="s">
        <v>51</v>
      </c>
      <c r="H622">
        <v>6</v>
      </c>
      <c r="I622">
        <v>22052</v>
      </c>
      <c r="J622">
        <v>0</v>
      </c>
      <c r="K622">
        <v>28958</v>
      </c>
    </row>
    <row r="623" spans="1:11" x14ac:dyDescent="0.3">
      <c r="A623" t="s">
        <v>680</v>
      </c>
      <c r="B623" s="1">
        <v>45549</v>
      </c>
      <c r="C623" t="s">
        <v>4</v>
      </c>
      <c r="D623" t="s">
        <v>56</v>
      </c>
      <c r="E623" t="s">
        <v>26</v>
      </c>
      <c r="F623" t="s">
        <v>22</v>
      </c>
      <c r="G623" t="s">
        <v>51</v>
      </c>
      <c r="H623">
        <v>3</v>
      </c>
      <c r="I623">
        <v>758</v>
      </c>
      <c r="J623">
        <v>0.1</v>
      </c>
      <c r="K623">
        <v>17818</v>
      </c>
    </row>
    <row r="624" spans="1:11" x14ac:dyDescent="0.3">
      <c r="A624" t="s">
        <v>681</v>
      </c>
      <c r="B624" s="1">
        <v>45601</v>
      </c>
      <c r="C624" t="s">
        <v>5</v>
      </c>
      <c r="D624" t="s">
        <v>49</v>
      </c>
      <c r="E624" t="s">
        <v>25</v>
      </c>
      <c r="F624" t="s">
        <v>50</v>
      </c>
      <c r="G624" t="s">
        <v>51</v>
      </c>
      <c r="H624">
        <v>7</v>
      </c>
      <c r="I624">
        <v>38917</v>
      </c>
      <c r="J624">
        <v>0.1</v>
      </c>
      <c r="K624">
        <v>18377</v>
      </c>
    </row>
    <row r="625" spans="1:11" x14ac:dyDescent="0.3">
      <c r="A625" t="s">
        <v>682</v>
      </c>
      <c r="B625" s="1">
        <v>45422</v>
      </c>
      <c r="C625" t="s">
        <v>6</v>
      </c>
      <c r="D625" t="s">
        <v>64</v>
      </c>
      <c r="E625" t="s">
        <v>29</v>
      </c>
      <c r="F625" t="s">
        <v>58</v>
      </c>
      <c r="G625" t="s">
        <v>54</v>
      </c>
      <c r="H625">
        <v>6</v>
      </c>
      <c r="I625">
        <v>36716</v>
      </c>
      <c r="K625">
        <v>2153</v>
      </c>
    </row>
    <row r="626" spans="1:11" x14ac:dyDescent="0.3">
      <c r="A626" t="s">
        <v>683</v>
      </c>
      <c r="B626" s="1">
        <v>45377</v>
      </c>
      <c r="C626" t="s">
        <v>4</v>
      </c>
      <c r="D626" t="s">
        <v>53</v>
      </c>
      <c r="E626" t="s">
        <v>27</v>
      </c>
      <c r="F626" t="s">
        <v>61</v>
      </c>
      <c r="G626" t="s">
        <v>54</v>
      </c>
      <c r="H626">
        <v>10</v>
      </c>
      <c r="I626">
        <v>34387</v>
      </c>
      <c r="K626">
        <v>8369</v>
      </c>
    </row>
    <row r="627" spans="1:11" x14ac:dyDescent="0.3">
      <c r="A627" t="s">
        <v>684</v>
      </c>
      <c r="B627" s="1">
        <v>45404</v>
      </c>
      <c r="C627" t="s">
        <v>3</v>
      </c>
      <c r="D627" t="s">
        <v>56</v>
      </c>
      <c r="E627" t="s">
        <v>26</v>
      </c>
      <c r="F627" t="s">
        <v>58</v>
      </c>
      <c r="G627" t="s">
        <v>54</v>
      </c>
      <c r="H627">
        <v>1</v>
      </c>
      <c r="I627">
        <v>47038</v>
      </c>
      <c r="J627">
        <v>0</v>
      </c>
    </row>
    <row r="628" spans="1:11" x14ac:dyDescent="0.3">
      <c r="A628" t="s">
        <v>685</v>
      </c>
      <c r="B628" s="1">
        <v>45602</v>
      </c>
      <c r="C628" t="s">
        <v>5</v>
      </c>
      <c r="D628" t="s">
        <v>56</v>
      </c>
      <c r="E628" t="s">
        <v>27</v>
      </c>
      <c r="F628" t="s">
        <v>22</v>
      </c>
      <c r="G628" t="s">
        <v>51</v>
      </c>
      <c r="H628">
        <v>3</v>
      </c>
      <c r="I628">
        <v>35065</v>
      </c>
    </row>
    <row r="629" spans="1:11" x14ac:dyDescent="0.3">
      <c r="A629" t="s">
        <v>686</v>
      </c>
      <c r="B629" s="1">
        <v>45300</v>
      </c>
      <c r="C629" t="s">
        <v>6</v>
      </c>
      <c r="D629" t="s">
        <v>49</v>
      </c>
      <c r="E629" t="s">
        <v>26</v>
      </c>
      <c r="F629" t="s">
        <v>24</v>
      </c>
      <c r="G629" t="s">
        <v>54</v>
      </c>
      <c r="H629">
        <v>8</v>
      </c>
      <c r="I629">
        <v>11913</v>
      </c>
      <c r="J629">
        <v>0.1</v>
      </c>
      <c r="K629">
        <v>4451</v>
      </c>
    </row>
    <row r="630" spans="1:11" x14ac:dyDescent="0.3">
      <c r="A630" t="s">
        <v>687</v>
      </c>
      <c r="B630" s="1">
        <v>45568</v>
      </c>
      <c r="C630" t="s">
        <v>4</v>
      </c>
      <c r="D630" t="s">
        <v>69</v>
      </c>
      <c r="E630" t="s">
        <v>29</v>
      </c>
      <c r="F630" t="s">
        <v>22</v>
      </c>
      <c r="G630" t="s">
        <v>51</v>
      </c>
      <c r="H630">
        <v>8</v>
      </c>
      <c r="I630">
        <v>42115</v>
      </c>
      <c r="J630">
        <v>0</v>
      </c>
      <c r="K630">
        <v>15430</v>
      </c>
    </row>
    <row r="631" spans="1:11" x14ac:dyDescent="0.3">
      <c r="A631" t="s">
        <v>688</v>
      </c>
      <c r="B631" s="1">
        <v>45308</v>
      </c>
      <c r="C631" t="s">
        <v>3</v>
      </c>
      <c r="D631" t="s">
        <v>56</v>
      </c>
      <c r="E631" t="s">
        <v>25</v>
      </c>
      <c r="F631" t="s">
        <v>58</v>
      </c>
      <c r="G631" t="s">
        <v>54</v>
      </c>
      <c r="H631">
        <v>1</v>
      </c>
      <c r="I631">
        <v>41528</v>
      </c>
      <c r="J631">
        <v>0.1</v>
      </c>
      <c r="K631">
        <v>10061</v>
      </c>
    </row>
    <row r="632" spans="1:11" x14ac:dyDescent="0.3">
      <c r="A632" t="s">
        <v>689</v>
      </c>
      <c r="B632" s="1">
        <v>45402</v>
      </c>
      <c r="C632" t="s">
        <v>5</v>
      </c>
      <c r="D632" t="s">
        <v>69</v>
      </c>
      <c r="E632" t="s">
        <v>29</v>
      </c>
      <c r="F632" t="s">
        <v>24</v>
      </c>
      <c r="G632" t="s">
        <v>54</v>
      </c>
      <c r="H632">
        <v>10</v>
      </c>
      <c r="I632">
        <v>4446</v>
      </c>
      <c r="J632">
        <v>0.05</v>
      </c>
      <c r="K632">
        <v>3843</v>
      </c>
    </row>
    <row r="633" spans="1:11" x14ac:dyDescent="0.3">
      <c r="A633" t="s">
        <v>690</v>
      </c>
      <c r="B633" s="1">
        <v>45314</v>
      </c>
      <c r="C633" t="s">
        <v>4</v>
      </c>
      <c r="D633" t="s">
        <v>76</v>
      </c>
      <c r="E633" t="s">
        <v>25</v>
      </c>
      <c r="F633" t="s">
        <v>24</v>
      </c>
      <c r="G633" t="s">
        <v>54</v>
      </c>
      <c r="H633">
        <v>7</v>
      </c>
      <c r="I633">
        <v>34200</v>
      </c>
      <c r="J633">
        <v>0.1</v>
      </c>
    </row>
    <row r="634" spans="1:11" x14ac:dyDescent="0.3">
      <c r="A634" t="s">
        <v>691</v>
      </c>
      <c r="B634" s="1">
        <v>45626</v>
      </c>
      <c r="C634" t="s">
        <v>4</v>
      </c>
      <c r="D634" t="s">
        <v>64</v>
      </c>
      <c r="E634" t="s">
        <v>28</v>
      </c>
      <c r="F634" t="s">
        <v>22</v>
      </c>
      <c r="G634" t="s">
        <v>51</v>
      </c>
      <c r="H634">
        <v>7</v>
      </c>
      <c r="I634">
        <v>2491</v>
      </c>
      <c r="J634">
        <v>0.05</v>
      </c>
      <c r="K634">
        <v>29734</v>
      </c>
    </row>
    <row r="635" spans="1:11" x14ac:dyDescent="0.3">
      <c r="A635" t="s">
        <v>692</v>
      </c>
      <c r="B635" s="1">
        <v>45514</v>
      </c>
      <c r="C635" t="s">
        <v>5</v>
      </c>
      <c r="D635" t="s">
        <v>53</v>
      </c>
      <c r="E635" t="s">
        <v>26</v>
      </c>
      <c r="F635" t="s">
        <v>23</v>
      </c>
      <c r="G635" t="s">
        <v>54</v>
      </c>
      <c r="H635">
        <v>10</v>
      </c>
      <c r="I635">
        <v>46148</v>
      </c>
      <c r="J635">
        <v>0.1</v>
      </c>
      <c r="K635">
        <v>6210</v>
      </c>
    </row>
    <row r="636" spans="1:11" x14ac:dyDescent="0.3">
      <c r="A636" t="s">
        <v>693</v>
      </c>
      <c r="B636" s="1">
        <v>45374</v>
      </c>
      <c r="C636" t="s">
        <v>6</v>
      </c>
      <c r="D636" t="s">
        <v>76</v>
      </c>
      <c r="E636" t="s">
        <v>29</v>
      </c>
      <c r="F636" t="s">
        <v>24</v>
      </c>
      <c r="G636" t="s">
        <v>54</v>
      </c>
      <c r="H636">
        <v>5</v>
      </c>
      <c r="I636">
        <v>19018</v>
      </c>
      <c r="J636">
        <v>0.1</v>
      </c>
      <c r="K636">
        <v>10074</v>
      </c>
    </row>
    <row r="637" spans="1:11" x14ac:dyDescent="0.3">
      <c r="A637" t="s">
        <v>694</v>
      </c>
      <c r="B637" s="1">
        <v>45438</v>
      </c>
      <c r="C637" t="s">
        <v>3</v>
      </c>
      <c r="D637" t="s">
        <v>49</v>
      </c>
      <c r="E637" t="s">
        <v>25</v>
      </c>
      <c r="F637" t="s">
        <v>61</v>
      </c>
      <c r="G637" t="s">
        <v>54</v>
      </c>
      <c r="H637">
        <v>9</v>
      </c>
      <c r="I637">
        <v>35260</v>
      </c>
      <c r="J637">
        <v>0.05</v>
      </c>
      <c r="K637">
        <v>24855</v>
      </c>
    </row>
    <row r="638" spans="1:11" x14ac:dyDescent="0.3">
      <c r="A638" t="s">
        <v>695</v>
      </c>
      <c r="B638" s="1">
        <v>45550</v>
      </c>
      <c r="C638" t="s">
        <v>4</v>
      </c>
      <c r="D638" t="s">
        <v>49</v>
      </c>
      <c r="E638" t="s">
        <v>29</v>
      </c>
      <c r="F638" t="s">
        <v>50</v>
      </c>
      <c r="G638" t="s">
        <v>51</v>
      </c>
      <c r="H638">
        <v>2</v>
      </c>
      <c r="I638">
        <v>20597</v>
      </c>
    </row>
    <row r="639" spans="1:11" x14ac:dyDescent="0.3">
      <c r="A639" t="s">
        <v>696</v>
      </c>
      <c r="B639" s="1">
        <v>45629</v>
      </c>
      <c r="C639" t="s">
        <v>4</v>
      </c>
      <c r="D639" t="s">
        <v>53</v>
      </c>
      <c r="E639" t="s">
        <v>29</v>
      </c>
      <c r="F639" t="s">
        <v>50</v>
      </c>
      <c r="G639" t="s">
        <v>51</v>
      </c>
      <c r="H639">
        <v>3</v>
      </c>
      <c r="I639">
        <v>43736</v>
      </c>
    </row>
    <row r="640" spans="1:11" x14ac:dyDescent="0.3">
      <c r="A640" t="s">
        <v>697</v>
      </c>
      <c r="B640" s="1">
        <v>45447</v>
      </c>
      <c r="C640" t="s">
        <v>5</v>
      </c>
      <c r="D640" t="s">
        <v>76</v>
      </c>
      <c r="E640" t="s">
        <v>25</v>
      </c>
      <c r="F640" t="s">
        <v>24</v>
      </c>
      <c r="G640" t="s">
        <v>54</v>
      </c>
      <c r="H640">
        <v>8</v>
      </c>
      <c r="I640">
        <v>12034</v>
      </c>
      <c r="J640">
        <v>0</v>
      </c>
      <c r="K640">
        <v>25624</v>
      </c>
    </row>
    <row r="641" spans="1:11" x14ac:dyDescent="0.3">
      <c r="A641" t="s">
        <v>698</v>
      </c>
      <c r="B641" s="1">
        <v>45520</v>
      </c>
      <c r="C641" t="s">
        <v>6</v>
      </c>
      <c r="D641" t="s">
        <v>53</v>
      </c>
      <c r="E641" t="s">
        <v>29</v>
      </c>
      <c r="F641" t="s">
        <v>61</v>
      </c>
      <c r="G641" t="s">
        <v>54</v>
      </c>
      <c r="H641">
        <v>10</v>
      </c>
      <c r="I641">
        <v>18702</v>
      </c>
      <c r="J641">
        <v>0.1</v>
      </c>
      <c r="K641">
        <v>27276</v>
      </c>
    </row>
    <row r="642" spans="1:11" x14ac:dyDescent="0.3">
      <c r="A642" t="s">
        <v>699</v>
      </c>
      <c r="B642" s="1">
        <v>45373</v>
      </c>
      <c r="C642" t="s">
        <v>5</v>
      </c>
      <c r="D642" t="s">
        <v>49</v>
      </c>
      <c r="E642" t="s">
        <v>26</v>
      </c>
      <c r="F642" t="s">
        <v>23</v>
      </c>
      <c r="G642" t="s">
        <v>54</v>
      </c>
      <c r="H642">
        <v>10</v>
      </c>
      <c r="I642">
        <v>44730</v>
      </c>
      <c r="J642">
        <v>0</v>
      </c>
    </row>
    <row r="643" spans="1:11" x14ac:dyDescent="0.3">
      <c r="A643" t="s">
        <v>700</v>
      </c>
      <c r="B643" s="1">
        <v>45539</v>
      </c>
      <c r="C643" t="s">
        <v>5</v>
      </c>
      <c r="D643" t="s">
        <v>76</v>
      </c>
      <c r="E643" t="s">
        <v>27</v>
      </c>
      <c r="F643" t="s">
        <v>61</v>
      </c>
      <c r="G643" t="s">
        <v>54</v>
      </c>
      <c r="H643">
        <v>1</v>
      </c>
      <c r="I643">
        <v>16000</v>
      </c>
      <c r="J643">
        <v>0.1</v>
      </c>
    </row>
    <row r="644" spans="1:11" x14ac:dyDescent="0.3">
      <c r="A644" t="s">
        <v>701</v>
      </c>
      <c r="B644" s="1">
        <v>45516</v>
      </c>
      <c r="C644" t="s">
        <v>6</v>
      </c>
      <c r="D644" t="s">
        <v>49</v>
      </c>
      <c r="E644" t="s">
        <v>25</v>
      </c>
      <c r="F644" t="s">
        <v>61</v>
      </c>
      <c r="G644" t="s">
        <v>54</v>
      </c>
      <c r="H644">
        <v>5</v>
      </c>
      <c r="I644">
        <v>34048</v>
      </c>
      <c r="K644">
        <v>18205</v>
      </c>
    </row>
    <row r="645" spans="1:11" x14ac:dyDescent="0.3">
      <c r="A645" t="s">
        <v>702</v>
      </c>
      <c r="B645" s="1">
        <v>45475</v>
      </c>
      <c r="C645" t="s">
        <v>5</v>
      </c>
      <c r="D645" t="s">
        <v>69</v>
      </c>
      <c r="E645" t="s">
        <v>26</v>
      </c>
      <c r="F645" t="s">
        <v>24</v>
      </c>
      <c r="G645" t="s">
        <v>54</v>
      </c>
      <c r="H645">
        <v>9</v>
      </c>
      <c r="I645">
        <v>15524</v>
      </c>
      <c r="J645">
        <v>0</v>
      </c>
      <c r="K645">
        <v>2462</v>
      </c>
    </row>
    <row r="646" spans="1:11" x14ac:dyDescent="0.3">
      <c r="A646" t="s">
        <v>703</v>
      </c>
      <c r="B646" s="1">
        <v>45367</v>
      </c>
      <c r="C646" t="s">
        <v>4</v>
      </c>
      <c r="D646" t="s">
        <v>56</v>
      </c>
      <c r="E646" t="s">
        <v>29</v>
      </c>
      <c r="F646" t="s">
        <v>24</v>
      </c>
      <c r="G646" t="s">
        <v>54</v>
      </c>
      <c r="H646">
        <v>1</v>
      </c>
      <c r="I646">
        <v>47529</v>
      </c>
      <c r="K646">
        <v>220</v>
      </c>
    </row>
    <row r="647" spans="1:11" x14ac:dyDescent="0.3">
      <c r="A647" t="s">
        <v>704</v>
      </c>
      <c r="B647" s="1">
        <v>45651</v>
      </c>
      <c r="C647" t="s">
        <v>3</v>
      </c>
      <c r="D647" t="s">
        <v>64</v>
      </c>
      <c r="E647" t="s">
        <v>25</v>
      </c>
      <c r="F647" t="s">
        <v>50</v>
      </c>
      <c r="G647" t="s">
        <v>51</v>
      </c>
      <c r="H647">
        <v>9</v>
      </c>
      <c r="I647">
        <v>41869</v>
      </c>
      <c r="J647">
        <v>0</v>
      </c>
      <c r="K647">
        <v>4623</v>
      </c>
    </row>
    <row r="648" spans="1:11" x14ac:dyDescent="0.3">
      <c r="A648" t="s">
        <v>705</v>
      </c>
      <c r="B648" s="1">
        <v>45397</v>
      </c>
      <c r="C648" t="s">
        <v>4</v>
      </c>
      <c r="D648" t="s">
        <v>64</v>
      </c>
      <c r="E648" t="s">
        <v>28</v>
      </c>
      <c r="F648" t="s">
        <v>22</v>
      </c>
      <c r="G648" t="s">
        <v>51</v>
      </c>
      <c r="H648">
        <v>10</v>
      </c>
      <c r="I648">
        <v>41985</v>
      </c>
      <c r="J648">
        <v>0.1</v>
      </c>
    </row>
    <row r="649" spans="1:11" x14ac:dyDescent="0.3">
      <c r="A649" t="s">
        <v>706</v>
      </c>
      <c r="B649" s="1">
        <v>45462</v>
      </c>
      <c r="C649" t="s">
        <v>6</v>
      </c>
      <c r="D649" t="s">
        <v>64</v>
      </c>
      <c r="E649" t="s">
        <v>28</v>
      </c>
      <c r="F649" t="s">
        <v>58</v>
      </c>
      <c r="G649" t="s">
        <v>54</v>
      </c>
      <c r="H649">
        <v>7</v>
      </c>
      <c r="I649">
        <v>38872</v>
      </c>
      <c r="J649">
        <v>0.1</v>
      </c>
    </row>
    <row r="650" spans="1:11" x14ac:dyDescent="0.3">
      <c r="A650" t="s">
        <v>707</v>
      </c>
      <c r="B650" s="1">
        <v>45391</v>
      </c>
      <c r="C650" t="s">
        <v>4</v>
      </c>
      <c r="D650" t="s">
        <v>69</v>
      </c>
      <c r="E650" t="s">
        <v>25</v>
      </c>
      <c r="F650" t="s">
        <v>50</v>
      </c>
      <c r="G650" t="s">
        <v>51</v>
      </c>
      <c r="H650">
        <v>9</v>
      </c>
      <c r="I650">
        <v>2209</v>
      </c>
      <c r="K650">
        <v>18635</v>
      </c>
    </row>
    <row r="651" spans="1:11" x14ac:dyDescent="0.3">
      <c r="A651" t="s">
        <v>708</v>
      </c>
      <c r="B651" s="1">
        <v>45453</v>
      </c>
      <c r="C651" t="s">
        <v>6</v>
      </c>
      <c r="D651" t="s">
        <v>56</v>
      </c>
      <c r="E651" t="s">
        <v>28</v>
      </c>
      <c r="F651" t="s">
        <v>61</v>
      </c>
      <c r="G651" t="s">
        <v>54</v>
      </c>
      <c r="H651">
        <v>6</v>
      </c>
      <c r="I651">
        <v>18059</v>
      </c>
    </row>
    <row r="652" spans="1:11" x14ac:dyDescent="0.3">
      <c r="A652" t="s">
        <v>709</v>
      </c>
      <c r="B652" s="1">
        <v>45438</v>
      </c>
      <c r="C652" t="s">
        <v>6</v>
      </c>
      <c r="D652" t="s">
        <v>64</v>
      </c>
      <c r="E652" t="s">
        <v>26</v>
      </c>
      <c r="F652" t="s">
        <v>58</v>
      </c>
      <c r="G652" t="s">
        <v>54</v>
      </c>
      <c r="H652">
        <v>7</v>
      </c>
      <c r="I652">
        <v>49514</v>
      </c>
      <c r="J652">
        <v>0.05</v>
      </c>
      <c r="K652">
        <v>920</v>
      </c>
    </row>
    <row r="653" spans="1:11" x14ac:dyDescent="0.3">
      <c r="A653" t="s">
        <v>710</v>
      </c>
      <c r="B653" s="1">
        <v>45383</v>
      </c>
      <c r="C653" t="s">
        <v>4</v>
      </c>
      <c r="D653" t="s">
        <v>69</v>
      </c>
      <c r="E653" t="s">
        <v>28</v>
      </c>
      <c r="F653" t="s">
        <v>23</v>
      </c>
      <c r="G653" t="s">
        <v>54</v>
      </c>
      <c r="H653">
        <v>2</v>
      </c>
      <c r="I653">
        <v>6010</v>
      </c>
      <c r="J653">
        <v>0.05</v>
      </c>
      <c r="K653">
        <v>16740</v>
      </c>
    </row>
    <row r="654" spans="1:11" x14ac:dyDescent="0.3">
      <c r="A654" t="s">
        <v>711</v>
      </c>
      <c r="B654" s="1">
        <v>45398</v>
      </c>
      <c r="C654" t="s">
        <v>6</v>
      </c>
      <c r="D654" t="s">
        <v>76</v>
      </c>
      <c r="E654" t="s">
        <v>29</v>
      </c>
      <c r="F654" t="s">
        <v>22</v>
      </c>
      <c r="G654" t="s">
        <v>51</v>
      </c>
      <c r="H654">
        <v>6</v>
      </c>
      <c r="I654">
        <v>12179</v>
      </c>
      <c r="J654">
        <v>0.1</v>
      </c>
    </row>
    <row r="655" spans="1:11" x14ac:dyDescent="0.3">
      <c r="A655" t="s">
        <v>712</v>
      </c>
      <c r="B655" s="1">
        <v>45503</v>
      </c>
      <c r="C655" t="s">
        <v>5</v>
      </c>
      <c r="D655" t="s">
        <v>56</v>
      </c>
      <c r="E655" t="s">
        <v>25</v>
      </c>
      <c r="F655" t="s">
        <v>50</v>
      </c>
      <c r="G655" t="s">
        <v>51</v>
      </c>
      <c r="H655">
        <v>1</v>
      </c>
      <c r="I655">
        <v>35993</v>
      </c>
      <c r="J655">
        <v>0.05</v>
      </c>
      <c r="K655">
        <v>9193</v>
      </c>
    </row>
    <row r="656" spans="1:11" x14ac:dyDescent="0.3">
      <c r="A656" t="s">
        <v>713</v>
      </c>
      <c r="B656" s="1">
        <v>45416</v>
      </c>
      <c r="C656" t="s">
        <v>4</v>
      </c>
      <c r="D656" t="s">
        <v>64</v>
      </c>
      <c r="E656" t="s">
        <v>25</v>
      </c>
      <c r="F656" t="s">
        <v>61</v>
      </c>
      <c r="G656" t="s">
        <v>54</v>
      </c>
      <c r="H656">
        <v>1</v>
      </c>
      <c r="I656">
        <v>23160</v>
      </c>
      <c r="J656">
        <v>0</v>
      </c>
    </row>
    <row r="657" spans="1:11" x14ac:dyDescent="0.3">
      <c r="A657" t="s">
        <v>714</v>
      </c>
      <c r="B657" s="1">
        <v>45609</v>
      </c>
      <c r="C657" t="s">
        <v>4</v>
      </c>
      <c r="D657" t="s">
        <v>56</v>
      </c>
      <c r="E657" t="s">
        <v>27</v>
      </c>
      <c r="F657" t="s">
        <v>23</v>
      </c>
      <c r="G657" t="s">
        <v>54</v>
      </c>
      <c r="H657">
        <v>3</v>
      </c>
      <c r="I657">
        <v>32595</v>
      </c>
      <c r="J657">
        <v>0.1</v>
      </c>
      <c r="K657">
        <v>23054</v>
      </c>
    </row>
    <row r="658" spans="1:11" x14ac:dyDescent="0.3">
      <c r="A658" t="s">
        <v>715</v>
      </c>
      <c r="B658" s="1">
        <v>45562</v>
      </c>
      <c r="C658" t="s">
        <v>5</v>
      </c>
      <c r="D658" t="s">
        <v>64</v>
      </c>
      <c r="E658" t="s">
        <v>26</v>
      </c>
      <c r="F658" t="s">
        <v>58</v>
      </c>
      <c r="G658" t="s">
        <v>54</v>
      </c>
      <c r="H658">
        <v>5</v>
      </c>
      <c r="I658">
        <v>4042</v>
      </c>
      <c r="K658">
        <v>4476</v>
      </c>
    </row>
    <row r="659" spans="1:11" x14ac:dyDescent="0.3">
      <c r="A659" t="s">
        <v>716</v>
      </c>
      <c r="B659" s="1">
        <v>45537</v>
      </c>
      <c r="C659" t="s">
        <v>6</v>
      </c>
      <c r="D659" t="s">
        <v>56</v>
      </c>
      <c r="E659" t="s">
        <v>26</v>
      </c>
      <c r="F659" t="s">
        <v>61</v>
      </c>
      <c r="G659" t="s">
        <v>54</v>
      </c>
      <c r="H659">
        <v>5</v>
      </c>
      <c r="I659">
        <v>44980</v>
      </c>
    </row>
    <row r="660" spans="1:11" x14ac:dyDescent="0.3">
      <c r="A660" t="s">
        <v>717</v>
      </c>
      <c r="B660" s="1">
        <v>45348</v>
      </c>
      <c r="C660" t="s">
        <v>3</v>
      </c>
      <c r="D660" t="s">
        <v>76</v>
      </c>
      <c r="E660" t="s">
        <v>27</v>
      </c>
      <c r="F660" t="s">
        <v>24</v>
      </c>
      <c r="G660" t="s">
        <v>54</v>
      </c>
      <c r="H660">
        <v>3</v>
      </c>
      <c r="I660">
        <v>8437</v>
      </c>
      <c r="J660">
        <v>0</v>
      </c>
    </row>
    <row r="661" spans="1:11" x14ac:dyDescent="0.3">
      <c r="A661" t="s">
        <v>718</v>
      </c>
      <c r="B661" s="1">
        <v>45332</v>
      </c>
      <c r="C661" t="s">
        <v>3</v>
      </c>
      <c r="D661" t="s">
        <v>56</v>
      </c>
      <c r="E661" t="s">
        <v>25</v>
      </c>
      <c r="F661" t="s">
        <v>61</v>
      </c>
      <c r="G661" t="s">
        <v>54</v>
      </c>
      <c r="H661">
        <v>9</v>
      </c>
      <c r="I661">
        <v>23526</v>
      </c>
      <c r="J661">
        <v>0.1</v>
      </c>
    </row>
    <row r="662" spans="1:11" x14ac:dyDescent="0.3">
      <c r="A662" t="s">
        <v>719</v>
      </c>
      <c r="B662" s="1">
        <v>45647</v>
      </c>
      <c r="C662" t="s">
        <v>4</v>
      </c>
      <c r="D662" t="s">
        <v>69</v>
      </c>
      <c r="E662" t="s">
        <v>25</v>
      </c>
      <c r="F662" t="s">
        <v>50</v>
      </c>
      <c r="G662" t="s">
        <v>51</v>
      </c>
      <c r="H662">
        <v>9</v>
      </c>
      <c r="I662">
        <v>19065</v>
      </c>
      <c r="J662">
        <v>0.05</v>
      </c>
    </row>
    <row r="663" spans="1:11" x14ac:dyDescent="0.3">
      <c r="A663" t="s">
        <v>720</v>
      </c>
      <c r="B663" s="1">
        <v>45327</v>
      </c>
      <c r="C663" t="s">
        <v>3</v>
      </c>
      <c r="D663" t="s">
        <v>49</v>
      </c>
      <c r="E663" t="s">
        <v>25</v>
      </c>
      <c r="F663" t="s">
        <v>24</v>
      </c>
      <c r="G663" t="s">
        <v>54</v>
      </c>
      <c r="H663">
        <v>8</v>
      </c>
      <c r="I663">
        <v>43535</v>
      </c>
      <c r="J663">
        <v>0.05</v>
      </c>
    </row>
    <row r="664" spans="1:11" x14ac:dyDescent="0.3">
      <c r="A664" t="s">
        <v>721</v>
      </c>
      <c r="B664" s="1">
        <v>45368</v>
      </c>
      <c r="C664" t="s">
        <v>4</v>
      </c>
      <c r="D664" t="s">
        <v>76</v>
      </c>
      <c r="E664" t="s">
        <v>27</v>
      </c>
      <c r="F664" t="s">
        <v>50</v>
      </c>
      <c r="G664" t="s">
        <v>51</v>
      </c>
      <c r="H664">
        <v>1</v>
      </c>
      <c r="I664">
        <v>7472</v>
      </c>
      <c r="J664">
        <v>0.1</v>
      </c>
    </row>
    <row r="665" spans="1:11" x14ac:dyDescent="0.3">
      <c r="A665" t="s">
        <v>722</v>
      </c>
      <c r="B665" s="1">
        <v>45390</v>
      </c>
      <c r="C665" t="s">
        <v>3</v>
      </c>
      <c r="D665" t="s">
        <v>56</v>
      </c>
      <c r="E665" t="s">
        <v>28</v>
      </c>
      <c r="F665" t="s">
        <v>24</v>
      </c>
      <c r="G665" t="s">
        <v>54</v>
      </c>
      <c r="H665">
        <v>2</v>
      </c>
      <c r="I665">
        <v>19558</v>
      </c>
      <c r="J665">
        <v>0.1</v>
      </c>
      <c r="K665">
        <v>12634</v>
      </c>
    </row>
    <row r="666" spans="1:11" x14ac:dyDescent="0.3">
      <c r="A666" t="s">
        <v>723</v>
      </c>
      <c r="B666" s="1">
        <v>45312</v>
      </c>
      <c r="C666" t="s">
        <v>4</v>
      </c>
      <c r="D666" t="s">
        <v>76</v>
      </c>
      <c r="E666" t="s">
        <v>25</v>
      </c>
      <c r="F666" t="s">
        <v>50</v>
      </c>
      <c r="G666" t="s">
        <v>51</v>
      </c>
      <c r="H666">
        <v>9</v>
      </c>
      <c r="I666">
        <v>42899</v>
      </c>
    </row>
    <row r="667" spans="1:11" x14ac:dyDescent="0.3">
      <c r="A667" t="s">
        <v>724</v>
      </c>
      <c r="B667" s="1">
        <v>45641</v>
      </c>
      <c r="C667" t="s">
        <v>5</v>
      </c>
      <c r="D667" t="s">
        <v>53</v>
      </c>
      <c r="E667" t="s">
        <v>28</v>
      </c>
      <c r="F667" t="s">
        <v>58</v>
      </c>
      <c r="G667" t="s">
        <v>54</v>
      </c>
      <c r="H667">
        <v>7</v>
      </c>
      <c r="I667">
        <v>43661</v>
      </c>
      <c r="J667">
        <v>0.05</v>
      </c>
    </row>
    <row r="668" spans="1:11" x14ac:dyDescent="0.3">
      <c r="A668" t="s">
        <v>725</v>
      </c>
      <c r="B668" s="1">
        <v>45391</v>
      </c>
      <c r="C668" t="s">
        <v>4</v>
      </c>
      <c r="D668" t="s">
        <v>76</v>
      </c>
      <c r="E668" t="s">
        <v>26</v>
      </c>
      <c r="F668" t="s">
        <v>24</v>
      </c>
      <c r="G668" t="s">
        <v>54</v>
      </c>
      <c r="H668">
        <v>7</v>
      </c>
      <c r="I668">
        <v>36190</v>
      </c>
      <c r="J668">
        <v>0.1</v>
      </c>
      <c r="K668">
        <v>4048</v>
      </c>
    </row>
    <row r="669" spans="1:11" x14ac:dyDescent="0.3">
      <c r="A669" t="s">
        <v>726</v>
      </c>
      <c r="B669" s="1">
        <v>45378</v>
      </c>
      <c r="C669" t="s">
        <v>4</v>
      </c>
      <c r="D669" t="s">
        <v>56</v>
      </c>
      <c r="E669" t="s">
        <v>29</v>
      </c>
      <c r="F669" t="s">
        <v>23</v>
      </c>
      <c r="G669" t="s">
        <v>54</v>
      </c>
      <c r="H669">
        <v>8</v>
      </c>
      <c r="I669">
        <v>34983</v>
      </c>
      <c r="J669">
        <v>0</v>
      </c>
      <c r="K669">
        <v>17797</v>
      </c>
    </row>
    <row r="670" spans="1:11" x14ac:dyDescent="0.3">
      <c r="A670" t="s">
        <v>727</v>
      </c>
      <c r="B670" s="1">
        <v>45602</v>
      </c>
      <c r="C670" t="s">
        <v>6</v>
      </c>
      <c r="D670" t="s">
        <v>53</v>
      </c>
      <c r="E670" t="s">
        <v>29</v>
      </c>
      <c r="F670" t="s">
        <v>58</v>
      </c>
      <c r="G670" t="s">
        <v>54</v>
      </c>
      <c r="H670">
        <v>1</v>
      </c>
      <c r="I670">
        <v>29692</v>
      </c>
      <c r="K670">
        <v>20806</v>
      </c>
    </row>
    <row r="671" spans="1:11" x14ac:dyDescent="0.3">
      <c r="A671" t="s">
        <v>728</v>
      </c>
      <c r="B671" s="1">
        <v>45339</v>
      </c>
      <c r="C671" t="s">
        <v>4</v>
      </c>
      <c r="D671" t="s">
        <v>76</v>
      </c>
      <c r="E671" t="s">
        <v>28</v>
      </c>
      <c r="F671" t="s">
        <v>24</v>
      </c>
      <c r="G671" t="s">
        <v>54</v>
      </c>
      <c r="H671">
        <v>8</v>
      </c>
      <c r="I671">
        <v>38788</v>
      </c>
    </row>
    <row r="672" spans="1:11" x14ac:dyDescent="0.3">
      <c r="A672" t="s">
        <v>729</v>
      </c>
      <c r="B672" s="1">
        <v>45410</v>
      </c>
      <c r="C672" t="s">
        <v>6</v>
      </c>
      <c r="D672" t="s">
        <v>76</v>
      </c>
      <c r="E672" t="s">
        <v>25</v>
      </c>
      <c r="F672" t="s">
        <v>61</v>
      </c>
      <c r="G672" t="s">
        <v>54</v>
      </c>
      <c r="H672">
        <v>6</v>
      </c>
      <c r="I672">
        <v>3488</v>
      </c>
      <c r="J672">
        <v>0.05</v>
      </c>
    </row>
    <row r="673" spans="1:11" x14ac:dyDescent="0.3">
      <c r="A673" t="s">
        <v>730</v>
      </c>
      <c r="B673" s="1">
        <v>45450</v>
      </c>
      <c r="C673" t="s">
        <v>4</v>
      </c>
      <c r="D673" t="s">
        <v>76</v>
      </c>
      <c r="E673" t="s">
        <v>25</v>
      </c>
      <c r="F673" t="s">
        <v>23</v>
      </c>
      <c r="G673" t="s">
        <v>54</v>
      </c>
      <c r="H673">
        <v>8</v>
      </c>
      <c r="I673">
        <v>44250</v>
      </c>
      <c r="J673">
        <v>0.05</v>
      </c>
    </row>
    <row r="674" spans="1:11" x14ac:dyDescent="0.3">
      <c r="A674" t="s">
        <v>731</v>
      </c>
      <c r="B674" s="1">
        <v>45417</v>
      </c>
      <c r="C674" t="s">
        <v>6</v>
      </c>
      <c r="D674" t="s">
        <v>56</v>
      </c>
      <c r="E674" t="s">
        <v>28</v>
      </c>
      <c r="F674" t="s">
        <v>61</v>
      </c>
      <c r="G674" t="s">
        <v>54</v>
      </c>
      <c r="H674">
        <v>8</v>
      </c>
      <c r="I674">
        <v>18843</v>
      </c>
      <c r="J674">
        <v>0.05</v>
      </c>
    </row>
    <row r="675" spans="1:11" x14ac:dyDescent="0.3">
      <c r="A675" t="s">
        <v>732</v>
      </c>
      <c r="B675" s="1">
        <v>45332</v>
      </c>
      <c r="C675" t="s">
        <v>5</v>
      </c>
      <c r="D675" t="s">
        <v>53</v>
      </c>
      <c r="E675" t="s">
        <v>29</v>
      </c>
      <c r="F675" t="s">
        <v>23</v>
      </c>
      <c r="G675" t="s">
        <v>54</v>
      </c>
      <c r="H675">
        <v>2</v>
      </c>
      <c r="I675">
        <v>28149</v>
      </c>
      <c r="J675">
        <v>0.05</v>
      </c>
    </row>
    <row r="676" spans="1:11" x14ac:dyDescent="0.3">
      <c r="A676" t="s">
        <v>733</v>
      </c>
      <c r="B676" s="1">
        <v>45389</v>
      </c>
      <c r="C676" t="s">
        <v>5</v>
      </c>
      <c r="D676" t="s">
        <v>76</v>
      </c>
      <c r="E676" t="s">
        <v>27</v>
      </c>
      <c r="F676" t="s">
        <v>50</v>
      </c>
      <c r="G676" t="s">
        <v>51</v>
      </c>
      <c r="H676">
        <v>4</v>
      </c>
      <c r="I676">
        <v>49259</v>
      </c>
      <c r="J676">
        <v>0.1</v>
      </c>
    </row>
    <row r="677" spans="1:11" x14ac:dyDescent="0.3">
      <c r="A677" t="s">
        <v>734</v>
      </c>
      <c r="B677" s="1">
        <v>45377</v>
      </c>
      <c r="C677" t="s">
        <v>4</v>
      </c>
      <c r="D677" t="s">
        <v>76</v>
      </c>
      <c r="E677" t="s">
        <v>29</v>
      </c>
      <c r="F677" t="s">
        <v>58</v>
      </c>
      <c r="G677" t="s">
        <v>54</v>
      </c>
      <c r="H677">
        <v>9</v>
      </c>
      <c r="I677">
        <v>4369</v>
      </c>
    </row>
    <row r="678" spans="1:11" x14ac:dyDescent="0.3">
      <c r="A678" t="s">
        <v>735</v>
      </c>
      <c r="B678" s="1">
        <v>45470</v>
      </c>
      <c r="C678" t="s">
        <v>4</v>
      </c>
      <c r="D678" t="s">
        <v>64</v>
      </c>
      <c r="E678" t="s">
        <v>27</v>
      </c>
      <c r="F678" t="s">
        <v>58</v>
      </c>
      <c r="G678" t="s">
        <v>54</v>
      </c>
      <c r="H678">
        <v>10</v>
      </c>
      <c r="I678">
        <v>31979</v>
      </c>
      <c r="J678">
        <v>0.05</v>
      </c>
    </row>
    <row r="679" spans="1:11" x14ac:dyDescent="0.3">
      <c r="A679" t="s">
        <v>736</v>
      </c>
      <c r="B679" s="1">
        <v>45591</v>
      </c>
      <c r="C679" t="s">
        <v>3</v>
      </c>
      <c r="D679" t="s">
        <v>49</v>
      </c>
      <c r="E679" t="s">
        <v>25</v>
      </c>
      <c r="F679" t="s">
        <v>22</v>
      </c>
      <c r="G679" t="s">
        <v>51</v>
      </c>
      <c r="H679">
        <v>7</v>
      </c>
      <c r="I679">
        <v>6059</v>
      </c>
    </row>
    <row r="680" spans="1:11" x14ac:dyDescent="0.3">
      <c r="A680" t="s">
        <v>737</v>
      </c>
      <c r="B680" s="1">
        <v>45434</v>
      </c>
      <c r="C680" t="s">
        <v>4</v>
      </c>
      <c r="D680" t="s">
        <v>69</v>
      </c>
      <c r="E680" t="s">
        <v>27</v>
      </c>
      <c r="F680" t="s">
        <v>58</v>
      </c>
      <c r="G680" t="s">
        <v>54</v>
      </c>
      <c r="H680">
        <v>10</v>
      </c>
      <c r="I680">
        <v>9719</v>
      </c>
      <c r="J680">
        <v>0</v>
      </c>
      <c r="K680">
        <v>3475</v>
      </c>
    </row>
    <row r="681" spans="1:11" x14ac:dyDescent="0.3">
      <c r="A681" t="s">
        <v>738</v>
      </c>
      <c r="B681" s="1">
        <v>45433</v>
      </c>
      <c r="C681" t="s">
        <v>3</v>
      </c>
      <c r="D681" t="s">
        <v>69</v>
      </c>
      <c r="E681" t="s">
        <v>29</v>
      </c>
      <c r="F681" t="s">
        <v>50</v>
      </c>
      <c r="G681" t="s">
        <v>51</v>
      </c>
      <c r="H681">
        <v>5</v>
      </c>
      <c r="I681">
        <v>15993</v>
      </c>
      <c r="J681">
        <v>0</v>
      </c>
      <c r="K681">
        <v>23580</v>
      </c>
    </row>
    <row r="682" spans="1:11" x14ac:dyDescent="0.3">
      <c r="A682" t="s">
        <v>739</v>
      </c>
      <c r="B682" s="1">
        <v>45342</v>
      </c>
      <c r="C682" t="s">
        <v>5</v>
      </c>
      <c r="D682" t="s">
        <v>49</v>
      </c>
      <c r="E682" t="s">
        <v>29</v>
      </c>
      <c r="F682" t="s">
        <v>24</v>
      </c>
      <c r="G682" t="s">
        <v>54</v>
      </c>
      <c r="H682">
        <v>6</v>
      </c>
      <c r="I682">
        <v>17953</v>
      </c>
      <c r="J682">
        <v>0.05</v>
      </c>
      <c r="K682">
        <v>1257</v>
      </c>
    </row>
    <row r="683" spans="1:11" x14ac:dyDescent="0.3">
      <c r="A683" t="s">
        <v>740</v>
      </c>
      <c r="B683" s="1">
        <v>45528</v>
      </c>
      <c r="C683" t="s">
        <v>3</v>
      </c>
      <c r="D683" t="s">
        <v>53</v>
      </c>
      <c r="E683" t="s">
        <v>28</v>
      </c>
      <c r="F683" t="s">
        <v>58</v>
      </c>
      <c r="G683" t="s">
        <v>54</v>
      </c>
      <c r="H683">
        <v>9</v>
      </c>
      <c r="I683">
        <v>6758</v>
      </c>
      <c r="J683">
        <v>0</v>
      </c>
      <c r="K683">
        <v>7489</v>
      </c>
    </row>
    <row r="684" spans="1:11" x14ac:dyDescent="0.3">
      <c r="A684" t="s">
        <v>741</v>
      </c>
      <c r="B684" s="1">
        <v>45556</v>
      </c>
      <c r="C684" t="s">
        <v>3</v>
      </c>
      <c r="D684" t="s">
        <v>49</v>
      </c>
      <c r="E684" t="s">
        <v>26</v>
      </c>
      <c r="F684" t="s">
        <v>24</v>
      </c>
      <c r="G684" t="s">
        <v>54</v>
      </c>
      <c r="H684">
        <v>9</v>
      </c>
      <c r="I684">
        <v>26636</v>
      </c>
      <c r="J684">
        <v>0.1</v>
      </c>
    </row>
    <row r="685" spans="1:11" x14ac:dyDescent="0.3">
      <c r="A685" t="s">
        <v>742</v>
      </c>
      <c r="B685" s="1">
        <v>45424</v>
      </c>
      <c r="C685" t="s">
        <v>6</v>
      </c>
      <c r="D685" t="s">
        <v>69</v>
      </c>
      <c r="E685" t="s">
        <v>25</v>
      </c>
      <c r="F685" t="s">
        <v>24</v>
      </c>
      <c r="G685" t="s">
        <v>54</v>
      </c>
      <c r="H685">
        <v>4</v>
      </c>
      <c r="I685">
        <v>34128</v>
      </c>
      <c r="K685">
        <v>15614</v>
      </c>
    </row>
    <row r="686" spans="1:11" x14ac:dyDescent="0.3">
      <c r="A686" t="s">
        <v>743</v>
      </c>
      <c r="B686" s="1">
        <v>45450</v>
      </c>
      <c r="C686" t="s">
        <v>5</v>
      </c>
      <c r="D686" t="s">
        <v>76</v>
      </c>
      <c r="E686" t="s">
        <v>28</v>
      </c>
      <c r="F686" t="s">
        <v>50</v>
      </c>
      <c r="G686" t="s">
        <v>51</v>
      </c>
      <c r="H686">
        <v>9</v>
      </c>
      <c r="I686">
        <v>48730</v>
      </c>
      <c r="J686">
        <v>0.1</v>
      </c>
      <c r="K686">
        <v>27728</v>
      </c>
    </row>
    <row r="687" spans="1:11" x14ac:dyDescent="0.3">
      <c r="A687" t="s">
        <v>744</v>
      </c>
      <c r="B687" s="1">
        <v>45568</v>
      </c>
      <c r="C687" t="s">
        <v>4</v>
      </c>
      <c r="D687" t="s">
        <v>69</v>
      </c>
      <c r="E687" t="s">
        <v>26</v>
      </c>
      <c r="F687" t="s">
        <v>23</v>
      </c>
      <c r="G687" t="s">
        <v>54</v>
      </c>
      <c r="H687">
        <v>4</v>
      </c>
      <c r="I687">
        <v>46807</v>
      </c>
      <c r="J687">
        <v>0.05</v>
      </c>
    </row>
    <row r="688" spans="1:11" x14ac:dyDescent="0.3">
      <c r="A688" t="s">
        <v>745</v>
      </c>
      <c r="B688" s="1">
        <v>45570</v>
      </c>
      <c r="C688" t="s">
        <v>6</v>
      </c>
      <c r="D688" t="s">
        <v>53</v>
      </c>
      <c r="E688" t="s">
        <v>29</v>
      </c>
      <c r="F688" t="s">
        <v>58</v>
      </c>
      <c r="G688" t="s">
        <v>54</v>
      </c>
      <c r="H688">
        <v>6</v>
      </c>
      <c r="I688">
        <v>14767</v>
      </c>
      <c r="J688">
        <v>0.05</v>
      </c>
      <c r="K688">
        <v>6820</v>
      </c>
    </row>
    <row r="689" spans="1:11" x14ac:dyDescent="0.3">
      <c r="A689" t="s">
        <v>746</v>
      </c>
      <c r="B689" s="1">
        <v>45578</v>
      </c>
      <c r="C689" t="s">
        <v>4</v>
      </c>
      <c r="D689" t="s">
        <v>69</v>
      </c>
      <c r="E689" t="s">
        <v>26</v>
      </c>
      <c r="F689" t="s">
        <v>61</v>
      </c>
      <c r="G689" t="s">
        <v>54</v>
      </c>
      <c r="H689">
        <v>8</v>
      </c>
      <c r="I689">
        <v>27672</v>
      </c>
      <c r="J689">
        <v>0</v>
      </c>
      <c r="K689">
        <v>16345</v>
      </c>
    </row>
    <row r="690" spans="1:11" x14ac:dyDescent="0.3">
      <c r="A690" t="s">
        <v>747</v>
      </c>
      <c r="B690" s="1">
        <v>45311</v>
      </c>
      <c r="C690" t="s">
        <v>4</v>
      </c>
      <c r="D690" t="s">
        <v>64</v>
      </c>
      <c r="E690" t="s">
        <v>29</v>
      </c>
      <c r="F690" t="s">
        <v>58</v>
      </c>
      <c r="G690" t="s">
        <v>54</v>
      </c>
      <c r="H690">
        <v>2</v>
      </c>
      <c r="I690">
        <v>6334</v>
      </c>
    </row>
    <row r="691" spans="1:11" x14ac:dyDescent="0.3">
      <c r="A691" t="s">
        <v>748</v>
      </c>
      <c r="B691" s="1">
        <v>45474</v>
      </c>
      <c r="C691" t="s">
        <v>3</v>
      </c>
      <c r="D691" t="s">
        <v>64</v>
      </c>
      <c r="E691" t="s">
        <v>25</v>
      </c>
      <c r="F691" t="s">
        <v>61</v>
      </c>
      <c r="G691" t="s">
        <v>54</v>
      </c>
      <c r="H691">
        <v>5</v>
      </c>
      <c r="I691">
        <v>34095</v>
      </c>
      <c r="K691">
        <v>6452</v>
      </c>
    </row>
    <row r="692" spans="1:11" x14ac:dyDescent="0.3">
      <c r="A692" t="s">
        <v>749</v>
      </c>
      <c r="B692" s="1">
        <v>45340</v>
      </c>
      <c r="C692" t="s">
        <v>5</v>
      </c>
      <c r="D692" t="s">
        <v>64</v>
      </c>
      <c r="E692" t="s">
        <v>27</v>
      </c>
      <c r="F692" t="s">
        <v>22</v>
      </c>
      <c r="G692" t="s">
        <v>51</v>
      </c>
      <c r="H692">
        <v>5</v>
      </c>
      <c r="I692">
        <v>17438</v>
      </c>
      <c r="J692">
        <v>0.05</v>
      </c>
      <c r="K692">
        <v>7877</v>
      </c>
    </row>
    <row r="693" spans="1:11" x14ac:dyDescent="0.3">
      <c r="A693" t="s">
        <v>750</v>
      </c>
      <c r="B693" s="1">
        <v>45442</v>
      </c>
      <c r="C693" t="s">
        <v>6</v>
      </c>
      <c r="D693" t="s">
        <v>69</v>
      </c>
      <c r="E693" t="s">
        <v>26</v>
      </c>
      <c r="F693" t="s">
        <v>61</v>
      </c>
      <c r="G693" t="s">
        <v>54</v>
      </c>
      <c r="H693">
        <v>6</v>
      </c>
      <c r="I693">
        <v>17236</v>
      </c>
      <c r="J693">
        <v>0.1</v>
      </c>
      <c r="K693">
        <v>22011</v>
      </c>
    </row>
    <row r="694" spans="1:11" x14ac:dyDescent="0.3">
      <c r="A694" t="s">
        <v>751</v>
      </c>
      <c r="B694" s="1">
        <v>45518</v>
      </c>
      <c r="C694" t="s">
        <v>6</v>
      </c>
      <c r="D694" t="s">
        <v>53</v>
      </c>
      <c r="E694" t="s">
        <v>25</v>
      </c>
      <c r="F694" t="s">
        <v>50</v>
      </c>
      <c r="G694" t="s">
        <v>51</v>
      </c>
      <c r="H694">
        <v>10</v>
      </c>
      <c r="I694">
        <v>22469</v>
      </c>
      <c r="K694">
        <v>22091</v>
      </c>
    </row>
    <row r="695" spans="1:11" x14ac:dyDescent="0.3">
      <c r="A695" t="s">
        <v>752</v>
      </c>
      <c r="B695" s="1">
        <v>45655</v>
      </c>
      <c r="C695" t="s">
        <v>5</v>
      </c>
      <c r="D695" t="s">
        <v>53</v>
      </c>
      <c r="E695" t="s">
        <v>27</v>
      </c>
      <c r="F695" t="s">
        <v>50</v>
      </c>
      <c r="G695" t="s">
        <v>51</v>
      </c>
      <c r="H695">
        <v>9</v>
      </c>
      <c r="I695">
        <v>37581</v>
      </c>
    </row>
    <row r="696" spans="1:11" x14ac:dyDescent="0.3">
      <c r="A696" t="s">
        <v>753</v>
      </c>
      <c r="B696" s="1">
        <v>45471</v>
      </c>
      <c r="C696" t="s">
        <v>5</v>
      </c>
      <c r="D696" t="s">
        <v>69</v>
      </c>
      <c r="E696" t="s">
        <v>29</v>
      </c>
      <c r="F696" t="s">
        <v>22</v>
      </c>
      <c r="G696" t="s">
        <v>51</v>
      </c>
      <c r="H696">
        <v>10</v>
      </c>
      <c r="I696">
        <v>32506</v>
      </c>
      <c r="K696">
        <v>26273</v>
      </c>
    </row>
    <row r="697" spans="1:11" x14ac:dyDescent="0.3">
      <c r="A697" t="s">
        <v>754</v>
      </c>
      <c r="B697" s="1">
        <v>45611</v>
      </c>
      <c r="C697" t="s">
        <v>4</v>
      </c>
      <c r="D697" t="s">
        <v>64</v>
      </c>
      <c r="E697" t="s">
        <v>27</v>
      </c>
      <c r="F697" t="s">
        <v>61</v>
      </c>
      <c r="G697" t="s">
        <v>54</v>
      </c>
      <c r="H697">
        <v>6</v>
      </c>
      <c r="I697">
        <v>45144</v>
      </c>
      <c r="K697">
        <v>1792</v>
      </c>
    </row>
    <row r="698" spans="1:11" x14ac:dyDescent="0.3">
      <c r="A698" t="s">
        <v>755</v>
      </c>
      <c r="B698" s="1">
        <v>45656</v>
      </c>
      <c r="C698" t="s">
        <v>5</v>
      </c>
      <c r="D698" t="s">
        <v>64</v>
      </c>
      <c r="E698" t="s">
        <v>27</v>
      </c>
      <c r="F698" t="s">
        <v>61</v>
      </c>
      <c r="G698" t="s">
        <v>54</v>
      </c>
      <c r="H698">
        <v>1</v>
      </c>
      <c r="I698">
        <v>46238</v>
      </c>
      <c r="J698">
        <v>0</v>
      </c>
      <c r="K698">
        <v>287</v>
      </c>
    </row>
    <row r="699" spans="1:11" x14ac:dyDescent="0.3">
      <c r="A699" t="s">
        <v>756</v>
      </c>
      <c r="B699" s="1">
        <v>45426</v>
      </c>
      <c r="C699" t="s">
        <v>4</v>
      </c>
      <c r="D699" t="s">
        <v>49</v>
      </c>
      <c r="E699" t="s">
        <v>26</v>
      </c>
      <c r="F699" t="s">
        <v>24</v>
      </c>
      <c r="G699" t="s">
        <v>54</v>
      </c>
      <c r="H699">
        <v>8</v>
      </c>
      <c r="I699">
        <v>45974</v>
      </c>
      <c r="J699">
        <v>0.05</v>
      </c>
      <c r="K699">
        <v>26925</v>
      </c>
    </row>
    <row r="700" spans="1:11" x14ac:dyDescent="0.3">
      <c r="A700" t="s">
        <v>757</v>
      </c>
      <c r="B700" s="1">
        <v>45313</v>
      </c>
      <c r="C700" t="s">
        <v>6</v>
      </c>
      <c r="D700" t="s">
        <v>69</v>
      </c>
      <c r="E700" t="s">
        <v>25</v>
      </c>
      <c r="F700" t="s">
        <v>24</v>
      </c>
      <c r="G700" t="s">
        <v>54</v>
      </c>
      <c r="H700">
        <v>8</v>
      </c>
      <c r="I700">
        <v>7517</v>
      </c>
      <c r="J700">
        <v>0.05</v>
      </c>
    </row>
    <row r="701" spans="1:11" x14ac:dyDescent="0.3">
      <c r="A701" t="s">
        <v>758</v>
      </c>
      <c r="B701" s="1">
        <v>45464</v>
      </c>
      <c r="C701" t="s">
        <v>3</v>
      </c>
      <c r="D701" t="s">
        <v>76</v>
      </c>
      <c r="E701" t="s">
        <v>25</v>
      </c>
      <c r="F701" t="s">
        <v>22</v>
      </c>
      <c r="G701" t="s">
        <v>51</v>
      </c>
      <c r="H701">
        <v>7</v>
      </c>
      <c r="I701">
        <v>31262</v>
      </c>
      <c r="K701">
        <v>10397</v>
      </c>
    </row>
    <row r="702" spans="1:11" x14ac:dyDescent="0.3">
      <c r="A702" t="s">
        <v>759</v>
      </c>
      <c r="B702" s="1">
        <v>45522</v>
      </c>
      <c r="C702" t="s">
        <v>5</v>
      </c>
      <c r="D702" t="s">
        <v>69</v>
      </c>
      <c r="E702" t="s">
        <v>26</v>
      </c>
      <c r="F702" t="s">
        <v>24</v>
      </c>
      <c r="G702" t="s">
        <v>54</v>
      </c>
      <c r="H702">
        <v>4</v>
      </c>
      <c r="I702">
        <v>28211</v>
      </c>
      <c r="K702">
        <v>24400</v>
      </c>
    </row>
    <row r="703" spans="1:11" x14ac:dyDescent="0.3">
      <c r="A703" t="s">
        <v>760</v>
      </c>
      <c r="B703" s="1">
        <v>45611</v>
      </c>
      <c r="C703" t="s">
        <v>4</v>
      </c>
      <c r="D703" t="s">
        <v>76</v>
      </c>
      <c r="E703" t="s">
        <v>29</v>
      </c>
      <c r="F703" t="s">
        <v>50</v>
      </c>
      <c r="G703" t="s">
        <v>51</v>
      </c>
      <c r="H703">
        <v>6</v>
      </c>
      <c r="I703">
        <v>38479</v>
      </c>
      <c r="J703">
        <v>0.05</v>
      </c>
    </row>
    <row r="704" spans="1:11" x14ac:dyDescent="0.3">
      <c r="A704" t="s">
        <v>761</v>
      </c>
      <c r="B704" s="1">
        <v>45628</v>
      </c>
      <c r="C704" t="s">
        <v>6</v>
      </c>
      <c r="D704" t="s">
        <v>76</v>
      </c>
      <c r="E704" t="s">
        <v>29</v>
      </c>
      <c r="F704" t="s">
        <v>58</v>
      </c>
      <c r="G704" t="s">
        <v>54</v>
      </c>
      <c r="H704">
        <v>9</v>
      </c>
      <c r="I704">
        <v>14005</v>
      </c>
    </row>
    <row r="705" spans="1:11" x14ac:dyDescent="0.3">
      <c r="A705" t="s">
        <v>762</v>
      </c>
      <c r="B705" s="1">
        <v>45349</v>
      </c>
      <c r="C705" t="s">
        <v>6</v>
      </c>
      <c r="D705" t="s">
        <v>64</v>
      </c>
      <c r="E705" t="s">
        <v>29</v>
      </c>
      <c r="F705" t="s">
        <v>24</v>
      </c>
      <c r="G705" t="s">
        <v>54</v>
      </c>
      <c r="H705">
        <v>7</v>
      </c>
      <c r="I705">
        <v>37424</v>
      </c>
      <c r="J705">
        <v>0.1</v>
      </c>
      <c r="K705">
        <v>10441</v>
      </c>
    </row>
    <row r="706" spans="1:11" x14ac:dyDescent="0.3">
      <c r="A706" t="s">
        <v>763</v>
      </c>
      <c r="B706" s="1">
        <v>45356</v>
      </c>
      <c r="C706" t="s">
        <v>4</v>
      </c>
      <c r="D706" t="s">
        <v>49</v>
      </c>
      <c r="E706" t="s">
        <v>25</v>
      </c>
      <c r="F706" t="s">
        <v>61</v>
      </c>
      <c r="G706" t="s">
        <v>54</v>
      </c>
      <c r="H706">
        <v>9</v>
      </c>
      <c r="I706">
        <v>27340</v>
      </c>
      <c r="J706">
        <v>0.05</v>
      </c>
      <c r="K706">
        <v>28882</v>
      </c>
    </row>
    <row r="707" spans="1:11" x14ac:dyDescent="0.3">
      <c r="A707" t="s">
        <v>764</v>
      </c>
      <c r="B707" s="1">
        <v>45434</v>
      </c>
      <c r="C707" t="s">
        <v>6</v>
      </c>
      <c r="D707" t="s">
        <v>49</v>
      </c>
      <c r="E707" t="s">
        <v>26</v>
      </c>
      <c r="F707" t="s">
        <v>23</v>
      </c>
      <c r="G707" t="s">
        <v>54</v>
      </c>
      <c r="H707">
        <v>5</v>
      </c>
      <c r="I707">
        <v>28075</v>
      </c>
      <c r="J707">
        <v>0</v>
      </c>
      <c r="K707">
        <v>7707</v>
      </c>
    </row>
    <row r="708" spans="1:11" x14ac:dyDescent="0.3">
      <c r="A708" t="s">
        <v>765</v>
      </c>
      <c r="B708" s="1">
        <v>45461</v>
      </c>
      <c r="C708" t="s">
        <v>3</v>
      </c>
      <c r="D708" t="s">
        <v>53</v>
      </c>
      <c r="E708" t="s">
        <v>27</v>
      </c>
      <c r="F708" t="s">
        <v>58</v>
      </c>
      <c r="G708" t="s">
        <v>54</v>
      </c>
      <c r="H708">
        <v>8</v>
      </c>
      <c r="I708">
        <v>45451</v>
      </c>
    </row>
    <row r="709" spans="1:11" x14ac:dyDescent="0.3">
      <c r="A709" t="s">
        <v>766</v>
      </c>
      <c r="B709" s="1">
        <v>45613</v>
      </c>
      <c r="C709" t="s">
        <v>5</v>
      </c>
      <c r="D709" t="s">
        <v>49</v>
      </c>
      <c r="E709" t="s">
        <v>26</v>
      </c>
      <c r="F709" t="s">
        <v>58</v>
      </c>
      <c r="G709" t="s">
        <v>54</v>
      </c>
      <c r="H709">
        <v>4</v>
      </c>
      <c r="I709">
        <v>43914</v>
      </c>
      <c r="J709">
        <v>0</v>
      </c>
      <c r="K709">
        <v>2490</v>
      </c>
    </row>
    <row r="710" spans="1:11" x14ac:dyDescent="0.3">
      <c r="A710" t="s">
        <v>767</v>
      </c>
      <c r="B710" s="1">
        <v>45505</v>
      </c>
      <c r="C710" t="s">
        <v>4</v>
      </c>
      <c r="D710" t="s">
        <v>64</v>
      </c>
      <c r="E710" t="s">
        <v>26</v>
      </c>
      <c r="F710" t="s">
        <v>58</v>
      </c>
      <c r="G710" t="s">
        <v>54</v>
      </c>
      <c r="H710">
        <v>10</v>
      </c>
      <c r="I710">
        <v>48039</v>
      </c>
      <c r="J710">
        <v>0.05</v>
      </c>
      <c r="K710">
        <v>13142</v>
      </c>
    </row>
    <row r="711" spans="1:11" x14ac:dyDescent="0.3">
      <c r="A711" t="s">
        <v>768</v>
      </c>
      <c r="B711" s="1">
        <v>45389</v>
      </c>
      <c r="C711" t="s">
        <v>6</v>
      </c>
      <c r="D711" t="s">
        <v>76</v>
      </c>
      <c r="E711" t="s">
        <v>27</v>
      </c>
      <c r="F711" t="s">
        <v>24</v>
      </c>
      <c r="G711" t="s">
        <v>54</v>
      </c>
      <c r="H711">
        <v>1</v>
      </c>
      <c r="I711">
        <v>8580</v>
      </c>
      <c r="J711">
        <v>0.05</v>
      </c>
      <c r="K711">
        <v>876</v>
      </c>
    </row>
    <row r="712" spans="1:11" x14ac:dyDescent="0.3">
      <c r="A712" t="s">
        <v>769</v>
      </c>
      <c r="B712" s="1">
        <v>45619</v>
      </c>
      <c r="C712" t="s">
        <v>4</v>
      </c>
      <c r="D712" t="s">
        <v>64</v>
      </c>
      <c r="E712" t="s">
        <v>27</v>
      </c>
      <c r="F712" t="s">
        <v>22</v>
      </c>
      <c r="G712" t="s">
        <v>51</v>
      </c>
      <c r="H712">
        <v>9</v>
      </c>
      <c r="I712">
        <v>49110</v>
      </c>
      <c r="K712">
        <v>21880</v>
      </c>
    </row>
    <row r="713" spans="1:11" x14ac:dyDescent="0.3">
      <c r="A713" t="s">
        <v>770</v>
      </c>
      <c r="B713" s="1">
        <v>45503</v>
      </c>
      <c r="C713" t="s">
        <v>4</v>
      </c>
      <c r="D713" t="s">
        <v>64</v>
      </c>
      <c r="E713" t="s">
        <v>26</v>
      </c>
      <c r="F713" t="s">
        <v>24</v>
      </c>
      <c r="G713" t="s">
        <v>54</v>
      </c>
      <c r="H713">
        <v>3</v>
      </c>
      <c r="I713">
        <v>22762</v>
      </c>
      <c r="J713">
        <v>0.1</v>
      </c>
      <c r="K713">
        <v>4883</v>
      </c>
    </row>
    <row r="714" spans="1:11" x14ac:dyDescent="0.3">
      <c r="A714" t="s">
        <v>771</v>
      </c>
      <c r="B714" s="1">
        <v>45447</v>
      </c>
      <c r="C714" t="s">
        <v>4</v>
      </c>
      <c r="D714" t="s">
        <v>76</v>
      </c>
      <c r="E714" t="s">
        <v>29</v>
      </c>
      <c r="F714" t="s">
        <v>50</v>
      </c>
      <c r="G714" t="s">
        <v>51</v>
      </c>
      <c r="H714">
        <v>1</v>
      </c>
      <c r="I714">
        <v>14124</v>
      </c>
    </row>
    <row r="715" spans="1:11" x14ac:dyDescent="0.3">
      <c r="A715" t="s">
        <v>772</v>
      </c>
      <c r="B715" s="1">
        <v>45581</v>
      </c>
      <c r="C715" t="s">
        <v>4</v>
      </c>
      <c r="D715" t="s">
        <v>53</v>
      </c>
      <c r="E715" t="s">
        <v>27</v>
      </c>
      <c r="F715" t="s">
        <v>61</v>
      </c>
      <c r="G715" t="s">
        <v>54</v>
      </c>
      <c r="H715">
        <v>7</v>
      </c>
      <c r="I715">
        <v>31096</v>
      </c>
      <c r="J715">
        <v>0.05</v>
      </c>
      <c r="K715">
        <v>14137</v>
      </c>
    </row>
    <row r="716" spans="1:11" x14ac:dyDescent="0.3">
      <c r="A716" t="s">
        <v>773</v>
      </c>
      <c r="B716" s="1">
        <v>45313</v>
      </c>
      <c r="C716" t="s">
        <v>6</v>
      </c>
      <c r="D716" t="s">
        <v>76</v>
      </c>
      <c r="E716" t="s">
        <v>27</v>
      </c>
      <c r="F716" t="s">
        <v>24</v>
      </c>
      <c r="G716" t="s">
        <v>54</v>
      </c>
      <c r="H716">
        <v>9</v>
      </c>
      <c r="I716">
        <v>47380</v>
      </c>
      <c r="J716">
        <v>0</v>
      </c>
    </row>
    <row r="717" spans="1:11" x14ac:dyDescent="0.3">
      <c r="A717" t="s">
        <v>774</v>
      </c>
      <c r="B717" s="1">
        <v>45343</v>
      </c>
      <c r="C717" t="s">
        <v>5</v>
      </c>
      <c r="D717" t="s">
        <v>69</v>
      </c>
      <c r="E717" t="s">
        <v>27</v>
      </c>
      <c r="F717" t="s">
        <v>50</v>
      </c>
      <c r="G717" t="s">
        <v>51</v>
      </c>
      <c r="H717">
        <v>5</v>
      </c>
      <c r="I717">
        <v>37779</v>
      </c>
      <c r="J717">
        <v>0.1</v>
      </c>
    </row>
    <row r="718" spans="1:11" x14ac:dyDescent="0.3">
      <c r="A718" t="s">
        <v>775</v>
      </c>
      <c r="B718" s="1">
        <v>45356</v>
      </c>
      <c r="C718" t="s">
        <v>6</v>
      </c>
      <c r="D718" t="s">
        <v>49</v>
      </c>
      <c r="E718" t="s">
        <v>27</v>
      </c>
      <c r="F718" t="s">
        <v>23</v>
      </c>
      <c r="G718" t="s">
        <v>54</v>
      </c>
      <c r="H718">
        <v>10</v>
      </c>
      <c r="I718">
        <v>29831</v>
      </c>
      <c r="J718">
        <v>0.05</v>
      </c>
      <c r="K718">
        <v>16276</v>
      </c>
    </row>
    <row r="719" spans="1:11" x14ac:dyDescent="0.3">
      <c r="A719" t="s">
        <v>776</v>
      </c>
      <c r="B719" s="1">
        <v>45643</v>
      </c>
      <c r="C719" t="s">
        <v>3</v>
      </c>
      <c r="D719" t="s">
        <v>76</v>
      </c>
      <c r="E719" t="s">
        <v>26</v>
      </c>
      <c r="F719" t="s">
        <v>23</v>
      </c>
      <c r="G719" t="s">
        <v>54</v>
      </c>
      <c r="H719">
        <v>10</v>
      </c>
      <c r="I719">
        <v>43930</v>
      </c>
      <c r="J719">
        <v>0.05</v>
      </c>
      <c r="K719">
        <v>811</v>
      </c>
    </row>
    <row r="720" spans="1:11" x14ac:dyDescent="0.3">
      <c r="A720" t="s">
        <v>777</v>
      </c>
      <c r="B720" s="1">
        <v>45465</v>
      </c>
      <c r="C720" t="s">
        <v>3</v>
      </c>
      <c r="D720" t="s">
        <v>49</v>
      </c>
      <c r="E720" t="s">
        <v>28</v>
      </c>
      <c r="F720" t="s">
        <v>50</v>
      </c>
      <c r="G720" t="s">
        <v>51</v>
      </c>
      <c r="H720">
        <v>4</v>
      </c>
      <c r="I720">
        <v>25445</v>
      </c>
      <c r="K720">
        <v>27335</v>
      </c>
    </row>
    <row r="721" spans="1:11" x14ac:dyDescent="0.3">
      <c r="A721" t="s">
        <v>778</v>
      </c>
      <c r="B721" s="1">
        <v>45517</v>
      </c>
      <c r="C721" t="s">
        <v>3</v>
      </c>
      <c r="D721" t="s">
        <v>76</v>
      </c>
      <c r="E721" t="s">
        <v>27</v>
      </c>
      <c r="F721" t="s">
        <v>22</v>
      </c>
      <c r="G721" t="s">
        <v>51</v>
      </c>
      <c r="H721">
        <v>2</v>
      </c>
      <c r="I721">
        <v>49359</v>
      </c>
      <c r="J721">
        <v>0</v>
      </c>
      <c r="K721">
        <v>8922</v>
      </c>
    </row>
    <row r="722" spans="1:11" x14ac:dyDescent="0.3">
      <c r="A722" t="s">
        <v>779</v>
      </c>
      <c r="B722" s="1">
        <v>45325</v>
      </c>
      <c r="C722" t="s">
        <v>3</v>
      </c>
      <c r="D722" t="s">
        <v>76</v>
      </c>
      <c r="E722" t="s">
        <v>26</v>
      </c>
      <c r="F722" t="s">
        <v>61</v>
      </c>
      <c r="G722" t="s">
        <v>54</v>
      </c>
      <c r="H722">
        <v>8</v>
      </c>
      <c r="I722">
        <v>16854</v>
      </c>
      <c r="K722">
        <v>3772</v>
      </c>
    </row>
    <row r="723" spans="1:11" x14ac:dyDescent="0.3">
      <c r="A723" t="s">
        <v>780</v>
      </c>
      <c r="B723" s="1">
        <v>45395</v>
      </c>
      <c r="C723" t="s">
        <v>3</v>
      </c>
      <c r="D723" t="s">
        <v>53</v>
      </c>
      <c r="E723" t="s">
        <v>25</v>
      </c>
      <c r="F723" t="s">
        <v>22</v>
      </c>
      <c r="G723" t="s">
        <v>51</v>
      </c>
      <c r="H723">
        <v>9</v>
      </c>
      <c r="I723">
        <v>3440</v>
      </c>
      <c r="J723">
        <v>0</v>
      </c>
      <c r="K723">
        <v>16932</v>
      </c>
    </row>
    <row r="724" spans="1:11" x14ac:dyDescent="0.3">
      <c r="A724" t="s">
        <v>781</v>
      </c>
      <c r="B724" s="1">
        <v>45581</v>
      </c>
      <c r="C724" t="s">
        <v>4</v>
      </c>
      <c r="D724" t="s">
        <v>53</v>
      </c>
      <c r="E724" t="s">
        <v>29</v>
      </c>
      <c r="F724" t="s">
        <v>61</v>
      </c>
      <c r="G724" t="s">
        <v>54</v>
      </c>
      <c r="H724">
        <v>5</v>
      </c>
      <c r="I724">
        <v>11162</v>
      </c>
      <c r="J724">
        <v>0.1</v>
      </c>
    </row>
    <row r="725" spans="1:11" x14ac:dyDescent="0.3">
      <c r="A725" t="s">
        <v>782</v>
      </c>
      <c r="B725" s="1">
        <v>45484</v>
      </c>
      <c r="C725" t="s">
        <v>3</v>
      </c>
      <c r="D725" t="s">
        <v>53</v>
      </c>
      <c r="E725" t="s">
        <v>25</v>
      </c>
      <c r="F725" t="s">
        <v>22</v>
      </c>
      <c r="G725" t="s">
        <v>51</v>
      </c>
      <c r="H725">
        <v>8</v>
      </c>
      <c r="I725">
        <v>3753</v>
      </c>
    </row>
    <row r="726" spans="1:11" x14ac:dyDescent="0.3">
      <c r="A726" t="s">
        <v>783</v>
      </c>
      <c r="B726" s="1">
        <v>45630</v>
      </c>
      <c r="C726" t="s">
        <v>6</v>
      </c>
      <c r="D726" t="s">
        <v>69</v>
      </c>
      <c r="E726" t="s">
        <v>28</v>
      </c>
      <c r="F726" t="s">
        <v>24</v>
      </c>
      <c r="G726" t="s">
        <v>54</v>
      </c>
      <c r="H726">
        <v>3</v>
      </c>
      <c r="I726">
        <v>28854</v>
      </c>
      <c r="J726">
        <v>0.1</v>
      </c>
    </row>
    <row r="727" spans="1:11" x14ac:dyDescent="0.3">
      <c r="A727" t="s">
        <v>784</v>
      </c>
      <c r="B727" s="1">
        <v>45486</v>
      </c>
      <c r="C727" t="s">
        <v>4</v>
      </c>
      <c r="D727" t="s">
        <v>69</v>
      </c>
      <c r="E727" t="s">
        <v>29</v>
      </c>
      <c r="F727" t="s">
        <v>61</v>
      </c>
      <c r="G727" t="s">
        <v>54</v>
      </c>
      <c r="H727">
        <v>2</v>
      </c>
      <c r="I727">
        <v>9628</v>
      </c>
      <c r="J727">
        <v>0.1</v>
      </c>
    </row>
    <row r="728" spans="1:11" x14ac:dyDescent="0.3">
      <c r="A728" t="s">
        <v>785</v>
      </c>
      <c r="B728" s="1">
        <v>45314</v>
      </c>
      <c r="C728" t="s">
        <v>3</v>
      </c>
      <c r="D728" t="s">
        <v>56</v>
      </c>
      <c r="E728" t="s">
        <v>27</v>
      </c>
      <c r="F728" t="s">
        <v>58</v>
      </c>
      <c r="G728" t="s">
        <v>54</v>
      </c>
      <c r="H728">
        <v>4</v>
      </c>
      <c r="I728">
        <v>19288</v>
      </c>
      <c r="J728">
        <v>0.05</v>
      </c>
    </row>
    <row r="729" spans="1:11" x14ac:dyDescent="0.3">
      <c r="A729" t="s">
        <v>786</v>
      </c>
      <c r="B729" s="1">
        <v>45439</v>
      </c>
      <c r="C729" t="s">
        <v>3</v>
      </c>
      <c r="D729" t="s">
        <v>53</v>
      </c>
      <c r="E729" t="s">
        <v>28</v>
      </c>
      <c r="F729" t="s">
        <v>61</v>
      </c>
      <c r="G729" t="s">
        <v>54</v>
      </c>
      <c r="H729">
        <v>9</v>
      </c>
      <c r="I729">
        <v>16078</v>
      </c>
      <c r="J729">
        <v>0.1</v>
      </c>
      <c r="K729">
        <v>14851</v>
      </c>
    </row>
    <row r="730" spans="1:11" x14ac:dyDescent="0.3">
      <c r="A730" t="s">
        <v>787</v>
      </c>
      <c r="B730" s="1">
        <v>45423</v>
      </c>
      <c r="C730" t="s">
        <v>6</v>
      </c>
      <c r="D730" t="s">
        <v>56</v>
      </c>
      <c r="E730" t="s">
        <v>26</v>
      </c>
      <c r="F730" t="s">
        <v>22</v>
      </c>
      <c r="G730" t="s">
        <v>51</v>
      </c>
      <c r="H730">
        <v>8</v>
      </c>
      <c r="I730">
        <v>47249</v>
      </c>
      <c r="K730">
        <v>12629</v>
      </c>
    </row>
    <row r="731" spans="1:11" x14ac:dyDescent="0.3">
      <c r="A731" t="s">
        <v>788</v>
      </c>
      <c r="B731" s="1">
        <v>45569</v>
      </c>
      <c r="C731" t="s">
        <v>5</v>
      </c>
      <c r="D731" t="s">
        <v>56</v>
      </c>
      <c r="E731" t="s">
        <v>29</v>
      </c>
      <c r="F731" t="s">
        <v>58</v>
      </c>
      <c r="G731" t="s">
        <v>54</v>
      </c>
      <c r="H731">
        <v>3</v>
      </c>
      <c r="I731">
        <v>23956</v>
      </c>
      <c r="K731">
        <v>9892</v>
      </c>
    </row>
    <row r="732" spans="1:11" x14ac:dyDescent="0.3">
      <c r="A732" t="s">
        <v>789</v>
      </c>
      <c r="B732" s="1">
        <v>45614</v>
      </c>
      <c r="C732" t="s">
        <v>6</v>
      </c>
      <c r="D732" t="s">
        <v>76</v>
      </c>
      <c r="E732" t="s">
        <v>28</v>
      </c>
      <c r="F732" t="s">
        <v>22</v>
      </c>
      <c r="G732" t="s">
        <v>51</v>
      </c>
      <c r="H732">
        <v>3</v>
      </c>
      <c r="I732">
        <v>27927</v>
      </c>
      <c r="J732">
        <v>0</v>
      </c>
    </row>
    <row r="733" spans="1:11" x14ac:dyDescent="0.3">
      <c r="A733" t="s">
        <v>790</v>
      </c>
      <c r="B733" s="1">
        <v>45648</v>
      </c>
      <c r="C733" t="s">
        <v>6</v>
      </c>
      <c r="D733" t="s">
        <v>56</v>
      </c>
      <c r="E733" t="s">
        <v>29</v>
      </c>
      <c r="F733" t="s">
        <v>22</v>
      </c>
      <c r="G733" t="s">
        <v>51</v>
      </c>
      <c r="H733">
        <v>9</v>
      </c>
      <c r="I733">
        <v>48289</v>
      </c>
      <c r="J733">
        <v>0.1</v>
      </c>
    </row>
    <row r="734" spans="1:11" x14ac:dyDescent="0.3">
      <c r="A734" t="s">
        <v>791</v>
      </c>
      <c r="B734" s="1">
        <v>45549</v>
      </c>
      <c r="C734" t="s">
        <v>3</v>
      </c>
      <c r="D734" t="s">
        <v>69</v>
      </c>
      <c r="E734" t="s">
        <v>25</v>
      </c>
      <c r="F734" t="s">
        <v>24</v>
      </c>
      <c r="G734" t="s">
        <v>54</v>
      </c>
      <c r="H734">
        <v>7</v>
      </c>
      <c r="I734">
        <v>8244</v>
      </c>
      <c r="J734">
        <v>0</v>
      </c>
      <c r="K734">
        <v>8482</v>
      </c>
    </row>
    <row r="735" spans="1:11" x14ac:dyDescent="0.3">
      <c r="A735" t="s">
        <v>792</v>
      </c>
      <c r="B735" s="1">
        <v>45429</v>
      </c>
      <c r="C735" t="s">
        <v>4</v>
      </c>
      <c r="D735" t="s">
        <v>49</v>
      </c>
      <c r="E735" t="s">
        <v>27</v>
      </c>
      <c r="F735" t="s">
        <v>23</v>
      </c>
      <c r="G735" t="s">
        <v>54</v>
      </c>
      <c r="H735">
        <v>6</v>
      </c>
      <c r="I735">
        <v>36957</v>
      </c>
      <c r="J735">
        <v>0</v>
      </c>
      <c r="K735">
        <v>364</v>
      </c>
    </row>
    <row r="736" spans="1:11" x14ac:dyDescent="0.3">
      <c r="A736" t="s">
        <v>793</v>
      </c>
      <c r="B736" s="1">
        <v>45370</v>
      </c>
      <c r="C736" t="s">
        <v>3</v>
      </c>
      <c r="D736" t="s">
        <v>64</v>
      </c>
      <c r="E736" t="s">
        <v>25</v>
      </c>
      <c r="F736" t="s">
        <v>24</v>
      </c>
      <c r="G736" t="s">
        <v>54</v>
      </c>
      <c r="H736">
        <v>5</v>
      </c>
      <c r="I736">
        <v>12291</v>
      </c>
      <c r="J736">
        <v>0.05</v>
      </c>
      <c r="K736">
        <v>1332</v>
      </c>
    </row>
    <row r="737" spans="1:11" x14ac:dyDescent="0.3">
      <c r="A737" t="s">
        <v>794</v>
      </c>
      <c r="B737" s="1">
        <v>45369</v>
      </c>
      <c r="C737" t="s">
        <v>5</v>
      </c>
      <c r="D737" t="s">
        <v>56</v>
      </c>
      <c r="E737" t="s">
        <v>25</v>
      </c>
      <c r="F737" t="s">
        <v>23</v>
      </c>
      <c r="G737" t="s">
        <v>54</v>
      </c>
      <c r="H737">
        <v>1</v>
      </c>
      <c r="I737">
        <v>22408</v>
      </c>
    </row>
    <row r="738" spans="1:11" x14ac:dyDescent="0.3">
      <c r="A738" t="s">
        <v>795</v>
      </c>
      <c r="B738" s="1">
        <v>45407</v>
      </c>
      <c r="C738" t="s">
        <v>3</v>
      </c>
      <c r="D738" t="s">
        <v>69</v>
      </c>
      <c r="E738" t="s">
        <v>25</v>
      </c>
      <c r="F738" t="s">
        <v>58</v>
      </c>
      <c r="G738" t="s">
        <v>54</v>
      </c>
      <c r="H738">
        <v>8</v>
      </c>
      <c r="I738">
        <v>37224</v>
      </c>
      <c r="J738">
        <v>0</v>
      </c>
    </row>
    <row r="739" spans="1:11" x14ac:dyDescent="0.3">
      <c r="A739" t="s">
        <v>796</v>
      </c>
      <c r="B739" s="1">
        <v>45472</v>
      </c>
      <c r="C739" t="s">
        <v>3</v>
      </c>
      <c r="D739" t="s">
        <v>56</v>
      </c>
      <c r="E739" t="s">
        <v>29</v>
      </c>
      <c r="F739" t="s">
        <v>23</v>
      </c>
      <c r="G739" t="s">
        <v>54</v>
      </c>
      <c r="H739">
        <v>9</v>
      </c>
      <c r="I739">
        <v>17229</v>
      </c>
      <c r="J739">
        <v>0</v>
      </c>
      <c r="K739">
        <v>6422</v>
      </c>
    </row>
    <row r="740" spans="1:11" x14ac:dyDescent="0.3">
      <c r="A740" t="s">
        <v>797</v>
      </c>
      <c r="B740" s="1">
        <v>45314</v>
      </c>
      <c r="C740" t="s">
        <v>4</v>
      </c>
      <c r="D740" t="s">
        <v>49</v>
      </c>
      <c r="E740" t="s">
        <v>29</v>
      </c>
      <c r="F740" t="s">
        <v>61</v>
      </c>
      <c r="G740" t="s">
        <v>54</v>
      </c>
      <c r="H740">
        <v>6</v>
      </c>
      <c r="I740">
        <v>42273</v>
      </c>
      <c r="J740">
        <v>0</v>
      </c>
      <c r="K740">
        <v>23361</v>
      </c>
    </row>
    <row r="741" spans="1:11" x14ac:dyDescent="0.3">
      <c r="A741" t="s">
        <v>798</v>
      </c>
      <c r="B741" s="1">
        <v>45498</v>
      </c>
      <c r="C741" t="s">
        <v>6</v>
      </c>
      <c r="D741" t="s">
        <v>69</v>
      </c>
      <c r="E741" t="s">
        <v>25</v>
      </c>
      <c r="F741" t="s">
        <v>58</v>
      </c>
      <c r="G741" t="s">
        <v>54</v>
      </c>
      <c r="H741">
        <v>7</v>
      </c>
      <c r="I741">
        <v>47523</v>
      </c>
      <c r="J741">
        <v>0.05</v>
      </c>
      <c r="K741">
        <v>19718</v>
      </c>
    </row>
    <row r="742" spans="1:11" x14ac:dyDescent="0.3">
      <c r="A742" t="s">
        <v>799</v>
      </c>
      <c r="B742" s="1">
        <v>45555</v>
      </c>
      <c r="C742" t="s">
        <v>5</v>
      </c>
      <c r="D742" t="s">
        <v>64</v>
      </c>
      <c r="E742" t="s">
        <v>28</v>
      </c>
      <c r="F742" t="s">
        <v>23</v>
      </c>
      <c r="G742" t="s">
        <v>54</v>
      </c>
      <c r="H742">
        <v>5</v>
      </c>
      <c r="I742">
        <v>44059</v>
      </c>
      <c r="J742">
        <v>0.05</v>
      </c>
    </row>
    <row r="743" spans="1:11" x14ac:dyDescent="0.3">
      <c r="A743" t="s">
        <v>800</v>
      </c>
      <c r="B743" s="1">
        <v>45433</v>
      </c>
      <c r="C743" t="s">
        <v>4</v>
      </c>
      <c r="D743" t="s">
        <v>76</v>
      </c>
      <c r="E743" t="s">
        <v>25</v>
      </c>
      <c r="F743" t="s">
        <v>61</v>
      </c>
      <c r="G743" t="s">
        <v>54</v>
      </c>
      <c r="H743">
        <v>6</v>
      </c>
      <c r="I743">
        <v>47577</v>
      </c>
      <c r="J743">
        <v>0.1</v>
      </c>
      <c r="K743">
        <v>24762</v>
      </c>
    </row>
    <row r="744" spans="1:11" x14ac:dyDescent="0.3">
      <c r="A744" t="s">
        <v>801</v>
      </c>
      <c r="B744" s="1">
        <v>45492</v>
      </c>
      <c r="C744" t="s">
        <v>3</v>
      </c>
      <c r="D744" t="s">
        <v>49</v>
      </c>
      <c r="E744" t="s">
        <v>28</v>
      </c>
      <c r="F744" t="s">
        <v>61</v>
      </c>
      <c r="G744" t="s">
        <v>54</v>
      </c>
      <c r="H744">
        <v>4</v>
      </c>
      <c r="I744">
        <v>3957</v>
      </c>
      <c r="J744">
        <v>0</v>
      </c>
    </row>
    <row r="745" spans="1:11" x14ac:dyDescent="0.3">
      <c r="A745" t="s">
        <v>802</v>
      </c>
      <c r="B745" s="1">
        <v>45583</v>
      </c>
      <c r="C745" t="s">
        <v>4</v>
      </c>
      <c r="D745" t="s">
        <v>49</v>
      </c>
      <c r="E745" t="s">
        <v>27</v>
      </c>
      <c r="F745" t="s">
        <v>22</v>
      </c>
      <c r="G745" t="s">
        <v>51</v>
      </c>
      <c r="H745">
        <v>2</v>
      </c>
      <c r="I745">
        <v>25914</v>
      </c>
      <c r="J745">
        <v>0</v>
      </c>
      <c r="K745">
        <v>28320</v>
      </c>
    </row>
    <row r="746" spans="1:11" x14ac:dyDescent="0.3">
      <c r="A746" t="s">
        <v>803</v>
      </c>
      <c r="B746" s="1">
        <v>45447</v>
      </c>
      <c r="C746" t="s">
        <v>5</v>
      </c>
      <c r="D746" t="s">
        <v>56</v>
      </c>
      <c r="E746" t="s">
        <v>25</v>
      </c>
      <c r="F746" t="s">
        <v>24</v>
      </c>
      <c r="G746" t="s">
        <v>54</v>
      </c>
      <c r="H746">
        <v>2</v>
      </c>
      <c r="I746">
        <v>18910</v>
      </c>
      <c r="J746">
        <v>0.05</v>
      </c>
    </row>
    <row r="747" spans="1:11" x14ac:dyDescent="0.3">
      <c r="A747" t="s">
        <v>804</v>
      </c>
      <c r="B747" s="1">
        <v>45420</v>
      </c>
      <c r="C747" t="s">
        <v>3</v>
      </c>
      <c r="D747" t="s">
        <v>64</v>
      </c>
      <c r="E747" t="s">
        <v>28</v>
      </c>
      <c r="F747" t="s">
        <v>24</v>
      </c>
      <c r="G747" t="s">
        <v>54</v>
      </c>
      <c r="H747">
        <v>5</v>
      </c>
      <c r="I747">
        <v>5963</v>
      </c>
      <c r="J747">
        <v>0.1</v>
      </c>
    </row>
    <row r="748" spans="1:11" x14ac:dyDescent="0.3">
      <c r="A748" t="s">
        <v>805</v>
      </c>
      <c r="B748" s="1">
        <v>45455</v>
      </c>
      <c r="C748" t="s">
        <v>4</v>
      </c>
      <c r="D748" t="s">
        <v>49</v>
      </c>
      <c r="E748" t="s">
        <v>29</v>
      </c>
      <c r="F748" t="s">
        <v>22</v>
      </c>
      <c r="G748" t="s">
        <v>51</v>
      </c>
      <c r="H748">
        <v>7</v>
      </c>
      <c r="I748">
        <v>19365</v>
      </c>
      <c r="J748">
        <v>0.1</v>
      </c>
      <c r="K748">
        <v>29739</v>
      </c>
    </row>
    <row r="749" spans="1:11" x14ac:dyDescent="0.3">
      <c r="A749" t="s">
        <v>806</v>
      </c>
      <c r="B749" s="1">
        <v>45564</v>
      </c>
      <c r="C749" t="s">
        <v>5</v>
      </c>
      <c r="D749" t="s">
        <v>64</v>
      </c>
      <c r="E749" t="s">
        <v>28</v>
      </c>
      <c r="F749" t="s">
        <v>24</v>
      </c>
      <c r="G749" t="s">
        <v>54</v>
      </c>
      <c r="H749">
        <v>3</v>
      </c>
      <c r="I749">
        <v>43744</v>
      </c>
      <c r="J749">
        <v>0.05</v>
      </c>
    </row>
    <row r="750" spans="1:11" x14ac:dyDescent="0.3">
      <c r="A750" t="s">
        <v>807</v>
      </c>
      <c r="B750" s="1">
        <v>45513</v>
      </c>
      <c r="C750" t="s">
        <v>5</v>
      </c>
      <c r="D750" t="s">
        <v>56</v>
      </c>
      <c r="E750" t="s">
        <v>25</v>
      </c>
      <c r="F750" t="s">
        <v>50</v>
      </c>
      <c r="G750" t="s">
        <v>51</v>
      </c>
      <c r="H750">
        <v>10</v>
      </c>
      <c r="I750">
        <v>41031</v>
      </c>
      <c r="J750">
        <v>0.05</v>
      </c>
      <c r="K750">
        <v>4978</v>
      </c>
    </row>
    <row r="751" spans="1:11" x14ac:dyDescent="0.3">
      <c r="A751" t="s">
        <v>808</v>
      </c>
      <c r="B751" s="1">
        <v>45455</v>
      </c>
      <c r="C751" t="s">
        <v>4</v>
      </c>
      <c r="D751" t="s">
        <v>76</v>
      </c>
      <c r="E751" t="s">
        <v>26</v>
      </c>
      <c r="F751" t="s">
        <v>23</v>
      </c>
      <c r="G751" t="s">
        <v>54</v>
      </c>
      <c r="H751">
        <v>7</v>
      </c>
      <c r="I751">
        <v>42463</v>
      </c>
    </row>
    <row r="752" spans="1:11" x14ac:dyDescent="0.3">
      <c r="A752" t="s">
        <v>809</v>
      </c>
      <c r="B752" s="1">
        <v>45475</v>
      </c>
      <c r="C752" t="s">
        <v>4</v>
      </c>
      <c r="D752" t="s">
        <v>49</v>
      </c>
      <c r="E752" t="s">
        <v>29</v>
      </c>
      <c r="F752" t="s">
        <v>23</v>
      </c>
      <c r="G752" t="s">
        <v>54</v>
      </c>
      <c r="H752">
        <v>5</v>
      </c>
      <c r="I752">
        <v>7391</v>
      </c>
      <c r="J752">
        <v>0.05</v>
      </c>
    </row>
    <row r="753" spans="1:11" x14ac:dyDescent="0.3">
      <c r="A753" t="s">
        <v>810</v>
      </c>
      <c r="B753" s="1">
        <v>45492</v>
      </c>
      <c r="C753" t="s">
        <v>5</v>
      </c>
      <c r="D753" t="s">
        <v>53</v>
      </c>
      <c r="E753" t="s">
        <v>26</v>
      </c>
      <c r="F753" t="s">
        <v>61</v>
      </c>
      <c r="G753" t="s">
        <v>54</v>
      </c>
      <c r="H753">
        <v>2</v>
      </c>
      <c r="I753">
        <v>39354</v>
      </c>
    </row>
    <row r="754" spans="1:11" x14ac:dyDescent="0.3">
      <c r="A754" t="s">
        <v>811</v>
      </c>
      <c r="B754" s="1">
        <v>45558</v>
      </c>
      <c r="C754" t="s">
        <v>6</v>
      </c>
      <c r="D754" t="s">
        <v>49</v>
      </c>
      <c r="E754" t="s">
        <v>26</v>
      </c>
      <c r="F754" t="s">
        <v>58</v>
      </c>
      <c r="G754" t="s">
        <v>54</v>
      </c>
      <c r="H754">
        <v>1</v>
      </c>
      <c r="I754">
        <v>19759</v>
      </c>
      <c r="J754">
        <v>0.1</v>
      </c>
    </row>
    <row r="755" spans="1:11" x14ac:dyDescent="0.3">
      <c r="A755" t="s">
        <v>812</v>
      </c>
      <c r="B755" s="1">
        <v>45434</v>
      </c>
      <c r="C755" t="s">
        <v>5</v>
      </c>
      <c r="D755" t="s">
        <v>76</v>
      </c>
      <c r="E755" t="s">
        <v>25</v>
      </c>
      <c r="F755" t="s">
        <v>23</v>
      </c>
      <c r="G755" t="s">
        <v>54</v>
      </c>
      <c r="H755">
        <v>2</v>
      </c>
      <c r="I755">
        <v>20593</v>
      </c>
      <c r="J755">
        <v>0.1</v>
      </c>
      <c r="K755">
        <v>20710</v>
      </c>
    </row>
    <row r="756" spans="1:11" x14ac:dyDescent="0.3">
      <c r="A756" t="s">
        <v>813</v>
      </c>
      <c r="B756" s="1">
        <v>45569</v>
      </c>
      <c r="C756" t="s">
        <v>6</v>
      </c>
      <c r="D756" t="s">
        <v>69</v>
      </c>
      <c r="E756" t="s">
        <v>29</v>
      </c>
      <c r="F756" t="s">
        <v>50</v>
      </c>
      <c r="G756" t="s">
        <v>51</v>
      </c>
      <c r="H756">
        <v>9</v>
      </c>
      <c r="I756">
        <v>19603</v>
      </c>
      <c r="J756">
        <v>0</v>
      </c>
    </row>
    <row r="757" spans="1:11" x14ac:dyDescent="0.3">
      <c r="A757" t="s">
        <v>814</v>
      </c>
      <c r="B757" s="1">
        <v>45415</v>
      </c>
      <c r="C757" t="s">
        <v>5</v>
      </c>
      <c r="D757" t="s">
        <v>56</v>
      </c>
      <c r="E757" t="s">
        <v>29</v>
      </c>
      <c r="F757" t="s">
        <v>61</v>
      </c>
      <c r="G757" t="s">
        <v>54</v>
      </c>
      <c r="H757">
        <v>10</v>
      </c>
      <c r="I757">
        <v>15876</v>
      </c>
      <c r="J757">
        <v>0.1</v>
      </c>
      <c r="K757">
        <v>10882</v>
      </c>
    </row>
    <row r="758" spans="1:11" x14ac:dyDescent="0.3">
      <c r="A758" t="s">
        <v>815</v>
      </c>
      <c r="B758" s="1">
        <v>45598</v>
      </c>
      <c r="C758" t="s">
        <v>4</v>
      </c>
      <c r="D758" t="s">
        <v>64</v>
      </c>
      <c r="E758" t="s">
        <v>25</v>
      </c>
      <c r="F758" t="s">
        <v>24</v>
      </c>
      <c r="G758" t="s">
        <v>54</v>
      </c>
      <c r="H758">
        <v>9</v>
      </c>
      <c r="I758">
        <v>47087</v>
      </c>
    </row>
    <row r="759" spans="1:11" x14ac:dyDescent="0.3">
      <c r="A759" t="s">
        <v>816</v>
      </c>
      <c r="B759" s="1">
        <v>45402</v>
      </c>
      <c r="C759" t="s">
        <v>5</v>
      </c>
      <c r="D759" t="s">
        <v>49</v>
      </c>
      <c r="E759" t="s">
        <v>28</v>
      </c>
      <c r="F759" t="s">
        <v>23</v>
      </c>
      <c r="G759" t="s">
        <v>54</v>
      </c>
      <c r="H759">
        <v>6</v>
      </c>
      <c r="I759">
        <v>30060</v>
      </c>
      <c r="J759">
        <v>0</v>
      </c>
      <c r="K759">
        <v>10388</v>
      </c>
    </row>
    <row r="760" spans="1:11" x14ac:dyDescent="0.3">
      <c r="A760" t="s">
        <v>817</v>
      </c>
      <c r="B760" s="1">
        <v>45627</v>
      </c>
      <c r="C760" t="s">
        <v>5</v>
      </c>
      <c r="D760" t="s">
        <v>76</v>
      </c>
      <c r="E760" t="s">
        <v>27</v>
      </c>
      <c r="F760" t="s">
        <v>22</v>
      </c>
      <c r="G760" t="s">
        <v>51</v>
      </c>
      <c r="H760">
        <v>10</v>
      </c>
      <c r="I760">
        <v>14684</v>
      </c>
      <c r="J760">
        <v>0.1</v>
      </c>
    </row>
    <row r="761" spans="1:11" x14ac:dyDescent="0.3">
      <c r="A761" t="s">
        <v>818</v>
      </c>
      <c r="B761" s="1">
        <v>45592</v>
      </c>
      <c r="C761" t="s">
        <v>5</v>
      </c>
      <c r="D761" t="s">
        <v>49</v>
      </c>
      <c r="E761" t="s">
        <v>26</v>
      </c>
      <c r="F761" t="s">
        <v>24</v>
      </c>
      <c r="G761" t="s">
        <v>54</v>
      </c>
      <c r="H761">
        <v>2</v>
      </c>
      <c r="I761">
        <v>16097</v>
      </c>
      <c r="J761">
        <v>0.1</v>
      </c>
      <c r="K761">
        <v>14465</v>
      </c>
    </row>
    <row r="762" spans="1:11" x14ac:dyDescent="0.3">
      <c r="A762" t="s">
        <v>819</v>
      </c>
      <c r="B762" s="1">
        <v>45455</v>
      </c>
      <c r="C762" t="s">
        <v>5</v>
      </c>
      <c r="D762" t="s">
        <v>69</v>
      </c>
      <c r="E762" t="s">
        <v>27</v>
      </c>
      <c r="F762" t="s">
        <v>61</v>
      </c>
      <c r="G762" t="s">
        <v>54</v>
      </c>
      <c r="H762">
        <v>1</v>
      </c>
      <c r="I762">
        <v>7027</v>
      </c>
      <c r="J762">
        <v>0.1</v>
      </c>
      <c r="K762">
        <v>21442</v>
      </c>
    </row>
    <row r="763" spans="1:11" x14ac:dyDescent="0.3">
      <c r="A763" t="s">
        <v>820</v>
      </c>
      <c r="B763" s="1">
        <v>45613</v>
      </c>
      <c r="C763" t="s">
        <v>5</v>
      </c>
      <c r="D763" t="s">
        <v>49</v>
      </c>
      <c r="E763" t="s">
        <v>27</v>
      </c>
      <c r="F763" t="s">
        <v>23</v>
      </c>
      <c r="G763" t="s">
        <v>54</v>
      </c>
      <c r="H763">
        <v>10</v>
      </c>
      <c r="I763">
        <v>35425</v>
      </c>
      <c r="J763">
        <v>0.05</v>
      </c>
      <c r="K763">
        <v>22984</v>
      </c>
    </row>
    <row r="764" spans="1:11" x14ac:dyDescent="0.3">
      <c r="A764" t="s">
        <v>821</v>
      </c>
      <c r="B764" s="1">
        <v>45537</v>
      </c>
      <c r="C764" t="s">
        <v>4</v>
      </c>
      <c r="D764" t="s">
        <v>64</v>
      </c>
      <c r="E764" t="s">
        <v>29</v>
      </c>
      <c r="F764" t="s">
        <v>24</v>
      </c>
      <c r="G764" t="s">
        <v>54</v>
      </c>
      <c r="H764">
        <v>8</v>
      </c>
      <c r="I764">
        <v>33197</v>
      </c>
      <c r="J764">
        <v>0.1</v>
      </c>
      <c r="K764">
        <v>18763</v>
      </c>
    </row>
    <row r="765" spans="1:11" x14ac:dyDescent="0.3">
      <c r="A765" t="s">
        <v>822</v>
      </c>
      <c r="B765" s="1">
        <v>45558</v>
      </c>
      <c r="C765" t="s">
        <v>4</v>
      </c>
      <c r="D765" t="s">
        <v>64</v>
      </c>
      <c r="E765" t="s">
        <v>29</v>
      </c>
      <c r="F765" t="s">
        <v>22</v>
      </c>
      <c r="G765" t="s">
        <v>51</v>
      </c>
      <c r="H765">
        <v>9</v>
      </c>
      <c r="I765">
        <v>34064</v>
      </c>
      <c r="J765">
        <v>0</v>
      </c>
      <c r="K765">
        <v>13579</v>
      </c>
    </row>
    <row r="766" spans="1:11" x14ac:dyDescent="0.3">
      <c r="A766" t="s">
        <v>823</v>
      </c>
      <c r="B766" s="1">
        <v>45628</v>
      </c>
      <c r="C766" t="s">
        <v>4</v>
      </c>
      <c r="D766" t="s">
        <v>76</v>
      </c>
      <c r="E766" t="s">
        <v>26</v>
      </c>
      <c r="F766" t="s">
        <v>50</v>
      </c>
      <c r="G766" t="s">
        <v>51</v>
      </c>
      <c r="H766">
        <v>8</v>
      </c>
      <c r="I766">
        <v>9936</v>
      </c>
    </row>
    <row r="767" spans="1:11" x14ac:dyDescent="0.3">
      <c r="A767" t="s">
        <v>824</v>
      </c>
      <c r="B767" s="1">
        <v>45520</v>
      </c>
      <c r="C767" t="s">
        <v>5</v>
      </c>
      <c r="D767" t="s">
        <v>56</v>
      </c>
      <c r="E767" t="s">
        <v>25</v>
      </c>
      <c r="F767" t="s">
        <v>24</v>
      </c>
      <c r="G767" t="s">
        <v>54</v>
      </c>
      <c r="H767">
        <v>3</v>
      </c>
      <c r="I767">
        <v>18189</v>
      </c>
      <c r="J767">
        <v>0.05</v>
      </c>
      <c r="K767">
        <v>5308</v>
      </c>
    </row>
    <row r="768" spans="1:11" x14ac:dyDescent="0.3">
      <c r="A768" t="s">
        <v>825</v>
      </c>
      <c r="B768" s="1">
        <v>45508</v>
      </c>
      <c r="C768" t="s">
        <v>3</v>
      </c>
      <c r="D768" t="s">
        <v>64</v>
      </c>
      <c r="E768" t="s">
        <v>29</v>
      </c>
      <c r="F768" t="s">
        <v>58</v>
      </c>
      <c r="G768" t="s">
        <v>54</v>
      </c>
      <c r="H768">
        <v>1</v>
      </c>
      <c r="I768">
        <v>39688</v>
      </c>
      <c r="J768">
        <v>0.1</v>
      </c>
      <c r="K768">
        <v>12303</v>
      </c>
    </row>
    <row r="769" spans="1:11" x14ac:dyDescent="0.3">
      <c r="A769" t="s">
        <v>826</v>
      </c>
      <c r="B769" s="1">
        <v>45406</v>
      </c>
      <c r="C769" t="s">
        <v>4</v>
      </c>
      <c r="D769" t="s">
        <v>53</v>
      </c>
      <c r="E769" t="s">
        <v>28</v>
      </c>
      <c r="F769" t="s">
        <v>58</v>
      </c>
      <c r="G769" t="s">
        <v>54</v>
      </c>
      <c r="H769">
        <v>7</v>
      </c>
      <c r="I769">
        <v>34475</v>
      </c>
    </row>
    <row r="770" spans="1:11" x14ac:dyDescent="0.3">
      <c r="A770" t="s">
        <v>827</v>
      </c>
      <c r="B770" s="1">
        <v>45655</v>
      </c>
      <c r="C770" t="s">
        <v>6</v>
      </c>
      <c r="D770" t="s">
        <v>49</v>
      </c>
      <c r="E770" t="s">
        <v>28</v>
      </c>
      <c r="F770" t="s">
        <v>22</v>
      </c>
      <c r="G770" t="s">
        <v>51</v>
      </c>
      <c r="H770">
        <v>3</v>
      </c>
      <c r="I770">
        <v>3302</v>
      </c>
      <c r="K770">
        <v>4879</v>
      </c>
    </row>
    <row r="771" spans="1:11" x14ac:dyDescent="0.3">
      <c r="A771" t="s">
        <v>828</v>
      </c>
      <c r="B771" s="1">
        <v>45558</v>
      </c>
      <c r="C771" t="s">
        <v>3</v>
      </c>
      <c r="D771" t="s">
        <v>64</v>
      </c>
      <c r="E771" t="s">
        <v>29</v>
      </c>
      <c r="F771" t="s">
        <v>22</v>
      </c>
      <c r="G771" t="s">
        <v>51</v>
      </c>
      <c r="H771">
        <v>3</v>
      </c>
      <c r="I771">
        <v>37551</v>
      </c>
      <c r="J771">
        <v>0</v>
      </c>
      <c r="K771">
        <v>3455</v>
      </c>
    </row>
    <row r="772" spans="1:11" x14ac:dyDescent="0.3">
      <c r="A772" t="s">
        <v>829</v>
      </c>
      <c r="B772" s="1">
        <v>45616</v>
      </c>
      <c r="C772" t="s">
        <v>4</v>
      </c>
      <c r="D772" t="s">
        <v>76</v>
      </c>
      <c r="E772" t="s">
        <v>27</v>
      </c>
      <c r="F772" t="s">
        <v>61</v>
      </c>
      <c r="G772" t="s">
        <v>54</v>
      </c>
      <c r="H772">
        <v>9</v>
      </c>
      <c r="I772">
        <v>49167</v>
      </c>
      <c r="J772">
        <v>0</v>
      </c>
    </row>
    <row r="773" spans="1:11" x14ac:dyDescent="0.3">
      <c r="A773" t="s">
        <v>830</v>
      </c>
      <c r="B773" s="1">
        <v>45317</v>
      </c>
      <c r="C773" t="s">
        <v>3</v>
      </c>
      <c r="D773" t="s">
        <v>53</v>
      </c>
      <c r="E773" t="s">
        <v>28</v>
      </c>
      <c r="F773" t="s">
        <v>61</v>
      </c>
      <c r="G773" t="s">
        <v>54</v>
      </c>
      <c r="H773">
        <v>9</v>
      </c>
      <c r="I773">
        <v>41949</v>
      </c>
      <c r="J773">
        <v>0.1</v>
      </c>
      <c r="K773">
        <v>17291</v>
      </c>
    </row>
    <row r="774" spans="1:11" x14ac:dyDescent="0.3">
      <c r="A774" t="s">
        <v>831</v>
      </c>
      <c r="B774" s="1">
        <v>45297</v>
      </c>
      <c r="C774" t="s">
        <v>5</v>
      </c>
      <c r="D774" t="s">
        <v>69</v>
      </c>
      <c r="E774" t="s">
        <v>27</v>
      </c>
      <c r="F774" t="s">
        <v>58</v>
      </c>
      <c r="G774" t="s">
        <v>54</v>
      </c>
      <c r="H774">
        <v>1</v>
      </c>
      <c r="I774">
        <v>15580</v>
      </c>
    </row>
    <row r="775" spans="1:11" x14ac:dyDescent="0.3">
      <c r="A775" t="s">
        <v>832</v>
      </c>
      <c r="B775" s="1">
        <v>45402</v>
      </c>
      <c r="C775" t="s">
        <v>5</v>
      </c>
      <c r="D775" t="s">
        <v>49</v>
      </c>
      <c r="E775" t="s">
        <v>29</v>
      </c>
      <c r="F775" t="s">
        <v>24</v>
      </c>
      <c r="G775" t="s">
        <v>54</v>
      </c>
      <c r="H775">
        <v>6</v>
      </c>
      <c r="I775">
        <v>43296</v>
      </c>
      <c r="J775">
        <v>0.05</v>
      </c>
    </row>
    <row r="776" spans="1:11" x14ac:dyDescent="0.3">
      <c r="A776" t="s">
        <v>833</v>
      </c>
      <c r="B776" s="1">
        <v>45380</v>
      </c>
      <c r="C776" t="s">
        <v>3</v>
      </c>
      <c r="D776" t="s">
        <v>64</v>
      </c>
      <c r="E776" t="s">
        <v>25</v>
      </c>
      <c r="F776" t="s">
        <v>24</v>
      </c>
      <c r="G776" t="s">
        <v>54</v>
      </c>
      <c r="H776">
        <v>9</v>
      </c>
      <c r="I776">
        <v>25615</v>
      </c>
    </row>
    <row r="777" spans="1:11" x14ac:dyDescent="0.3">
      <c r="A777" t="s">
        <v>834</v>
      </c>
      <c r="B777" s="1">
        <v>45575</v>
      </c>
      <c r="C777" t="s">
        <v>3</v>
      </c>
      <c r="D777" t="s">
        <v>56</v>
      </c>
      <c r="E777" t="s">
        <v>28</v>
      </c>
      <c r="F777" t="s">
        <v>23</v>
      </c>
      <c r="G777" t="s">
        <v>54</v>
      </c>
      <c r="H777">
        <v>2</v>
      </c>
      <c r="I777">
        <v>9925</v>
      </c>
      <c r="J777">
        <v>0.05</v>
      </c>
    </row>
    <row r="778" spans="1:11" x14ac:dyDescent="0.3">
      <c r="A778" t="s">
        <v>835</v>
      </c>
      <c r="B778" s="1">
        <v>45375</v>
      </c>
      <c r="C778" t="s">
        <v>3</v>
      </c>
      <c r="D778" t="s">
        <v>53</v>
      </c>
      <c r="E778" t="s">
        <v>26</v>
      </c>
      <c r="F778" t="s">
        <v>58</v>
      </c>
      <c r="G778" t="s">
        <v>54</v>
      </c>
      <c r="H778">
        <v>2</v>
      </c>
      <c r="I778">
        <v>21934</v>
      </c>
    </row>
    <row r="779" spans="1:11" x14ac:dyDescent="0.3">
      <c r="A779" t="s">
        <v>836</v>
      </c>
      <c r="B779" s="1">
        <v>45627</v>
      </c>
      <c r="C779" t="s">
        <v>6</v>
      </c>
      <c r="D779" t="s">
        <v>49</v>
      </c>
      <c r="E779" t="s">
        <v>26</v>
      </c>
      <c r="F779" t="s">
        <v>58</v>
      </c>
      <c r="G779" t="s">
        <v>54</v>
      </c>
      <c r="H779">
        <v>6</v>
      </c>
      <c r="I779">
        <v>29234</v>
      </c>
      <c r="J779">
        <v>0.05</v>
      </c>
    </row>
    <row r="780" spans="1:11" x14ac:dyDescent="0.3">
      <c r="A780" t="s">
        <v>837</v>
      </c>
      <c r="B780" s="1">
        <v>45441</v>
      </c>
      <c r="C780" t="s">
        <v>3</v>
      </c>
      <c r="D780" t="s">
        <v>69</v>
      </c>
      <c r="E780" t="s">
        <v>27</v>
      </c>
      <c r="F780" t="s">
        <v>24</v>
      </c>
      <c r="G780" t="s">
        <v>54</v>
      </c>
      <c r="H780">
        <v>8</v>
      </c>
      <c r="I780">
        <v>21051</v>
      </c>
      <c r="K780">
        <v>24734</v>
      </c>
    </row>
    <row r="781" spans="1:11" x14ac:dyDescent="0.3">
      <c r="A781" t="s">
        <v>838</v>
      </c>
      <c r="B781" s="1">
        <v>45562</v>
      </c>
      <c r="C781" t="s">
        <v>4</v>
      </c>
      <c r="D781" t="s">
        <v>56</v>
      </c>
      <c r="E781" t="s">
        <v>29</v>
      </c>
      <c r="F781" t="s">
        <v>24</v>
      </c>
      <c r="G781" t="s">
        <v>54</v>
      </c>
      <c r="H781">
        <v>3</v>
      </c>
      <c r="I781">
        <v>13518</v>
      </c>
      <c r="J781">
        <v>0.1</v>
      </c>
    </row>
    <row r="782" spans="1:11" x14ac:dyDescent="0.3">
      <c r="A782" t="s">
        <v>839</v>
      </c>
      <c r="B782" s="1">
        <v>45431</v>
      </c>
      <c r="C782" t="s">
        <v>6</v>
      </c>
      <c r="D782" t="s">
        <v>56</v>
      </c>
      <c r="E782" t="s">
        <v>26</v>
      </c>
      <c r="F782" t="s">
        <v>22</v>
      </c>
      <c r="G782" t="s">
        <v>51</v>
      </c>
      <c r="H782">
        <v>4</v>
      </c>
      <c r="I782">
        <v>40240</v>
      </c>
    </row>
    <row r="783" spans="1:11" x14ac:dyDescent="0.3">
      <c r="A783" t="s">
        <v>840</v>
      </c>
      <c r="B783" s="1">
        <v>45492</v>
      </c>
      <c r="C783" t="s">
        <v>5</v>
      </c>
      <c r="D783" t="s">
        <v>49</v>
      </c>
      <c r="E783" t="s">
        <v>25</v>
      </c>
      <c r="F783" t="s">
        <v>61</v>
      </c>
      <c r="G783" t="s">
        <v>54</v>
      </c>
      <c r="H783">
        <v>1</v>
      </c>
      <c r="I783">
        <v>20843</v>
      </c>
      <c r="K783">
        <v>19757</v>
      </c>
    </row>
    <row r="784" spans="1:11" x14ac:dyDescent="0.3">
      <c r="A784" t="s">
        <v>841</v>
      </c>
      <c r="B784" s="1">
        <v>45339</v>
      </c>
      <c r="C784" t="s">
        <v>6</v>
      </c>
      <c r="D784" t="s">
        <v>56</v>
      </c>
      <c r="E784" t="s">
        <v>27</v>
      </c>
      <c r="F784" t="s">
        <v>58</v>
      </c>
      <c r="G784" t="s">
        <v>54</v>
      </c>
      <c r="H784">
        <v>8</v>
      </c>
      <c r="I784">
        <v>10195</v>
      </c>
      <c r="J784">
        <v>0.1</v>
      </c>
    </row>
    <row r="785" spans="1:11" x14ac:dyDescent="0.3">
      <c r="A785" t="s">
        <v>842</v>
      </c>
      <c r="B785" s="1">
        <v>45483</v>
      </c>
      <c r="C785" t="s">
        <v>3</v>
      </c>
      <c r="D785" t="s">
        <v>53</v>
      </c>
      <c r="E785" t="s">
        <v>26</v>
      </c>
      <c r="F785" t="s">
        <v>23</v>
      </c>
      <c r="G785" t="s">
        <v>54</v>
      </c>
      <c r="H785">
        <v>7</v>
      </c>
      <c r="I785">
        <v>10941</v>
      </c>
    </row>
    <row r="786" spans="1:11" x14ac:dyDescent="0.3">
      <c r="A786" t="s">
        <v>843</v>
      </c>
      <c r="B786" s="1">
        <v>45644</v>
      </c>
      <c r="C786" t="s">
        <v>3</v>
      </c>
      <c r="D786" t="s">
        <v>56</v>
      </c>
      <c r="E786" t="s">
        <v>28</v>
      </c>
      <c r="F786" t="s">
        <v>61</v>
      </c>
      <c r="G786" t="s">
        <v>54</v>
      </c>
      <c r="H786">
        <v>8</v>
      </c>
      <c r="I786">
        <v>17310</v>
      </c>
      <c r="J786">
        <v>0.1</v>
      </c>
      <c r="K786">
        <v>26701</v>
      </c>
    </row>
    <row r="787" spans="1:11" x14ac:dyDescent="0.3">
      <c r="A787" t="s">
        <v>844</v>
      </c>
      <c r="B787" s="1">
        <v>45496</v>
      </c>
      <c r="C787" t="s">
        <v>6</v>
      </c>
      <c r="D787" t="s">
        <v>56</v>
      </c>
      <c r="E787" t="s">
        <v>27</v>
      </c>
      <c r="F787" t="s">
        <v>24</v>
      </c>
      <c r="G787" t="s">
        <v>54</v>
      </c>
      <c r="H787">
        <v>7</v>
      </c>
      <c r="I787">
        <v>19564</v>
      </c>
      <c r="J787">
        <v>0.05</v>
      </c>
    </row>
    <row r="788" spans="1:11" x14ac:dyDescent="0.3">
      <c r="A788" t="s">
        <v>845</v>
      </c>
      <c r="B788" s="1">
        <v>45321</v>
      </c>
      <c r="C788" t="s">
        <v>6</v>
      </c>
      <c r="D788" t="s">
        <v>56</v>
      </c>
      <c r="E788" t="s">
        <v>25</v>
      </c>
      <c r="F788" t="s">
        <v>22</v>
      </c>
      <c r="G788" t="s">
        <v>51</v>
      </c>
      <c r="H788">
        <v>3</v>
      </c>
      <c r="I788">
        <v>31783</v>
      </c>
      <c r="J788">
        <v>0</v>
      </c>
      <c r="K788">
        <v>19147</v>
      </c>
    </row>
    <row r="789" spans="1:11" x14ac:dyDescent="0.3">
      <c r="A789" t="s">
        <v>846</v>
      </c>
      <c r="B789" s="1">
        <v>45304</v>
      </c>
      <c r="C789" t="s">
        <v>5</v>
      </c>
      <c r="D789" t="s">
        <v>56</v>
      </c>
      <c r="E789" t="s">
        <v>28</v>
      </c>
      <c r="F789" t="s">
        <v>24</v>
      </c>
      <c r="G789" t="s">
        <v>54</v>
      </c>
      <c r="H789">
        <v>10</v>
      </c>
      <c r="I789">
        <v>11659</v>
      </c>
      <c r="J789">
        <v>0.05</v>
      </c>
      <c r="K789">
        <v>19492</v>
      </c>
    </row>
    <row r="790" spans="1:11" x14ac:dyDescent="0.3">
      <c r="A790" t="s">
        <v>847</v>
      </c>
      <c r="B790" s="1">
        <v>45353</v>
      </c>
      <c r="C790" t="s">
        <v>5</v>
      </c>
      <c r="D790" t="s">
        <v>56</v>
      </c>
      <c r="E790" t="s">
        <v>26</v>
      </c>
      <c r="F790" t="s">
        <v>58</v>
      </c>
      <c r="G790" t="s">
        <v>54</v>
      </c>
      <c r="H790">
        <v>3</v>
      </c>
      <c r="I790">
        <v>21762</v>
      </c>
      <c r="J790">
        <v>0.05</v>
      </c>
    </row>
    <row r="791" spans="1:11" x14ac:dyDescent="0.3">
      <c r="A791" t="s">
        <v>848</v>
      </c>
      <c r="B791" s="1">
        <v>45339</v>
      </c>
      <c r="C791" t="s">
        <v>6</v>
      </c>
      <c r="D791" t="s">
        <v>49</v>
      </c>
      <c r="E791" t="s">
        <v>25</v>
      </c>
      <c r="F791" t="s">
        <v>50</v>
      </c>
      <c r="G791" t="s">
        <v>51</v>
      </c>
      <c r="H791">
        <v>10</v>
      </c>
      <c r="I791">
        <v>10699</v>
      </c>
    </row>
    <row r="792" spans="1:11" x14ac:dyDescent="0.3">
      <c r="A792" t="s">
        <v>849</v>
      </c>
      <c r="B792" s="1">
        <v>45435</v>
      </c>
      <c r="C792" t="s">
        <v>5</v>
      </c>
      <c r="D792" t="s">
        <v>69</v>
      </c>
      <c r="E792" t="s">
        <v>29</v>
      </c>
      <c r="F792" t="s">
        <v>50</v>
      </c>
      <c r="G792" t="s">
        <v>51</v>
      </c>
      <c r="H792">
        <v>10</v>
      </c>
      <c r="I792">
        <v>36708</v>
      </c>
      <c r="J792">
        <v>0</v>
      </c>
    </row>
    <row r="793" spans="1:11" x14ac:dyDescent="0.3">
      <c r="A793" t="s">
        <v>850</v>
      </c>
      <c r="B793" s="1">
        <v>45348</v>
      </c>
      <c r="C793" t="s">
        <v>6</v>
      </c>
      <c r="D793" t="s">
        <v>69</v>
      </c>
      <c r="E793" t="s">
        <v>25</v>
      </c>
      <c r="F793" t="s">
        <v>50</v>
      </c>
      <c r="G793" t="s">
        <v>51</v>
      </c>
      <c r="H793">
        <v>6</v>
      </c>
      <c r="I793">
        <v>19365</v>
      </c>
    </row>
    <row r="794" spans="1:11" x14ac:dyDescent="0.3">
      <c r="A794" t="s">
        <v>851</v>
      </c>
      <c r="B794" s="1">
        <v>45533</v>
      </c>
      <c r="C794" t="s">
        <v>6</v>
      </c>
      <c r="D794" t="s">
        <v>49</v>
      </c>
      <c r="E794" t="s">
        <v>26</v>
      </c>
      <c r="F794" t="s">
        <v>50</v>
      </c>
      <c r="G794" t="s">
        <v>51</v>
      </c>
      <c r="H794">
        <v>2</v>
      </c>
      <c r="I794">
        <v>9405</v>
      </c>
      <c r="J794">
        <v>0.1</v>
      </c>
      <c r="K794">
        <v>27331</v>
      </c>
    </row>
    <row r="795" spans="1:11" x14ac:dyDescent="0.3">
      <c r="A795" t="s">
        <v>852</v>
      </c>
      <c r="B795" s="1">
        <v>45307</v>
      </c>
      <c r="C795" t="s">
        <v>4</v>
      </c>
      <c r="D795" t="s">
        <v>64</v>
      </c>
      <c r="E795" t="s">
        <v>27</v>
      </c>
      <c r="F795" t="s">
        <v>22</v>
      </c>
      <c r="G795" t="s">
        <v>51</v>
      </c>
      <c r="H795">
        <v>4</v>
      </c>
      <c r="I795">
        <v>33620</v>
      </c>
      <c r="J795">
        <v>0.1</v>
      </c>
      <c r="K795">
        <v>9915</v>
      </c>
    </row>
    <row r="796" spans="1:11" x14ac:dyDescent="0.3">
      <c r="A796" t="s">
        <v>853</v>
      </c>
      <c r="B796" s="1">
        <v>45515</v>
      </c>
      <c r="C796" t="s">
        <v>6</v>
      </c>
      <c r="D796" t="s">
        <v>69</v>
      </c>
      <c r="E796" t="s">
        <v>26</v>
      </c>
      <c r="F796" t="s">
        <v>22</v>
      </c>
      <c r="G796" t="s">
        <v>51</v>
      </c>
      <c r="H796">
        <v>9</v>
      </c>
      <c r="I796">
        <v>46255</v>
      </c>
    </row>
    <row r="797" spans="1:11" x14ac:dyDescent="0.3">
      <c r="A797" t="s">
        <v>854</v>
      </c>
      <c r="B797" s="1">
        <v>45382</v>
      </c>
      <c r="C797" t="s">
        <v>3</v>
      </c>
      <c r="D797" t="s">
        <v>64</v>
      </c>
      <c r="E797" t="s">
        <v>29</v>
      </c>
      <c r="F797" t="s">
        <v>61</v>
      </c>
      <c r="G797" t="s">
        <v>54</v>
      </c>
      <c r="H797">
        <v>7</v>
      </c>
      <c r="I797">
        <v>4233</v>
      </c>
    </row>
    <row r="798" spans="1:11" x14ac:dyDescent="0.3">
      <c r="A798" t="s">
        <v>855</v>
      </c>
      <c r="B798" s="1">
        <v>45651</v>
      </c>
      <c r="C798" t="s">
        <v>4</v>
      </c>
      <c r="D798" t="s">
        <v>76</v>
      </c>
      <c r="E798" t="s">
        <v>29</v>
      </c>
      <c r="F798" t="s">
        <v>23</v>
      </c>
      <c r="G798" t="s">
        <v>54</v>
      </c>
      <c r="H798">
        <v>7</v>
      </c>
      <c r="I798">
        <v>2295</v>
      </c>
      <c r="J798">
        <v>0</v>
      </c>
      <c r="K798">
        <v>27047</v>
      </c>
    </row>
    <row r="799" spans="1:11" x14ac:dyDescent="0.3">
      <c r="A799" t="s">
        <v>856</v>
      </c>
      <c r="B799" s="1">
        <v>45331</v>
      </c>
      <c r="C799" t="s">
        <v>3</v>
      </c>
      <c r="D799" t="s">
        <v>49</v>
      </c>
      <c r="E799" t="s">
        <v>29</v>
      </c>
      <c r="F799" t="s">
        <v>24</v>
      </c>
      <c r="G799" t="s">
        <v>54</v>
      </c>
      <c r="H799">
        <v>5</v>
      </c>
      <c r="I799">
        <v>36696</v>
      </c>
      <c r="J799">
        <v>0.1</v>
      </c>
      <c r="K799">
        <v>23486</v>
      </c>
    </row>
    <row r="800" spans="1:11" x14ac:dyDescent="0.3">
      <c r="A800" t="s">
        <v>857</v>
      </c>
      <c r="B800" s="1">
        <v>45297</v>
      </c>
      <c r="C800" t="s">
        <v>3</v>
      </c>
      <c r="D800" t="s">
        <v>49</v>
      </c>
      <c r="E800" t="s">
        <v>29</v>
      </c>
      <c r="F800" t="s">
        <v>22</v>
      </c>
      <c r="G800" t="s">
        <v>51</v>
      </c>
      <c r="H800">
        <v>5</v>
      </c>
      <c r="I800">
        <v>36881</v>
      </c>
      <c r="K800">
        <v>3005</v>
      </c>
    </row>
    <row r="801" spans="1:11" x14ac:dyDescent="0.3">
      <c r="A801" t="s">
        <v>858</v>
      </c>
      <c r="B801" s="1">
        <v>45409</v>
      </c>
      <c r="C801" t="s">
        <v>6</v>
      </c>
      <c r="D801" t="s">
        <v>64</v>
      </c>
      <c r="E801" t="s">
        <v>28</v>
      </c>
      <c r="F801" t="s">
        <v>22</v>
      </c>
      <c r="G801" t="s">
        <v>51</v>
      </c>
      <c r="H801">
        <v>2</v>
      </c>
      <c r="I801">
        <v>25578</v>
      </c>
      <c r="J801">
        <v>0</v>
      </c>
    </row>
    <row r="802" spans="1:11" x14ac:dyDescent="0.3">
      <c r="A802" t="s">
        <v>859</v>
      </c>
      <c r="B802" s="1">
        <v>45391</v>
      </c>
      <c r="C802" t="s">
        <v>6</v>
      </c>
      <c r="D802" t="s">
        <v>49</v>
      </c>
      <c r="E802" t="s">
        <v>25</v>
      </c>
      <c r="F802" t="s">
        <v>23</v>
      </c>
      <c r="G802" t="s">
        <v>54</v>
      </c>
      <c r="H802">
        <v>7</v>
      </c>
      <c r="I802">
        <v>20366</v>
      </c>
    </row>
    <row r="803" spans="1:11" x14ac:dyDescent="0.3">
      <c r="A803" t="s">
        <v>860</v>
      </c>
      <c r="B803" s="1">
        <v>45435</v>
      </c>
      <c r="C803" t="s">
        <v>5</v>
      </c>
      <c r="D803" t="s">
        <v>49</v>
      </c>
      <c r="E803" t="s">
        <v>27</v>
      </c>
      <c r="F803" t="s">
        <v>58</v>
      </c>
      <c r="G803" t="s">
        <v>54</v>
      </c>
      <c r="H803">
        <v>4</v>
      </c>
      <c r="I803">
        <v>10468</v>
      </c>
      <c r="J803">
        <v>0.05</v>
      </c>
      <c r="K803">
        <v>16772</v>
      </c>
    </row>
    <row r="804" spans="1:11" x14ac:dyDescent="0.3">
      <c r="A804" t="s">
        <v>861</v>
      </c>
      <c r="B804" s="1">
        <v>45310</v>
      </c>
      <c r="C804" t="s">
        <v>5</v>
      </c>
      <c r="D804" t="s">
        <v>76</v>
      </c>
      <c r="E804" t="s">
        <v>28</v>
      </c>
      <c r="F804" t="s">
        <v>61</v>
      </c>
      <c r="G804" t="s">
        <v>54</v>
      </c>
      <c r="H804">
        <v>9</v>
      </c>
      <c r="I804">
        <v>41467</v>
      </c>
      <c r="J804">
        <v>0.05</v>
      </c>
      <c r="K804">
        <v>26386</v>
      </c>
    </row>
    <row r="805" spans="1:11" x14ac:dyDescent="0.3">
      <c r="A805" t="s">
        <v>862</v>
      </c>
      <c r="B805" s="1">
        <v>45395</v>
      </c>
      <c r="C805" t="s">
        <v>3</v>
      </c>
      <c r="D805" t="s">
        <v>64</v>
      </c>
      <c r="E805" t="s">
        <v>29</v>
      </c>
      <c r="F805" t="s">
        <v>23</v>
      </c>
      <c r="G805" t="s">
        <v>54</v>
      </c>
      <c r="H805">
        <v>4</v>
      </c>
      <c r="I805">
        <v>28873</v>
      </c>
      <c r="J805">
        <v>0.05</v>
      </c>
    </row>
    <row r="806" spans="1:11" x14ac:dyDescent="0.3">
      <c r="A806" t="s">
        <v>863</v>
      </c>
      <c r="B806" s="1">
        <v>45593</v>
      </c>
      <c r="C806" t="s">
        <v>6</v>
      </c>
      <c r="D806" t="s">
        <v>49</v>
      </c>
      <c r="E806" t="s">
        <v>29</v>
      </c>
      <c r="F806" t="s">
        <v>50</v>
      </c>
      <c r="G806" t="s">
        <v>51</v>
      </c>
      <c r="H806">
        <v>10</v>
      </c>
      <c r="I806">
        <v>19833</v>
      </c>
      <c r="J806">
        <v>0.05</v>
      </c>
    </row>
    <row r="807" spans="1:11" x14ac:dyDescent="0.3">
      <c r="A807" t="s">
        <v>864</v>
      </c>
      <c r="B807" s="1">
        <v>45332</v>
      </c>
      <c r="C807" t="s">
        <v>3</v>
      </c>
      <c r="D807" t="s">
        <v>56</v>
      </c>
      <c r="E807" t="s">
        <v>28</v>
      </c>
      <c r="F807" t="s">
        <v>58</v>
      </c>
      <c r="G807" t="s">
        <v>54</v>
      </c>
      <c r="H807">
        <v>4</v>
      </c>
      <c r="I807">
        <v>49359</v>
      </c>
      <c r="K807">
        <v>27339</v>
      </c>
    </row>
    <row r="808" spans="1:11" x14ac:dyDescent="0.3">
      <c r="A808" t="s">
        <v>865</v>
      </c>
      <c r="B808" s="1">
        <v>45514</v>
      </c>
      <c r="C808" t="s">
        <v>5</v>
      </c>
      <c r="D808" t="s">
        <v>64</v>
      </c>
      <c r="E808" t="s">
        <v>25</v>
      </c>
      <c r="F808" t="s">
        <v>24</v>
      </c>
      <c r="G808" t="s">
        <v>54</v>
      </c>
      <c r="H808">
        <v>9</v>
      </c>
      <c r="I808">
        <v>20021</v>
      </c>
      <c r="K808">
        <v>14177</v>
      </c>
    </row>
    <row r="809" spans="1:11" x14ac:dyDescent="0.3">
      <c r="A809" t="s">
        <v>866</v>
      </c>
      <c r="B809" s="1">
        <v>45621</v>
      </c>
      <c r="C809" t="s">
        <v>5</v>
      </c>
      <c r="D809" t="s">
        <v>64</v>
      </c>
      <c r="E809" t="s">
        <v>25</v>
      </c>
      <c r="F809" t="s">
        <v>61</v>
      </c>
      <c r="G809" t="s">
        <v>54</v>
      </c>
      <c r="H809">
        <v>7</v>
      </c>
      <c r="I809">
        <v>47465</v>
      </c>
    </row>
    <row r="810" spans="1:11" x14ac:dyDescent="0.3">
      <c r="A810" t="s">
        <v>867</v>
      </c>
      <c r="B810" s="1">
        <v>45501</v>
      </c>
      <c r="C810" t="s">
        <v>5</v>
      </c>
      <c r="D810" t="s">
        <v>49</v>
      </c>
      <c r="E810" t="s">
        <v>28</v>
      </c>
      <c r="F810" t="s">
        <v>58</v>
      </c>
      <c r="G810" t="s">
        <v>54</v>
      </c>
      <c r="H810">
        <v>10</v>
      </c>
      <c r="I810">
        <v>4572</v>
      </c>
      <c r="J810">
        <v>0.05</v>
      </c>
    </row>
    <row r="811" spans="1:11" x14ac:dyDescent="0.3">
      <c r="A811" t="s">
        <v>868</v>
      </c>
      <c r="B811" s="1">
        <v>45458</v>
      </c>
      <c r="C811" t="s">
        <v>3</v>
      </c>
      <c r="D811" t="s">
        <v>76</v>
      </c>
      <c r="E811" t="s">
        <v>26</v>
      </c>
      <c r="F811" t="s">
        <v>22</v>
      </c>
      <c r="G811" t="s">
        <v>51</v>
      </c>
      <c r="H811">
        <v>6</v>
      </c>
      <c r="I811">
        <v>35199</v>
      </c>
      <c r="K811">
        <v>29500</v>
      </c>
    </row>
    <row r="812" spans="1:11" x14ac:dyDescent="0.3">
      <c r="A812" t="s">
        <v>869</v>
      </c>
      <c r="B812" s="1">
        <v>45591</v>
      </c>
      <c r="C812" t="s">
        <v>5</v>
      </c>
      <c r="D812" t="s">
        <v>49</v>
      </c>
      <c r="E812" t="s">
        <v>28</v>
      </c>
      <c r="F812" t="s">
        <v>23</v>
      </c>
      <c r="G812" t="s">
        <v>54</v>
      </c>
      <c r="H812">
        <v>8</v>
      </c>
      <c r="I812">
        <v>17336</v>
      </c>
      <c r="K812">
        <v>26479</v>
      </c>
    </row>
    <row r="813" spans="1:11" x14ac:dyDescent="0.3">
      <c r="A813" t="s">
        <v>870</v>
      </c>
      <c r="B813" s="1">
        <v>45323</v>
      </c>
      <c r="C813" t="s">
        <v>3</v>
      </c>
      <c r="D813" t="s">
        <v>76</v>
      </c>
      <c r="E813" t="s">
        <v>26</v>
      </c>
      <c r="F813" t="s">
        <v>22</v>
      </c>
      <c r="G813" t="s">
        <v>51</v>
      </c>
      <c r="H813">
        <v>5</v>
      </c>
      <c r="I813">
        <v>1843</v>
      </c>
      <c r="J813">
        <v>0</v>
      </c>
    </row>
    <row r="814" spans="1:11" x14ac:dyDescent="0.3">
      <c r="A814" t="s">
        <v>871</v>
      </c>
      <c r="B814" s="1">
        <v>45478</v>
      </c>
      <c r="C814" t="s">
        <v>6</v>
      </c>
      <c r="D814" t="s">
        <v>56</v>
      </c>
      <c r="E814" t="s">
        <v>25</v>
      </c>
      <c r="F814" t="s">
        <v>61</v>
      </c>
      <c r="G814" t="s">
        <v>54</v>
      </c>
      <c r="H814">
        <v>10</v>
      </c>
      <c r="I814">
        <v>19391</v>
      </c>
      <c r="J814">
        <v>0</v>
      </c>
      <c r="K814">
        <v>3739</v>
      </c>
    </row>
    <row r="815" spans="1:11" x14ac:dyDescent="0.3">
      <c r="A815" t="s">
        <v>872</v>
      </c>
      <c r="B815" s="1">
        <v>45505</v>
      </c>
      <c r="C815" t="s">
        <v>5</v>
      </c>
      <c r="D815" t="s">
        <v>76</v>
      </c>
      <c r="E815" t="s">
        <v>26</v>
      </c>
      <c r="F815" t="s">
        <v>58</v>
      </c>
      <c r="G815" t="s">
        <v>54</v>
      </c>
      <c r="H815">
        <v>1</v>
      </c>
      <c r="I815">
        <v>47334</v>
      </c>
      <c r="K815">
        <v>16080</v>
      </c>
    </row>
    <row r="816" spans="1:11" x14ac:dyDescent="0.3">
      <c r="A816" t="s">
        <v>873</v>
      </c>
      <c r="B816" s="1">
        <v>45372</v>
      </c>
      <c r="C816" t="s">
        <v>3</v>
      </c>
      <c r="D816" t="s">
        <v>49</v>
      </c>
      <c r="E816" t="s">
        <v>25</v>
      </c>
      <c r="F816" t="s">
        <v>22</v>
      </c>
      <c r="G816" t="s">
        <v>51</v>
      </c>
      <c r="H816">
        <v>8</v>
      </c>
      <c r="I816">
        <v>40115</v>
      </c>
      <c r="J816">
        <v>0</v>
      </c>
      <c r="K816">
        <v>15045</v>
      </c>
    </row>
    <row r="817" spans="1:11" x14ac:dyDescent="0.3">
      <c r="A817" t="s">
        <v>874</v>
      </c>
      <c r="B817" s="1">
        <v>45612</v>
      </c>
      <c r="C817" t="s">
        <v>4</v>
      </c>
      <c r="D817" t="s">
        <v>53</v>
      </c>
      <c r="E817" t="s">
        <v>29</v>
      </c>
      <c r="F817" t="s">
        <v>23</v>
      </c>
      <c r="G817" t="s">
        <v>54</v>
      </c>
      <c r="H817">
        <v>7</v>
      </c>
      <c r="I817">
        <v>13529</v>
      </c>
      <c r="J817">
        <v>0.1</v>
      </c>
      <c r="K817">
        <v>5280</v>
      </c>
    </row>
    <row r="818" spans="1:11" x14ac:dyDescent="0.3">
      <c r="A818" t="s">
        <v>875</v>
      </c>
      <c r="B818" s="1">
        <v>45567</v>
      </c>
      <c r="C818" t="s">
        <v>3</v>
      </c>
      <c r="D818" t="s">
        <v>64</v>
      </c>
      <c r="E818" t="s">
        <v>25</v>
      </c>
      <c r="F818" t="s">
        <v>58</v>
      </c>
      <c r="G818" t="s">
        <v>54</v>
      </c>
      <c r="H818">
        <v>1</v>
      </c>
      <c r="I818">
        <v>7059</v>
      </c>
      <c r="J818">
        <v>0</v>
      </c>
      <c r="K818">
        <v>7950</v>
      </c>
    </row>
    <row r="819" spans="1:11" x14ac:dyDescent="0.3">
      <c r="A819" t="s">
        <v>876</v>
      </c>
      <c r="B819" s="1">
        <v>45341</v>
      </c>
      <c r="C819" t="s">
        <v>3</v>
      </c>
      <c r="D819" t="s">
        <v>76</v>
      </c>
      <c r="E819" t="s">
        <v>29</v>
      </c>
      <c r="F819" t="s">
        <v>58</v>
      </c>
      <c r="G819" t="s">
        <v>54</v>
      </c>
      <c r="H819">
        <v>1</v>
      </c>
      <c r="I819">
        <v>21622</v>
      </c>
      <c r="J819">
        <v>0.05</v>
      </c>
    </row>
    <row r="820" spans="1:11" x14ac:dyDescent="0.3">
      <c r="A820" t="s">
        <v>877</v>
      </c>
      <c r="B820" s="1">
        <v>45391</v>
      </c>
      <c r="C820" t="s">
        <v>5</v>
      </c>
      <c r="D820" t="s">
        <v>53</v>
      </c>
      <c r="E820" t="s">
        <v>28</v>
      </c>
      <c r="F820" t="s">
        <v>23</v>
      </c>
      <c r="G820" t="s">
        <v>54</v>
      </c>
      <c r="H820">
        <v>7</v>
      </c>
      <c r="I820">
        <v>33684</v>
      </c>
      <c r="J820">
        <v>0.05</v>
      </c>
      <c r="K820">
        <v>7770</v>
      </c>
    </row>
    <row r="821" spans="1:11" x14ac:dyDescent="0.3">
      <c r="A821" t="s">
        <v>878</v>
      </c>
      <c r="B821" s="1">
        <v>45504</v>
      </c>
      <c r="C821" t="s">
        <v>3</v>
      </c>
      <c r="D821" t="s">
        <v>49</v>
      </c>
      <c r="E821" t="s">
        <v>26</v>
      </c>
      <c r="F821" t="s">
        <v>24</v>
      </c>
      <c r="G821" t="s">
        <v>54</v>
      </c>
      <c r="H821">
        <v>2</v>
      </c>
      <c r="I821">
        <v>47885</v>
      </c>
      <c r="J821">
        <v>0</v>
      </c>
    </row>
    <row r="822" spans="1:11" x14ac:dyDescent="0.3">
      <c r="A822" t="s">
        <v>879</v>
      </c>
      <c r="B822" s="1">
        <v>45597</v>
      </c>
      <c r="C822" t="s">
        <v>5</v>
      </c>
      <c r="D822" t="s">
        <v>53</v>
      </c>
      <c r="E822" t="s">
        <v>29</v>
      </c>
      <c r="F822" t="s">
        <v>61</v>
      </c>
      <c r="G822" t="s">
        <v>54</v>
      </c>
      <c r="H822">
        <v>1</v>
      </c>
      <c r="I822">
        <v>41519</v>
      </c>
      <c r="J822">
        <v>0.05</v>
      </c>
      <c r="K822">
        <v>25425</v>
      </c>
    </row>
    <row r="823" spans="1:11" x14ac:dyDescent="0.3">
      <c r="A823" t="s">
        <v>880</v>
      </c>
      <c r="B823" s="1">
        <v>45321</v>
      </c>
      <c r="C823" t="s">
        <v>3</v>
      </c>
      <c r="D823" t="s">
        <v>64</v>
      </c>
      <c r="E823" t="s">
        <v>26</v>
      </c>
      <c r="F823" t="s">
        <v>23</v>
      </c>
      <c r="G823" t="s">
        <v>54</v>
      </c>
      <c r="H823">
        <v>7</v>
      </c>
      <c r="I823">
        <v>5903</v>
      </c>
    </row>
    <row r="824" spans="1:11" x14ac:dyDescent="0.3">
      <c r="A824" t="s">
        <v>881</v>
      </c>
      <c r="B824" s="1">
        <v>45645</v>
      </c>
      <c r="C824" t="s">
        <v>4</v>
      </c>
      <c r="D824" t="s">
        <v>76</v>
      </c>
      <c r="E824" t="s">
        <v>26</v>
      </c>
      <c r="F824" t="s">
        <v>22</v>
      </c>
      <c r="G824" t="s">
        <v>51</v>
      </c>
      <c r="H824">
        <v>4</v>
      </c>
      <c r="I824">
        <v>6725</v>
      </c>
      <c r="J824">
        <v>0.05</v>
      </c>
    </row>
    <row r="825" spans="1:11" x14ac:dyDescent="0.3">
      <c r="A825" t="s">
        <v>882</v>
      </c>
      <c r="B825" s="1">
        <v>45479</v>
      </c>
      <c r="C825" t="s">
        <v>6</v>
      </c>
      <c r="D825" t="s">
        <v>69</v>
      </c>
      <c r="E825" t="s">
        <v>27</v>
      </c>
      <c r="F825" t="s">
        <v>50</v>
      </c>
      <c r="G825" t="s">
        <v>51</v>
      </c>
      <c r="H825">
        <v>1</v>
      </c>
      <c r="I825">
        <v>48214</v>
      </c>
      <c r="J825">
        <v>0.1</v>
      </c>
      <c r="K825">
        <v>17294</v>
      </c>
    </row>
    <row r="826" spans="1:11" x14ac:dyDescent="0.3">
      <c r="A826" t="s">
        <v>883</v>
      </c>
      <c r="B826" s="1">
        <v>45477</v>
      </c>
      <c r="C826" t="s">
        <v>3</v>
      </c>
      <c r="D826" t="s">
        <v>53</v>
      </c>
      <c r="E826" t="s">
        <v>25</v>
      </c>
      <c r="F826" t="s">
        <v>61</v>
      </c>
      <c r="G826" t="s">
        <v>54</v>
      </c>
      <c r="H826">
        <v>9</v>
      </c>
      <c r="I826">
        <v>652</v>
      </c>
      <c r="J826">
        <v>0</v>
      </c>
      <c r="K826">
        <v>1244</v>
      </c>
    </row>
    <row r="827" spans="1:11" x14ac:dyDescent="0.3">
      <c r="A827" t="s">
        <v>884</v>
      </c>
      <c r="B827" s="1">
        <v>45562</v>
      </c>
      <c r="C827" t="s">
        <v>5</v>
      </c>
      <c r="D827" t="s">
        <v>56</v>
      </c>
      <c r="E827" t="s">
        <v>28</v>
      </c>
      <c r="F827" t="s">
        <v>61</v>
      </c>
      <c r="G827" t="s">
        <v>54</v>
      </c>
      <c r="H827">
        <v>8</v>
      </c>
      <c r="I827">
        <v>40293</v>
      </c>
      <c r="J827">
        <v>0.05</v>
      </c>
      <c r="K827">
        <v>5853</v>
      </c>
    </row>
    <row r="828" spans="1:11" x14ac:dyDescent="0.3">
      <c r="A828" t="s">
        <v>885</v>
      </c>
      <c r="B828" s="1">
        <v>45379</v>
      </c>
      <c r="C828" t="s">
        <v>3</v>
      </c>
      <c r="D828" t="s">
        <v>76</v>
      </c>
      <c r="E828" t="s">
        <v>29</v>
      </c>
      <c r="F828" t="s">
        <v>24</v>
      </c>
      <c r="G828" t="s">
        <v>54</v>
      </c>
      <c r="H828">
        <v>8</v>
      </c>
      <c r="I828">
        <v>6512</v>
      </c>
      <c r="J828">
        <v>0</v>
      </c>
      <c r="K828">
        <v>235</v>
      </c>
    </row>
    <row r="829" spans="1:11" x14ac:dyDescent="0.3">
      <c r="A829" t="s">
        <v>886</v>
      </c>
      <c r="B829" s="1">
        <v>45492</v>
      </c>
      <c r="C829" t="s">
        <v>5</v>
      </c>
      <c r="D829" t="s">
        <v>56</v>
      </c>
      <c r="E829" t="s">
        <v>26</v>
      </c>
      <c r="F829" t="s">
        <v>22</v>
      </c>
      <c r="G829" t="s">
        <v>51</v>
      </c>
      <c r="H829">
        <v>8</v>
      </c>
      <c r="I829">
        <v>3310</v>
      </c>
      <c r="J829">
        <v>0</v>
      </c>
    </row>
    <row r="830" spans="1:11" x14ac:dyDescent="0.3">
      <c r="A830" t="s">
        <v>887</v>
      </c>
      <c r="B830" s="1">
        <v>45577</v>
      </c>
      <c r="C830" t="s">
        <v>6</v>
      </c>
      <c r="D830" t="s">
        <v>69</v>
      </c>
      <c r="E830" t="s">
        <v>29</v>
      </c>
      <c r="F830" t="s">
        <v>58</v>
      </c>
      <c r="G830" t="s">
        <v>54</v>
      </c>
      <c r="H830">
        <v>1</v>
      </c>
      <c r="I830">
        <v>34254</v>
      </c>
      <c r="J830">
        <v>0.05</v>
      </c>
      <c r="K830">
        <v>17442</v>
      </c>
    </row>
    <row r="831" spans="1:11" x14ac:dyDescent="0.3">
      <c r="A831" t="s">
        <v>888</v>
      </c>
      <c r="B831" s="1">
        <v>45615</v>
      </c>
      <c r="C831" t="s">
        <v>6</v>
      </c>
      <c r="D831" t="s">
        <v>64</v>
      </c>
      <c r="E831" t="s">
        <v>27</v>
      </c>
      <c r="F831" t="s">
        <v>24</v>
      </c>
      <c r="G831" t="s">
        <v>54</v>
      </c>
      <c r="H831">
        <v>5</v>
      </c>
      <c r="I831">
        <v>37544</v>
      </c>
      <c r="J831">
        <v>0.1</v>
      </c>
      <c r="K831">
        <v>8995</v>
      </c>
    </row>
    <row r="832" spans="1:11" x14ac:dyDescent="0.3">
      <c r="A832" t="s">
        <v>889</v>
      </c>
      <c r="B832" s="1">
        <v>45494</v>
      </c>
      <c r="C832" t="s">
        <v>4</v>
      </c>
      <c r="D832" t="s">
        <v>49</v>
      </c>
      <c r="E832" t="s">
        <v>25</v>
      </c>
      <c r="F832" t="s">
        <v>50</v>
      </c>
      <c r="G832" t="s">
        <v>51</v>
      </c>
      <c r="H832">
        <v>4</v>
      </c>
      <c r="I832">
        <v>43026</v>
      </c>
    </row>
    <row r="833" spans="1:11" x14ac:dyDescent="0.3">
      <c r="A833" t="s">
        <v>890</v>
      </c>
      <c r="B833" s="1">
        <v>45469</v>
      </c>
      <c r="C833" t="s">
        <v>5</v>
      </c>
      <c r="D833" t="s">
        <v>49</v>
      </c>
      <c r="E833" t="s">
        <v>28</v>
      </c>
      <c r="F833" t="s">
        <v>22</v>
      </c>
      <c r="G833" t="s">
        <v>51</v>
      </c>
      <c r="H833">
        <v>2</v>
      </c>
      <c r="I833">
        <v>15739</v>
      </c>
      <c r="J833">
        <v>0.1</v>
      </c>
    </row>
    <row r="834" spans="1:11" x14ac:dyDescent="0.3">
      <c r="A834" t="s">
        <v>891</v>
      </c>
      <c r="B834" s="1">
        <v>45631</v>
      </c>
      <c r="C834" t="s">
        <v>5</v>
      </c>
      <c r="D834" t="s">
        <v>53</v>
      </c>
      <c r="E834" t="s">
        <v>29</v>
      </c>
      <c r="F834" t="s">
        <v>58</v>
      </c>
      <c r="G834" t="s">
        <v>54</v>
      </c>
      <c r="H834">
        <v>3</v>
      </c>
      <c r="I834">
        <v>41413</v>
      </c>
      <c r="J834">
        <v>0.1</v>
      </c>
    </row>
    <row r="835" spans="1:11" x14ac:dyDescent="0.3">
      <c r="A835" t="s">
        <v>892</v>
      </c>
      <c r="B835" s="1">
        <v>45377</v>
      </c>
      <c r="C835" t="s">
        <v>4</v>
      </c>
      <c r="D835" t="s">
        <v>69</v>
      </c>
      <c r="E835" t="s">
        <v>29</v>
      </c>
      <c r="F835" t="s">
        <v>61</v>
      </c>
      <c r="G835" t="s">
        <v>54</v>
      </c>
      <c r="H835">
        <v>9</v>
      </c>
      <c r="I835">
        <v>38417</v>
      </c>
    </row>
    <row r="836" spans="1:11" x14ac:dyDescent="0.3">
      <c r="A836" t="s">
        <v>893</v>
      </c>
      <c r="B836" s="1">
        <v>45629</v>
      </c>
      <c r="C836" t="s">
        <v>6</v>
      </c>
      <c r="D836" t="s">
        <v>76</v>
      </c>
      <c r="E836" t="s">
        <v>25</v>
      </c>
      <c r="F836" t="s">
        <v>58</v>
      </c>
      <c r="G836" t="s">
        <v>54</v>
      </c>
      <c r="H836">
        <v>10</v>
      </c>
      <c r="I836">
        <v>26923</v>
      </c>
      <c r="J836">
        <v>0</v>
      </c>
    </row>
    <row r="837" spans="1:11" x14ac:dyDescent="0.3">
      <c r="A837" t="s">
        <v>894</v>
      </c>
      <c r="B837" s="1">
        <v>45481</v>
      </c>
      <c r="C837" t="s">
        <v>6</v>
      </c>
      <c r="D837" t="s">
        <v>53</v>
      </c>
      <c r="E837" t="s">
        <v>27</v>
      </c>
      <c r="F837" t="s">
        <v>61</v>
      </c>
      <c r="G837" t="s">
        <v>54</v>
      </c>
      <c r="H837">
        <v>9</v>
      </c>
      <c r="I837">
        <v>15085</v>
      </c>
      <c r="J837">
        <v>0.05</v>
      </c>
      <c r="K837">
        <v>21094</v>
      </c>
    </row>
    <row r="838" spans="1:11" x14ac:dyDescent="0.3">
      <c r="A838" t="s">
        <v>895</v>
      </c>
      <c r="B838" s="1">
        <v>45456</v>
      </c>
      <c r="C838" t="s">
        <v>6</v>
      </c>
      <c r="D838" t="s">
        <v>64</v>
      </c>
      <c r="E838" t="s">
        <v>28</v>
      </c>
      <c r="F838" t="s">
        <v>23</v>
      </c>
      <c r="G838" t="s">
        <v>54</v>
      </c>
      <c r="H838">
        <v>8</v>
      </c>
      <c r="I838">
        <v>12795</v>
      </c>
      <c r="J838">
        <v>0.05</v>
      </c>
      <c r="K838">
        <v>8445</v>
      </c>
    </row>
    <row r="839" spans="1:11" x14ac:dyDescent="0.3">
      <c r="A839" t="s">
        <v>896</v>
      </c>
      <c r="B839" s="1">
        <v>45295</v>
      </c>
      <c r="C839" t="s">
        <v>3</v>
      </c>
      <c r="D839" t="s">
        <v>69</v>
      </c>
      <c r="E839" t="s">
        <v>27</v>
      </c>
      <c r="F839" t="s">
        <v>61</v>
      </c>
      <c r="G839" t="s">
        <v>54</v>
      </c>
      <c r="H839">
        <v>7</v>
      </c>
      <c r="I839">
        <v>21745</v>
      </c>
    </row>
    <row r="840" spans="1:11" x14ac:dyDescent="0.3">
      <c r="A840" t="s">
        <v>897</v>
      </c>
      <c r="B840" s="1">
        <v>45448</v>
      </c>
      <c r="C840" t="s">
        <v>4</v>
      </c>
      <c r="D840" t="s">
        <v>76</v>
      </c>
      <c r="E840" t="s">
        <v>29</v>
      </c>
      <c r="F840" t="s">
        <v>22</v>
      </c>
      <c r="G840" t="s">
        <v>51</v>
      </c>
      <c r="H840">
        <v>9</v>
      </c>
      <c r="I840">
        <v>41137</v>
      </c>
      <c r="J840">
        <v>0</v>
      </c>
      <c r="K840">
        <v>1660</v>
      </c>
    </row>
    <row r="841" spans="1:11" x14ac:dyDescent="0.3">
      <c r="A841" t="s">
        <v>898</v>
      </c>
      <c r="B841" s="1">
        <v>45496</v>
      </c>
      <c r="C841" t="s">
        <v>5</v>
      </c>
      <c r="D841" t="s">
        <v>49</v>
      </c>
      <c r="E841" t="s">
        <v>29</v>
      </c>
      <c r="F841" t="s">
        <v>24</v>
      </c>
      <c r="G841" t="s">
        <v>54</v>
      </c>
      <c r="H841">
        <v>9</v>
      </c>
      <c r="I841">
        <v>24382</v>
      </c>
      <c r="K841">
        <v>14503</v>
      </c>
    </row>
    <row r="842" spans="1:11" x14ac:dyDescent="0.3">
      <c r="A842" t="s">
        <v>899</v>
      </c>
      <c r="B842" s="1">
        <v>45426</v>
      </c>
      <c r="C842" t="s">
        <v>6</v>
      </c>
      <c r="D842" t="s">
        <v>56</v>
      </c>
      <c r="E842" t="s">
        <v>29</v>
      </c>
      <c r="F842" t="s">
        <v>23</v>
      </c>
      <c r="G842" t="s">
        <v>54</v>
      </c>
      <c r="H842">
        <v>7</v>
      </c>
      <c r="I842">
        <v>35425</v>
      </c>
      <c r="J842">
        <v>0</v>
      </c>
    </row>
    <row r="843" spans="1:11" x14ac:dyDescent="0.3">
      <c r="A843" t="s">
        <v>900</v>
      </c>
      <c r="B843" s="1">
        <v>45373</v>
      </c>
      <c r="C843" t="s">
        <v>6</v>
      </c>
      <c r="D843" t="s">
        <v>53</v>
      </c>
      <c r="E843" t="s">
        <v>29</v>
      </c>
      <c r="F843" t="s">
        <v>24</v>
      </c>
      <c r="G843" t="s">
        <v>54</v>
      </c>
      <c r="H843">
        <v>4</v>
      </c>
      <c r="I843">
        <v>5929</v>
      </c>
      <c r="J843">
        <v>0.1</v>
      </c>
    </row>
    <row r="844" spans="1:11" x14ac:dyDescent="0.3">
      <c r="A844" t="s">
        <v>901</v>
      </c>
      <c r="B844" s="1">
        <v>45331</v>
      </c>
      <c r="C844" t="s">
        <v>6</v>
      </c>
      <c r="D844" t="s">
        <v>76</v>
      </c>
      <c r="E844" t="s">
        <v>27</v>
      </c>
      <c r="F844" t="s">
        <v>24</v>
      </c>
      <c r="G844" t="s">
        <v>54</v>
      </c>
      <c r="H844">
        <v>1</v>
      </c>
      <c r="I844">
        <v>20963</v>
      </c>
      <c r="J844">
        <v>0.05</v>
      </c>
    </row>
    <row r="845" spans="1:11" x14ac:dyDescent="0.3">
      <c r="A845" t="s">
        <v>902</v>
      </c>
      <c r="B845" s="1">
        <v>45430</v>
      </c>
      <c r="C845" t="s">
        <v>6</v>
      </c>
      <c r="D845" t="s">
        <v>76</v>
      </c>
      <c r="E845" t="s">
        <v>29</v>
      </c>
      <c r="F845" t="s">
        <v>61</v>
      </c>
      <c r="G845" t="s">
        <v>54</v>
      </c>
      <c r="H845">
        <v>3</v>
      </c>
      <c r="I845">
        <v>5275</v>
      </c>
      <c r="J845">
        <v>0.05</v>
      </c>
      <c r="K845">
        <v>20097</v>
      </c>
    </row>
    <row r="846" spans="1:11" x14ac:dyDescent="0.3">
      <c r="A846" t="s">
        <v>903</v>
      </c>
      <c r="B846" s="1">
        <v>45329</v>
      </c>
      <c r="C846" t="s">
        <v>6</v>
      </c>
      <c r="D846" t="s">
        <v>64</v>
      </c>
      <c r="E846" t="s">
        <v>25</v>
      </c>
      <c r="F846" t="s">
        <v>58</v>
      </c>
      <c r="G846" t="s">
        <v>54</v>
      </c>
      <c r="H846">
        <v>8</v>
      </c>
      <c r="I846">
        <v>3760</v>
      </c>
      <c r="K846">
        <v>14902</v>
      </c>
    </row>
    <row r="847" spans="1:11" x14ac:dyDescent="0.3">
      <c r="A847" t="s">
        <v>904</v>
      </c>
      <c r="B847" s="1">
        <v>45643</v>
      </c>
      <c r="C847" t="s">
        <v>6</v>
      </c>
      <c r="D847" t="s">
        <v>69</v>
      </c>
      <c r="E847" t="s">
        <v>29</v>
      </c>
      <c r="F847" t="s">
        <v>22</v>
      </c>
      <c r="G847" t="s">
        <v>51</v>
      </c>
      <c r="H847">
        <v>8</v>
      </c>
      <c r="I847">
        <v>40729</v>
      </c>
    </row>
    <row r="848" spans="1:11" x14ac:dyDescent="0.3">
      <c r="A848" t="s">
        <v>905</v>
      </c>
      <c r="B848" s="1">
        <v>45443</v>
      </c>
      <c r="C848" t="s">
        <v>6</v>
      </c>
      <c r="D848" t="s">
        <v>49</v>
      </c>
      <c r="E848" t="s">
        <v>26</v>
      </c>
      <c r="F848" t="s">
        <v>24</v>
      </c>
      <c r="G848" t="s">
        <v>54</v>
      </c>
      <c r="H848">
        <v>2</v>
      </c>
      <c r="I848">
        <v>49060</v>
      </c>
      <c r="J848">
        <v>0.05</v>
      </c>
      <c r="K848">
        <v>25323</v>
      </c>
    </row>
    <row r="849" spans="1:11" x14ac:dyDescent="0.3">
      <c r="A849" t="s">
        <v>906</v>
      </c>
      <c r="B849" s="1">
        <v>45404</v>
      </c>
      <c r="C849" t="s">
        <v>6</v>
      </c>
      <c r="D849" t="s">
        <v>64</v>
      </c>
      <c r="E849" t="s">
        <v>28</v>
      </c>
      <c r="F849" t="s">
        <v>24</v>
      </c>
      <c r="G849" t="s">
        <v>54</v>
      </c>
      <c r="H849">
        <v>1</v>
      </c>
      <c r="I849">
        <v>45642</v>
      </c>
      <c r="K849">
        <v>24318</v>
      </c>
    </row>
    <row r="850" spans="1:11" x14ac:dyDescent="0.3">
      <c r="A850" t="s">
        <v>907</v>
      </c>
      <c r="B850" s="1">
        <v>45479</v>
      </c>
      <c r="C850" t="s">
        <v>4</v>
      </c>
      <c r="D850" t="s">
        <v>53</v>
      </c>
      <c r="E850" t="s">
        <v>26</v>
      </c>
      <c r="F850" t="s">
        <v>58</v>
      </c>
      <c r="G850" t="s">
        <v>54</v>
      </c>
      <c r="H850">
        <v>9</v>
      </c>
      <c r="I850">
        <v>19923</v>
      </c>
      <c r="J850">
        <v>0.1</v>
      </c>
    </row>
    <row r="851" spans="1:11" x14ac:dyDescent="0.3">
      <c r="A851" t="s">
        <v>908</v>
      </c>
      <c r="B851" s="1">
        <v>45374</v>
      </c>
      <c r="C851" t="s">
        <v>5</v>
      </c>
      <c r="D851" t="s">
        <v>56</v>
      </c>
      <c r="E851" t="s">
        <v>29</v>
      </c>
      <c r="F851" t="s">
        <v>22</v>
      </c>
      <c r="G851" t="s">
        <v>51</v>
      </c>
      <c r="H851">
        <v>6</v>
      </c>
      <c r="I851">
        <v>45403</v>
      </c>
      <c r="J851">
        <v>0.05</v>
      </c>
    </row>
    <row r="852" spans="1:11" x14ac:dyDescent="0.3">
      <c r="A852" t="s">
        <v>909</v>
      </c>
      <c r="B852" s="1">
        <v>45573</v>
      </c>
      <c r="C852" t="s">
        <v>5</v>
      </c>
      <c r="D852" t="s">
        <v>49</v>
      </c>
      <c r="E852" t="s">
        <v>29</v>
      </c>
      <c r="F852" t="s">
        <v>50</v>
      </c>
      <c r="G852" t="s">
        <v>51</v>
      </c>
      <c r="H852">
        <v>9</v>
      </c>
      <c r="I852">
        <v>22791</v>
      </c>
    </row>
    <row r="853" spans="1:11" x14ac:dyDescent="0.3">
      <c r="A853" t="s">
        <v>910</v>
      </c>
      <c r="B853" s="1">
        <v>45496</v>
      </c>
      <c r="C853" t="s">
        <v>4</v>
      </c>
      <c r="D853" t="s">
        <v>56</v>
      </c>
      <c r="E853" t="s">
        <v>25</v>
      </c>
      <c r="F853" t="s">
        <v>23</v>
      </c>
      <c r="G853" t="s">
        <v>54</v>
      </c>
      <c r="H853">
        <v>7</v>
      </c>
      <c r="I853">
        <v>38291</v>
      </c>
      <c r="J853">
        <v>0</v>
      </c>
    </row>
    <row r="854" spans="1:11" x14ac:dyDescent="0.3">
      <c r="A854" t="s">
        <v>911</v>
      </c>
      <c r="B854" s="1">
        <v>45302</v>
      </c>
      <c r="C854" t="s">
        <v>3</v>
      </c>
      <c r="D854" t="s">
        <v>64</v>
      </c>
      <c r="E854" t="s">
        <v>27</v>
      </c>
      <c r="F854" t="s">
        <v>58</v>
      </c>
      <c r="G854" t="s">
        <v>54</v>
      </c>
      <c r="H854">
        <v>8</v>
      </c>
      <c r="I854">
        <v>8463</v>
      </c>
      <c r="J854">
        <v>0.1</v>
      </c>
    </row>
    <row r="855" spans="1:11" x14ac:dyDescent="0.3">
      <c r="A855" t="s">
        <v>912</v>
      </c>
      <c r="B855" s="1">
        <v>45304</v>
      </c>
      <c r="C855" t="s">
        <v>3</v>
      </c>
      <c r="D855" t="s">
        <v>69</v>
      </c>
      <c r="E855" t="s">
        <v>27</v>
      </c>
      <c r="F855" t="s">
        <v>22</v>
      </c>
      <c r="G855" t="s">
        <v>51</v>
      </c>
      <c r="H855">
        <v>4</v>
      </c>
      <c r="I855">
        <v>35383</v>
      </c>
    </row>
    <row r="856" spans="1:11" x14ac:dyDescent="0.3">
      <c r="A856" t="s">
        <v>913</v>
      </c>
      <c r="B856" s="1">
        <v>45592</v>
      </c>
      <c r="C856" t="s">
        <v>6</v>
      </c>
      <c r="D856" t="s">
        <v>64</v>
      </c>
      <c r="E856" t="s">
        <v>26</v>
      </c>
      <c r="F856" t="s">
        <v>24</v>
      </c>
      <c r="G856" t="s">
        <v>54</v>
      </c>
      <c r="H856">
        <v>4</v>
      </c>
      <c r="I856">
        <v>29461</v>
      </c>
      <c r="J856">
        <v>0.05</v>
      </c>
      <c r="K856">
        <v>2115</v>
      </c>
    </row>
    <row r="857" spans="1:11" x14ac:dyDescent="0.3">
      <c r="A857" t="s">
        <v>914</v>
      </c>
      <c r="B857" s="1">
        <v>45580</v>
      </c>
      <c r="C857" t="s">
        <v>6</v>
      </c>
      <c r="D857" t="s">
        <v>56</v>
      </c>
      <c r="E857" t="s">
        <v>25</v>
      </c>
      <c r="F857" t="s">
        <v>61</v>
      </c>
      <c r="G857" t="s">
        <v>54</v>
      </c>
      <c r="H857">
        <v>4</v>
      </c>
      <c r="I857">
        <v>24556</v>
      </c>
      <c r="J857">
        <v>0</v>
      </c>
    </row>
    <row r="858" spans="1:11" x14ac:dyDescent="0.3">
      <c r="A858" t="s">
        <v>915</v>
      </c>
      <c r="B858" s="1">
        <v>45333</v>
      </c>
      <c r="C858" t="s">
        <v>4</v>
      </c>
      <c r="D858" t="s">
        <v>64</v>
      </c>
      <c r="E858" t="s">
        <v>28</v>
      </c>
      <c r="F858" t="s">
        <v>24</v>
      </c>
      <c r="G858" t="s">
        <v>54</v>
      </c>
      <c r="H858">
        <v>1</v>
      </c>
      <c r="I858">
        <v>36209</v>
      </c>
      <c r="J858">
        <v>0.1</v>
      </c>
      <c r="K858">
        <v>6515</v>
      </c>
    </row>
    <row r="859" spans="1:11" x14ac:dyDescent="0.3">
      <c r="A859" t="s">
        <v>916</v>
      </c>
      <c r="B859" s="1">
        <v>45410</v>
      </c>
      <c r="C859" t="s">
        <v>4</v>
      </c>
      <c r="D859" t="s">
        <v>69</v>
      </c>
      <c r="E859" t="s">
        <v>27</v>
      </c>
      <c r="F859" t="s">
        <v>23</v>
      </c>
      <c r="G859" t="s">
        <v>54</v>
      </c>
      <c r="H859">
        <v>8</v>
      </c>
      <c r="I859">
        <v>22778</v>
      </c>
    </row>
    <row r="860" spans="1:11" x14ac:dyDescent="0.3">
      <c r="A860" t="s">
        <v>917</v>
      </c>
      <c r="B860" s="1">
        <v>45522</v>
      </c>
      <c r="C860" t="s">
        <v>3</v>
      </c>
      <c r="D860" t="s">
        <v>76</v>
      </c>
      <c r="E860" t="s">
        <v>25</v>
      </c>
      <c r="F860" t="s">
        <v>58</v>
      </c>
      <c r="G860" t="s">
        <v>54</v>
      </c>
      <c r="H860">
        <v>9</v>
      </c>
      <c r="I860">
        <v>36453</v>
      </c>
      <c r="K860">
        <v>20429</v>
      </c>
    </row>
    <row r="861" spans="1:11" x14ac:dyDescent="0.3">
      <c r="A861" t="s">
        <v>918</v>
      </c>
      <c r="B861" s="1">
        <v>45512</v>
      </c>
      <c r="C861" t="s">
        <v>4</v>
      </c>
      <c r="D861" t="s">
        <v>69</v>
      </c>
      <c r="E861" t="s">
        <v>29</v>
      </c>
      <c r="F861" t="s">
        <v>58</v>
      </c>
      <c r="G861" t="s">
        <v>54</v>
      </c>
      <c r="H861">
        <v>3</v>
      </c>
      <c r="I861">
        <v>47696</v>
      </c>
      <c r="J861">
        <v>0</v>
      </c>
      <c r="K861">
        <v>4488</v>
      </c>
    </row>
    <row r="862" spans="1:11" x14ac:dyDescent="0.3">
      <c r="A862" t="s">
        <v>919</v>
      </c>
      <c r="B862" s="1">
        <v>45652</v>
      </c>
      <c r="C862" t="s">
        <v>5</v>
      </c>
      <c r="D862" t="s">
        <v>53</v>
      </c>
      <c r="E862" t="s">
        <v>25</v>
      </c>
      <c r="F862" t="s">
        <v>23</v>
      </c>
      <c r="G862" t="s">
        <v>54</v>
      </c>
      <c r="H862">
        <v>5</v>
      </c>
      <c r="I862">
        <v>27092</v>
      </c>
      <c r="J862">
        <v>0.05</v>
      </c>
      <c r="K862">
        <v>7951</v>
      </c>
    </row>
    <row r="863" spans="1:11" x14ac:dyDescent="0.3">
      <c r="A863" t="s">
        <v>920</v>
      </c>
      <c r="B863" s="1">
        <v>45328</v>
      </c>
      <c r="C863" t="s">
        <v>5</v>
      </c>
      <c r="D863" t="s">
        <v>56</v>
      </c>
      <c r="E863" t="s">
        <v>28</v>
      </c>
      <c r="F863" t="s">
        <v>24</v>
      </c>
      <c r="G863" t="s">
        <v>54</v>
      </c>
      <c r="H863">
        <v>7</v>
      </c>
      <c r="I863">
        <v>8504</v>
      </c>
      <c r="J863">
        <v>0.1</v>
      </c>
    </row>
    <row r="864" spans="1:11" x14ac:dyDescent="0.3">
      <c r="A864" t="s">
        <v>921</v>
      </c>
      <c r="B864" s="1">
        <v>45537</v>
      </c>
      <c r="C864" t="s">
        <v>3</v>
      </c>
      <c r="D864" t="s">
        <v>64</v>
      </c>
      <c r="E864" t="s">
        <v>26</v>
      </c>
      <c r="F864" t="s">
        <v>58</v>
      </c>
      <c r="G864" t="s">
        <v>54</v>
      </c>
      <c r="H864">
        <v>1</v>
      </c>
      <c r="I864">
        <v>18353</v>
      </c>
      <c r="J864">
        <v>0</v>
      </c>
      <c r="K864">
        <v>22062</v>
      </c>
    </row>
    <row r="865" spans="1:11" x14ac:dyDescent="0.3">
      <c r="A865" t="s">
        <v>922</v>
      </c>
      <c r="B865" s="1">
        <v>45619</v>
      </c>
      <c r="C865" t="s">
        <v>6</v>
      </c>
      <c r="D865" t="s">
        <v>76</v>
      </c>
      <c r="E865" t="s">
        <v>26</v>
      </c>
      <c r="F865" t="s">
        <v>22</v>
      </c>
      <c r="G865" t="s">
        <v>51</v>
      </c>
      <c r="H865">
        <v>1</v>
      </c>
      <c r="I865">
        <v>49649</v>
      </c>
      <c r="J865">
        <v>0</v>
      </c>
    </row>
    <row r="866" spans="1:11" x14ac:dyDescent="0.3">
      <c r="A866" t="s">
        <v>923</v>
      </c>
      <c r="B866" s="1">
        <v>45538</v>
      </c>
      <c r="C866" t="s">
        <v>6</v>
      </c>
      <c r="D866" t="s">
        <v>69</v>
      </c>
      <c r="E866" t="s">
        <v>28</v>
      </c>
      <c r="F866" t="s">
        <v>23</v>
      </c>
      <c r="G866" t="s">
        <v>54</v>
      </c>
      <c r="H866">
        <v>7</v>
      </c>
      <c r="I866">
        <v>3467</v>
      </c>
      <c r="J866">
        <v>0.1</v>
      </c>
      <c r="K866">
        <v>6647</v>
      </c>
    </row>
    <row r="867" spans="1:11" x14ac:dyDescent="0.3">
      <c r="A867" t="s">
        <v>924</v>
      </c>
      <c r="B867" s="1">
        <v>45426</v>
      </c>
      <c r="C867" t="s">
        <v>3</v>
      </c>
      <c r="D867" t="s">
        <v>49</v>
      </c>
      <c r="E867" t="s">
        <v>29</v>
      </c>
      <c r="F867" t="s">
        <v>23</v>
      </c>
      <c r="G867" t="s">
        <v>54</v>
      </c>
      <c r="H867">
        <v>8</v>
      </c>
      <c r="I867">
        <v>18788</v>
      </c>
      <c r="J867">
        <v>0.05</v>
      </c>
      <c r="K867">
        <v>25768</v>
      </c>
    </row>
    <row r="868" spans="1:11" x14ac:dyDescent="0.3">
      <c r="A868" t="s">
        <v>925</v>
      </c>
      <c r="B868" s="1">
        <v>45359</v>
      </c>
      <c r="C868" t="s">
        <v>5</v>
      </c>
      <c r="D868" t="s">
        <v>53</v>
      </c>
      <c r="E868" t="s">
        <v>29</v>
      </c>
      <c r="F868" t="s">
        <v>61</v>
      </c>
      <c r="G868" t="s">
        <v>54</v>
      </c>
      <c r="H868">
        <v>5</v>
      </c>
      <c r="I868">
        <v>24427</v>
      </c>
      <c r="J868">
        <v>0.1</v>
      </c>
      <c r="K868">
        <v>17526</v>
      </c>
    </row>
    <row r="869" spans="1:11" x14ac:dyDescent="0.3">
      <c r="A869" t="s">
        <v>926</v>
      </c>
      <c r="B869" s="1">
        <v>45299</v>
      </c>
      <c r="C869" t="s">
        <v>6</v>
      </c>
      <c r="D869" t="s">
        <v>49</v>
      </c>
      <c r="E869" t="s">
        <v>27</v>
      </c>
      <c r="F869" t="s">
        <v>61</v>
      </c>
      <c r="G869" t="s">
        <v>54</v>
      </c>
      <c r="H869">
        <v>2</v>
      </c>
      <c r="I869">
        <v>32286</v>
      </c>
      <c r="J869">
        <v>0.05</v>
      </c>
      <c r="K869">
        <v>15542</v>
      </c>
    </row>
    <row r="870" spans="1:11" x14ac:dyDescent="0.3">
      <c r="A870" t="s">
        <v>927</v>
      </c>
      <c r="B870" s="1">
        <v>45403</v>
      </c>
      <c r="C870" t="s">
        <v>4</v>
      </c>
      <c r="D870" t="s">
        <v>53</v>
      </c>
      <c r="E870" t="s">
        <v>26</v>
      </c>
      <c r="F870" t="s">
        <v>24</v>
      </c>
      <c r="G870" t="s">
        <v>54</v>
      </c>
      <c r="H870">
        <v>6</v>
      </c>
      <c r="I870">
        <v>14804</v>
      </c>
      <c r="J870">
        <v>0.05</v>
      </c>
      <c r="K870">
        <v>28186</v>
      </c>
    </row>
    <row r="871" spans="1:11" x14ac:dyDescent="0.3">
      <c r="A871" t="s">
        <v>928</v>
      </c>
      <c r="B871" s="1">
        <v>45530</v>
      </c>
      <c r="C871" t="s">
        <v>3</v>
      </c>
      <c r="D871" t="s">
        <v>64</v>
      </c>
      <c r="E871" t="s">
        <v>25</v>
      </c>
      <c r="F871" t="s">
        <v>24</v>
      </c>
      <c r="G871" t="s">
        <v>54</v>
      </c>
      <c r="H871">
        <v>7</v>
      </c>
      <c r="I871">
        <v>2023</v>
      </c>
      <c r="J871">
        <v>0.1</v>
      </c>
    </row>
    <row r="872" spans="1:11" x14ac:dyDescent="0.3">
      <c r="A872" t="s">
        <v>929</v>
      </c>
      <c r="B872" s="1">
        <v>45552</v>
      </c>
      <c r="C872" t="s">
        <v>3</v>
      </c>
      <c r="D872" t="s">
        <v>56</v>
      </c>
      <c r="E872" t="s">
        <v>27</v>
      </c>
      <c r="F872" t="s">
        <v>24</v>
      </c>
      <c r="G872" t="s">
        <v>54</v>
      </c>
      <c r="H872">
        <v>7</v>
      </c>
      <c r="I872">
        <v>36613</v>
      </c>
    </row>
    <row r="873" spans="1:11" x14ac:dyDescent="0.3">
      <c r="A873" t="s">
        <v>930</v>
      </c>
      <c r="B873" s="1">
        <v>45617</v>
      </c>
      <c r="C873" t="s">
        <v>4</v>
      </c>
      <c r="D873" t="s">
        <v>49</v>
      </c>
      <c r="E873" t="s">
        <v>28</v>
      </c>
      <c r="F873" t="s">
        <v>23</v>
      </c>
      <c r="G873" t="s">
        <v>54</v>
      </c>
      <c r="H873">
        <v>2</v>
      </c>
      <c r="I873">
        <v>14279</v>
      </c>
    </row>
    <row r="874" spans="1:11" x14ac:dyDescent="0.3">
      <c r="A874" t="s">
        <v>931</v>
      </c>
      <c r="B874" s="1">
        <v>45510</v>
      </c>
      <c r="C874" t="s">
        <v>6</v>
      </c>
      <c r="D874" t="s">
        <v>64</v>
      </c>
      <c r="E874" t="s">
        <v>28</v>
      </c>
      <c r="F874" t="s">
        <v>23</v>
      </c>
      <c r="G874" t="s">
        <v>54</v>
      </c>
      <c r="H874">
        <v>1</v>
      </c>
      <c r="I874">
        <v>32783</v>
      </c>
      <c r="J874">
        <v>0</v>
      </c>
    </row>
    <row r="875" spans="1:11" x14ac:dyDescent="0.3">
      <c r="A875" t="s">
        <v>932</v>
      </c>
      <c r="B875" s="1">
        <v>45493</v>
      </c>
      <c r="C875" t="s">
        <v>5</v>
      </c>
      <c r="D875" t="s">
        <v>69</v>
      </c>
      <c r="E875" t="s">
        <v>29</v>
      </c>
      <c r="F875" t="s">
        <v>22</v>
      </c>
      <c r="G875" t="s">
        <v>51</v>
      </c>
      <c r="H875">
        <v>6</v>
      </c>
      <c r="I875">
        <v>33498</v>
      </c>
      <c r="J875">
        <v>0.05</v>
      </c>
    </row>
    <row r="876" spans="1:11" x14ac:dyDescent="0.3">
      <c r="A876" t="s">
        <v>933</v>
      </c>
      <c r="B876" s="1">
        <v>45651</v>
      </c>
      <c r="C876" t="s">
        <v>5</v>
      </c>
      <c r="D876" t="s">
        <v>69</v>
      </c>
      <c r="E876" t="s">
        <v>26</v>
      </c>
      <c r="F876" t="s">
        <v>22</v>
      </c>
      <c r="G876" t="s">
        <v>51</v>
      </c>
      <c r="H876">
        <v>10</v>
      </c>
      <c r="I876">
        <v>6849</v>
      </c>
      <c r="J876">
        <v>0.05</v>
      </c>
    </row>
    <row r="877" spans="1:11" x14ac:dyDescent="0.3">
      <c r="A877" t="s">
        <v>934</v>
      </c>
      <c r="B877" s="1">
        <v>45298</v>
      </c>
      <c r="C877" t="s">
        <v>3</v>
      </c>
      <c r="D877" t="s">
        <v>64</v>
      </c>
      <c r="E877" t="s">
        <v>26</v>
      </c>
      <c r="F877" t="s">
        <v>50</v>
      </c>
      <c r="G877" t="s">
        <v>51</v>
      </c>
      <c r="H877">
        <v>10</v>
      </c>
      <c r="I877">
        <v>11200</v>
      </c>
      <c r="J877">
        <v>0</v>
      </c>
      <c r="K877">
        <v>27256</v>
      </c>
    </row>
    <row r="878" spans="1:11" x14ac:dyDescent="0.3">
      <c r="A878" t="s">
        <v>935</v>
      </c>
      <c r="B878" s="1">
        <v>45441</v>
      </c>
      <c r="C878" t="s">
        <v>5</v>
      </c>
      <c r="D878" t="s">
        <v>69</v>
      </c>
      <c r="E878" t="s">
        <v>27</v>
      </c>
      <c r="F878" t="s">
        <v>50</v>
      </c>
      <c r="G878" t="s">
        <v>51</v>
      </c>
      <c r="H878">
        <v>7</v>
      </c>
      <c r="I878">
        <v>2106</v>
      </c>
      <c r="J878">
        <v>0</v>
      </c>
      <c r="K878">
        <v>6236</v>
      </c>
    </row>
    <row r="879" spans="1:11" x14ac:dyDescent="0.3">
      <c r="A879" t="s">
        <v>936</v>
      </c>
      <c r="B879" s="1">
        <v>45321</v>
      </c>
      <c r="C879" t="s">
        <v>4</v>
      </c>
      <c r="D879" t="s">
        <v>69</v>
      </c>
      <c r="E879" t="s">
        <v>29</v>
      </c>
      <c r="F879" t="s">
        <v>23</v>
      </c>
      <c r="G879" t="s">
        <v>54</v>
      </c>
      <c r="H879">
        <v>6</v>
      </c>
      <c r="I879">
        <v>10939</v>
      </c>
      <c r="J879">
        <v>0.1</v>
      </c>
    </row>
    <row r="880" spans="1:11" x14ac:dyDescent="0.3">
      <c r="A880" t="s">
        <v>937</v>
      </c>
      <c r="B880" s="1">
        <v>45379</v>
      </c>
      <c r="C880" t="s">
        <v>5</v>
      </c>
      <c r="D880" t="s">
        <v>56</v>
      </c>
      <c r="E880" t="s">
        <v>29</v>
      </c>
      <c r="F880" t="s">
        <v>22</v>
      </c>
      <c r="G880" t="s">
        <v>51</v>
      </c>
      <c r="H880">
        <v>7</v>
      </c>
      <c r="I880">
        <v>36295</v>
      </c>
      <c r="J880">
        <v>0</v>
      </c>
      <c r="K880">
        <v>7739</v>
      </c>
    </row>
    <row r="881" spans="1:11" x14ac:dyDescent="0.3">
      <c r="A881" t="s">
        <v>938</v>
      </c>
      <c r="B881" s="1">
        <v>45561</v>
      </c>
      <c r="C881" t="s">
        <v>4</v>
      </c>
      <c r="D881" t="s">
        <v>76</v>
      </c>
      <c r="E881" t="s">
        <v>26</v>
      </c>
      <c r="F881" t="s">
        <v>22</v>
      </c>
      <c r="G881" t="s">
        <v>51</v>
      </c>
      <c r="H881">
        <v>3</v>
      </c>
      <c r="I881">
        <v>41894</v>
      </c>
      <c r="J881">
        <v>0</v>
      </c>
    </row>
    <row r="882" spans="1:11" x14ac:dyDescent="0.3">
      <c r="A882" t="s">
        <v>939</v>
      </c>
      <c r="B882" s="1">
        <v>45341</v>
      </c>
      <c r="C882" t="s">
        <v>4</v>
      </c>
      <c r="D882" t="s">
        <v>64</v>
      </c>
      <c r="E882" t="s">
        <v>26</v>
      </c>
      <c r="F882" t="s">
        <v>22</v>
      </c>
      <c r="G882" t="s">
        <v>51</v>
      </c>
      <c r="H882">
        <v>10</v>
      </c>
      <c r="I882">
        <v>8549</v>
      </c>
      <c r="K882">
        <v>23962</v>
      </c>
    </row>
    <row r="883" spans="1:11" x14ac:dyDescent="0.3">
      <c r="A883" t="s">
        <v>940</v>
      </c>
      <c r="B883" s="1">
        <v>45433</v>
      </c>
      <c r="C883" t="s">
        <v>3</v>
      </c>
      <c r="D883" t="s">
        <v>49</v>
      </c>
      <c r="E883" t="s">
        <v>27</v>
      </c>
      <c r="F883" t="s">
        <v>61</v>
      </c>
      <c r="G883" t="s">
        <v>54</v>
      </c>
      <c r="H883">
        <v>4</v>
      </c>
      <c r="I883">
        <v>41642</v>
      </c>
      <c r="J883">
        <v>0</v>
      </c>
    </row>
    <row r="884" spans="1:11" x14ac:dyDescent="0.3">
      <c r="A884" t="s">
        <v>941</v>
      </c>
      <c r="B884" s="1">
        <v>45377</v>
      </c>
      <c r="C884" t="s">
        <v>6</v>
      </c>
      <c r="D884" t="s">
        <v>76</v>
      </c>
      <c r="E884" t="s">
        <v>27</v>
      </c>
      <c r="F884" t="s">
        <v>23</v>
      </c>
      <c r="G884" t="s">
        <v>54</v>
      </c>
      <c r="H884">
        <v>2</v>
      </c>
      <c r="I884">
        <v>28115</v>
      </c>
      <c r="J884">
        <v>0.1</v>
      </c>
    </row>
    <row r="885" spans="1:11" x14ac:dyDescent="0.3">
      <c r="A885" t="s">
        <v>942</v>
      </c>
      <c r="B885" s="1">
        <v>45363</v>
      </c>
      <c r="C885" t="s">
        <v>4</v>
      </c>
      <c r="D885" t="s">
        <v>49</v>
      </c>
      <c r="E885" t="s">
        <v>27</v>
      </c>
      <c r="F885" t="s">
        <v>23</v>
      </c>
      <c r="G885" t="s">
        <v>54</v>
      </c>
      <c r="H885">
        <v>5</v>
      </c>
      <c r="I885">
        <v>23872</v>
      </c>
      <c r="J885">
        <v>0.05</v>
      </c>
    </row>
    <row r="886" spans="1:11" x14ac:dyDescent="0.3">
      <c r="A886" t="s">
        <v>943</v>
      </c>
      <c r="B886" s="1">
        <v>45455</v>
      </c>
      <c r="C886" t="s">
        <v>5</v>
      </c>
      <c r="D886" t="s">
        <v>69</v>
      </c>
      <c r="E886" t="s">
        <v>26</v>
      </c>
      <c r="F886" t="s">
        <v>61</v>
      </c>
      <c r="G886" t="s">
        <v>54</v>
      </c>
      <c r="H886">
        <v>4</v>
      </c>
      <c r="I886">
        <v>14632</v>
      </c>
    </row>
    <row r="887" spans="1:11" x14ac:dyDescent="0.3">
      <c r="A887" t="s">
        <v>944</v>
      </c>
      <c r="B887" s="1">
        <v>45292</v>
      </c>
      <c r="C887" t="s">
        <v>5</v>
      </c>
      <c r="D887" t="s">
        <v>49</v>
      </c>
      <c r="E887" t="s">
        <v>26</v>
      </c>
      <c r="F887" t="s">
        <v>61</v>
      </c>
      <c r="G887" t="s">
        <v>54</v>
      </c>
      <c r="H887">
        <v>8</v>
      </c>
      <c r="I887">
        <v>39882</v>
      </c>
      <c r="K887">
        <v>15420</v>
      </c>
    </row>
    <row r="888" spans="1:11" x14ac:dyDescent="0.3">
      <c r="A888" t="s">
        <v>945</v>
      </c>
      <c r="B888" s="1">
        <v>45337</v>
      </c>
      <c r="C888" t="s">
        <v>4</v>
      </c>
      <c r="D888" t="s">
        <v>64</v>
      </c>
      <c r="E888" t="s">
        <v>27</v>
      </c>
      <c r="F888" t="s">
        <v>23</v>
      </c>
      <c r="G888" t="s">
        <v>54</v>
      </c>
      <c r="H888">
        <v>7</v>
      </c>
      <c r="I888">
        <v>12584</v>
      </c>
      <c r="J888">
        <v>0.05</v>
      </c>
    </row>
    <row r="889" spans="1:11" x14ac:dyDescent="0.3">
      <c r="A889" t="s">
        <v>946</v>
      </c>
      <c r="B889" s="1">
        <v>45396</v>
      </c>
      <c r="C889" t="s">
        <v>3</v>
      </c>
      <c r="D889" t="s">
        <v>76</v>
      </c>
      <c r="E889" t="s">
        <v>26</v>
      </c>
      <c r="F889" t="s">
        <v>23</v>
      </c>
      <c r="G889" t="s">
        <v>54</v>
      </c>
      <c r="H889">
        <v>2</v>
      </c>
      <c r="I889">
        <v>41741</v>
      </c>
    </row>
    <row r="890" spans="1:11" x14ac:dyDescent="0.3">
      <c r="A890" t="s">
        <v>947</v>
      </c>
      <c r="B890" s="1">
        <v>45565</v>
      </c>
      <c r="C890" t="s">
        <v>6</v>
      </c>
      <c r="D890" t="s">
        <v>76</v>
      </c>
      <c r="E890" t="s">
        <v>26</v>
      </c>
      <c r="F890" t="s">
        <v>24</v>
      </c>
      <c r="G890" t="s">
        <v>54</v>
      </c>
      <c r="H890">
        <v>8</v>
      </c>
      <c r="I890">
        <v>24528</v>
      </c>
      <c r="J890">
        <v>0.05</v>
      </c>
    </row>
    <row r="891" spans="1:11" x14ac:dyDescent="0.3">
      <c r="A891" t="s">
        <v>948</v>
      </c>
      <c r="B891" s="1">
        <v>45652</v>
      </c>
      <c r="C891" t="s">
        <v>3</v>
      </c>
      <c r="D891" t="s">
        <v>56</v>
      </c>
      <c r="E891" t="s">
        <v>27</v>
      </c>
      <c r="F891" t="s">
        <v>22</v>
      </c>
      <c r="G891" t="s">
        <v>51</v>
      </c>
      <c r="H891">
        <v>2</v>
      </c>
      <c r="I891">
        <v>48438</v>
      </c>
      <c r="K891">
        <v>481</v>
      </c>
    </row>
    <row r="892" spans="1:11" x14ac:dyDescent="0.3">
      <c r="A892" t="s">
        <v>949</v>
      </c>
      <c r="B892" s="1">
        <v>45481</v>
      </c>
      <c r="C892" t="s">
        <v>4</v>
      </c>
      <c r="D892" t="s">
        <v>53</v>
      </c>
      <c r="E892" t="s">
        <v>25</v>
      </c>
      <c r="F892" t="s">
        <v>50</v>
      </c>
      <c r="G892" t="s">
        <v>51</v>
      </c>
      <c r="H892">
        <v>6</v>
      </c>
      <c r="I892">
        <v>6857</v>
      </c>
      <c r="J892">
        <v>0.1</v>
      </c>
      <c r="K892">
        <v>27794</v>
      </c>
    </row>
    <row r="893" spans="1:11" x14ac:dyDescent="0.3">
      <c r="A893" t="s">
        <v>950</v>
      </c>
      <c r="B893" s="1">
        <v>45526</v>
      </c>
      <c r="C893" t="s">
        <v>4</v>
      </c>
      <c r="D893" t="s">
        <v>49</v>
      </c>
      <c r="E893" t="s">
        <v>28</v>
      </c>
      <c r="F893" t="s">
        <v>23</v>
      </c>
      <c r="G893" t="s">
        <v>54</v>
      </c>
      <c r="H893">
        <v>4</v>
      </c>
      <c r="I893">
        <v>46243</v>
      </c>
      <c r="J893">
        <v>0.1</v>
      </c>
      <c r="K893">
        <v>14704</v>
      </c>
    </row>
    <row r="894" spans="1:11" x14ac:dyDescent="0.3">
      <c r="A894" t="s">
        <v>951</v>
      </c>
      <c r="B894" s="1">
        <v>45652</v>
      </c>
      <c r="C894" t="s">
        <v>4</v>
      </c>
      <c r="D894" t="s">
        <v>76</v>
      </c>
      <c r="E894" t="s">
        <v>28</v>
      </c>
      <c r="F894" t="s">
        <v>22</v>
      </c>
      <c r="G894" t="s">
        <v>51</v>
      </c>
      <c r="H894">
        <v>8</v>
      </c>
      <c r="I894">
        <v>7975</v>
      </c>
    </row>
    <row r="895" spans="1:11" x14ac:dyDescent="0.3">
      <c r="A895" t="s">
        <v>952</v>
      </c>
      <c r="B895" s="1">
        <v>45621</v>
      </c>
      <c r="C895" t="s">
        <v>6</v>
      </c>
      <c r="D895" t="s">
        <v>49</v>
      </c>
      <c r="E895" t="s">
        <v>28</v>
      </c>
      <c r="F895" t="s">
        <v>22</v>
      </c>
      <c r="G895" t="s">
        <v>51</v>
      </c>
      <c r="H895">
        <v>4</v>
      </c>
      <c r="I895">
        <v>31151</v>
      </c>
      <c r="J895">
        <v>0</v>
      </c>
    </row>
    <row r="896" spans="1:11" x14ac:dyDescent="0.3">
      <c r="A896" t="s">
        <v>953</v>
      </c>
      <c r="B896" s="1">
        <v>45402</v>
      </c>
      <c r="C896" t="s">
        <v>5</v>
      </c>
      <c r="D896" t="s">
        <v>69</v>
      </c>
      <c r="E896" t="s">
        <v>25</v>
      </c>
      <c r="F896" t="s">
        <v>58</v>
      </c>
      <c r="G896" t="s">
        <v>54</v>
      </c>
      <c r="H896">
        <v>10</v>
      </c>
      <c r="I896">
        <v>30538</v>
      </c>
      <c r="J896">
        <v>0.05</v>
      </c>
    </row>
    <row r="897" spans="1:11" x14ac:dyDescent="0.3">
      <c r="A897" t="s">
        <v>954</v>
      </c>
      <c r="B897" s="1">
        <v>45575</v>
      </c>
      <c r="C897" t="s">
        <v>5</v>
      </c>
      <c r="D897" t="s">
        <v>49</v>
      </c>
      <c r="E897" t="s">
        <v>28</v>
      </c>
      <c r="F897" t="s">
        <v>22</v>
      </c>
      <c r="G897" t="s">
        <v>51</v>
      </c>
      <c r="H897">
        <v>7</v>
      </c>
      <c r="I897">
        <v>9759</v>
      </c>
      <c r="J897">
        <v>0.1</v>
      </c>
    </row>
    <row r="898" spans="1:11" x14ac:dyDescent="0.3">
      <c r="A898" t="s">
        <v>955</v>
      </c>
      <c r="B898" s="1">
        <v>45524</v>
      </c>
      <c r="C898" t="s">
        <v>5</v>
      </c>
      <c r="D898" t="s">
        <v>76</v>
      </c>
      <c r="E898" t="s">
        <v>28</v>
      </c>
      <c r="F898" t="s">
        <v>24</v>
      </c>
      <c r="G898" t="s">
        <v>54</v>
      </c>
      <c r="H898">
        <v>8</v>
      </c>
      <c r="I898">
        <v>31715</v>
      </c>
      <c r="J898">
        <v>0.05</v>
      </c>
    </row>
    <row r="899" spans="1:11" x14ac:dyDescent="0.3">
      <c r="A899" t="s">
        <v>956</v>
      </c>
      <c r="B899" s="1">
        <v>45448</v>
      </c>
      <c r="C899" t="s">
        <v>4</v>
      </c>
      <c r="D899" t="s">
        <v>56</v>
      </c>
      <c r="E899" t="s">
        <v>27</v>
      </c>
      <c r="F899" t="s">
        <v>22</v>
      </c>
      <c r="G899" t="s">
        <v>51</v>
      </c>
      <c r="H899">
        <v>1</v>
      </c>
      <c r="I899">
        <v>21603</v>
      </c>
      <c r="J899">
        <v>0</v>
      </c>
      <c r="K899">
        <v>8642</v>
      </c>
    </row>
    <row r="900" spans="1:11" x14ac:dyDescent="0.3">
      <c r="A900" t="s">
        <v>957</v>
      </c>
      <c r="B900" s="1">
        <v>45601</v>
      </c>
      <c r="C900" t="s">
        <v>3</v>
      </c>
      <c r="D900" t="s">
        <v>56</v>
      </c>
      <c r="E900" t="s">
        <v>27</v>
      </c>
      <c r="F900" t="s">
        <v>24</v>
      </c>
      <c r="G900" t="s">
        <v>54</v>
      </c>
      <c r="H900">
        <v>8</v>
      </c>
      <c r="I900">
        <v>21655</v>
      </c>
      <c r="J900">
        <v>0</v>
      </c>
      <c r="K900">
        <v>18271</v>
      </c>
    </row>
    <row r="901" spans="1:11" x14ac:dyDescent="0.3">
      <c r="A901" t="s">
        <v>958</v>
      </c>
      <c r="B901" s="1">
        <v>45295</v>
      </c>
      <c r="C901" t="s">
        <v>4</v>
      </c>
      <c r="D901" t="s">
        <v>76</v>
      </c>
      <c r="E901" t="s">
        <v>27</v>
      </c>
      <c r="F901" t="s">
        <v>58</v>
      </c>
      <c r="G901" t="s">
        <v>54</v>
      </c>
      <c r="H901">
        <v>6</v>
      </c>
      <c r="I901">
        <v>13216</v>
      </c>
      <c r="J901">
        <v>0.1</v>
      </c>
      <c r="K901">
        <v>9830</v>
      </c>
    </row>
    <row r="902" spans="1:11" x14ac:dyDescent="0.3">
      <c r="A902" t="s">
        <v>959</v>
      </c>
      <c r="B902" s="1">
        <v>45406</v>
      </c>
      <c r="C902" t="s">
        <v>4</v>
      </c>
      <c r="D902" t="s">
        <v>49</v>
      </c>
      <c r="E902" t="s">
        <v>27</v>
      </c>
      <c r="F902" t="s">
        <v>50</v>
      </c>
      <c r="G902" t="s">
        <v>51</v>
      </c>
      <c r="H902">
        <v>3</v>
      </c>
      <c r="I902">
        <v>10566</v>
      </c>
      <c r="J902">
        <v>0</v>
      </c>
      <c r="K902">
        <v>18985</v>
      </c>
    </row>
    <row r="903" spans="1:11" x14ac:dyDescent="0.3">
      <c r="A903" t="s">
        <v>960</v>
      </c>
      <c r="B903" s="1">
        <v>45382</v>
      </c>
      <c r="C903" t="s">
        <v>5</v>
      </c>
      <c r="D903" t="s">
        <v>56</v>
      </c>
      <c r="E903" t="s">
        <v>29</v>
      </c>
      <c r="F903" t="s">
        <v>23</v>
      </c>
      <c r="G903" t="s">
        <v>54</v>
      </c>
      <c r="H903">
        <v>3</v>
      </c>
      <c r="I903">
        <v>43611</v>
      </c>
      <c r="K903">
        <v>28485</v>
      </c>
    </row>
    <row r="904" spans="1:11" x14ac:dyDescent="0.3">
      <c r="A904" t="s">
        <v>961</v>
      </c>
      <c r="B904" s="1">
        <v>45444</v>
      </c>
      <c r="C904" t="s">
        <v>5</v>
      </c>
      <c r="D904" t="s">
        <v>64</v>
      </c>
      <c r="E904" t="s">
        <v>25</v>
      </c>
      <c r="F904" t="s">
        <v>22</v>
      </c>
      <c r="G904" t="s">
        <v>51</v>
      </c>
      <c r="H904">
        <v>3</v>
      </c>
      <c r="I904">
        <v>47928</v>
      </c>
      <c r="J904">
        <v>0.1</v>
      </c>
    </row>
    <row r="905" spans="1:11" x14ac:dyDescent="0.3">
      <c r="A905" t="s">
        <v>962</v>
      </c>
      <c r="B905" s="1">
        <v>45583</v>
      </c>
      <c r="C905" t="s">
        <v>3</v>
      </c>
      <c r="D905" t="s">
        <v>64</v>
      </c>
      <c r="E905" t="s">
        <v>27</v>
      </c>
      <c r="F905" t="s">
        <v>61</v>
      </c>
      <c r="G905" t="s">
        <v>54</v>
      </c>
      <c r="H905">
        <v>1</v>
      </c>
      <c r="I905">
        <v>45488</v>
      </c>
      <c r="J905">
        <v>0</v>
      </c>
    </row>
    <row r="906" spans="1:11" x14ac:dyDescent="0.3">
      <c r="A906" t="s">
        <v>963</v>
      </c>
      <c r="B906" s="1">
        <v>45297</v>
      </c>
      <c r="C906" t="s">
        <v>3</v>
      </c>
      <c r="D906" t="s">
        <v>64</v>
      </c>
      <c r="E906" t="s">
        <v>26</v>
      </c>
      <c r="F906" t="s">
        <v>24</v>
      </c>
      <c r="G906" t="s">
        <v>54</v>
      </c>
      <c r="H906">
        <v>10</v>
      </c>
      <c r="I906">
        <v>4406</v>
      </c>
      <c r="K906">
        <v>18751</v>
      </c>
    </row>
    <row r="907" spans="1:11" x14ac:dyDescent="0.3">
      <c r="A907" t="s">
        <v>964</v>
      </c>
      <c r="B907" s="1">
        <v>45634</v>
      </c>
      <c r="C907" t="s">
        <v>3</v>
      </c>
      <c r="D907" t="s">
        <v>56</v>
      </c>
      <c r="E907" t="s">
        <v>26</v>
      </c>
      <c r="F907" t="s">
        <v>61</v>
      </c>
      <c r="G907" t="s">
        <v>54</v>
      </c>
      <c r="H907">
        <v>9</v>
      </c>
      <c r="I907">
        <v>15441</v>
      </c>
    </row>
    <row r="908" spans="1:11" x14ac:dyDescent="0.3">
      <c r="A908" t="s">
        <v>965</v>
      </c>
      <c r="B908" s="1">
        <v>45409</v>
      </c>
      <c r="C908" t="s">
        <v>5</v>
      </c>
      <c r="D908" t="s">
        <v>53</v>
      </c>
      <c r="E908" t="s">
        <v>28</v>
      </c>
      <c r="F908" t="s">
        <v>23</v>
      </c>
      <c r="G908" t="s">
        <v>54</v>
      </c>
      <c r="H908">
        <v>9</v>
      </c>
      <c r="I908">
        <v>3800</v>
      </c>
      <c r="K908">
        <v>15741</v>
      </c>
    </row>
    <row r="909" spans="1:11" x14ac:dyDescent="0.3">
      <c r="A909" t="s">
        <v>966</v>
      </c>
      <c r="B909" s="1">
        <v>45487</v>
      </c>
      <c r="C909" t="s">
        <v>4</v>
      </c>
      <c r="D909" t="s">
        <v>49</v>
      </c>
      <c r="E909" t="s">
        <v>25</v>
      </c>
      <c r="F909" t="s">
        <v>58</v>
      </c>
      <c r="G909" t="s">
        <v>54</v>
      </c>
      <c r="H909">
        <v>10</v>
      </c>
      <c r="I909">
        <v>33638</v>
      </c>
      <c r="J909">
        <v>0</v>
      </c>
      <c r="K909">
        <v>26546</v>
      </c>
    </row>
    <row r="910" spans="1:11" x14ac:dyDescent="0.3">
      <c r="A910" t="s">
        <v>967</v>
      </c>
      <c r="B910" s="1">
        <v>45413</v>
      </c>
      <c r="C910" t="s">
        <v>3</v>
      </c>
      <c r="D910" t="s">
        <v>76</v>
      </c>
      <c r="E910" t="s">
        <v>25</v>
      </c>
      <c r="F910" t="s">
        <v>22</v>
      </c>
      <c r="G910" t="s">
        <v>51</v>
      </c>
      <c r="H910">
        <v>10</v>
      </c>
      <c r="I910">
        <v>36260</v>
      </c>
      <c r="J910">
        <v>0.05</v>
      </c>
    </row>
    <row r="911" spans="1:11" x14ac:dyDescent="0.3">
      <c r="A911" t="s">
        <v>968</v>
      </c>
      <c r="B911" s="1">
        <v>45340</v>
      </c>
      <c r="C911" t="s">
        <v>5</v>
      </c>
      <c r="D911" t="s">
        <v>53</v>
      </c>
      <c r="E911" t="s">
        <v>28</v>
      </c>
      <c r="F911" t="s">
        <v>24</v>
      </c>
      <c r="G911" t="s">
        <v>54</v>
      </c>
      <c r="H911">
        <v>1</v>
      </c>
      <c r="I911">
        <v>2059</v>
      </c>
      <c r="K911">
        <v>7321</v>
      </c>
    </row>
    <row r="912" spans="1:11" x14ac:dyDescent="0.3">
      <c r="A912" t="s">
        <v>969</v>
      </c>
      <c r="B912" s="1">
        <v>45354</v>
      </c>
      <c r="C912" t="s">
        <v>3</v>
      </c>
      <c r="D912" t="s">
        <v>53</v>
      </c>
      <c r="E912" t="s">
        <v>29</v>
      </c>
      <c r="F912" t="s">
        <v>24</v>
      </c>
      <c r="G912" t="s">
        <v>54</v>
      </c>
      <c r="H912">
        <v>1</v>
      </c>
      <c r="I912">
        <v>40692</v>
      </c>
      <c r="J912">
        <v>0.05</v>
      </c>
    </row>
    <row r="913" spans="1:11" x14ac:dyDescent="0.3">
      <c r="A913" t="s">
        <v>970</v>
      </c>
      <c r="B913" s="1">
        <v>45475</v>
      </c>
      <c r="C913" t="s">
        <v>6</v>
      </c>
      <c r="D913" t="s">
        <v>53</v>
      </c>
      <c r="E913" t="s">
        <v>25</v>
      </c>
      <c r="F913" t="s">
        <v>23</v>
      </c>
      <c r="G913" t="s">
        <v>54</v>
      </c>
      <c r="H913">
        <v>7</v>
      </c>
      <c r="I913">
        <v>16082</v>
      </c>
    </row>
    <row r="914" spans="1:11" x14ac:dyDescent="0.3">
      <c r="A914" t="s">
        <v>971</v>
      </c>
      <c r="B914" s="1">
        <v>45414</v>
      </c>
      <c r="C914" t="s">
        <v>4</v>
      </c>
      <c r="D914" t="s">
        <v>69</v>
      </c>
      <c r="E914" t="s">
        <v>25</v>
      </c>
      <c r="F914" t="s">
        <v>50</v>
      </c>
      <c r="G914" t="s">
        <v>51</v>
      </c>
      <c r="H914">
        <v>8</v>
      </c>
      <c r="I914">
        <v>11123</v>
      </c>
      <c r="J914">
        <v>0.05</v>
      </c>
      <c r="K914">
        <v>22481</v>
      </c>
    </row>
    <row r="915" spans="1:11" x14ac:dyDescent="0.3">
      <c r="A915" t="s">
        <v>972</v>
      </c>
      <c r="B915" s="1">
        <v>45307</v>
      </c>
      <c r="C915" t="s">
        <v>4</v>
      </c>
      <c r="D915" t="s">
        <v>69</v>
      </c>
      <c r="E915" t="s">
        <v>27</v>
      </c>
      <c r="F915" t="s">
        <v>22</v>
      </c>
      <c r="G915" t="s">
        <v>51</v>
      </c>
      <c r="H915">
        <v>7</v>
      </c>
      <c r="I915">
        <v>33352</v>
      </c>
      <c r="J915">
        <v>0.1</v>
      </c>
    </row>
    <row r="916" spans="1:11" x14ac:dyDescent="0.3">
      <c r="A916" t="s">
        <v>973</v>
      </c>
      <c r="B916" s="1">
        <v>45466</v>
      </c>
      <c r="C916" t="s">
        <v>6</v>
      </c>
      <c r="D916" t="s">
        <v>53</v>
      </c>
      <c r="E916" t="s">
        <v>25</v>
      </c>
      <c r="F916" t="s">
        <v>24</v>
      </c>
      <c r="G916" t="s">
        <v>54</v>
      </c>
      <c r="H916">
        <v>5</v>
      </c>
      <c r="I916">
        <v>35959</v>
      </c>
      <c r="J916">
        <v>0.1</v>
      </c>
    </row>
    <row r="917" spans="1:11" x14ac:dyDescent="0.3">
      <c r="A917" t="s">
        <v>974</v>
      </c>
      <c r="B917" s="1">
        <v>45470</v>
      </c>
      <c r="C917" t="s">
        <v>4</v>
      </c>
      <c r="D917" t="s">
        <v>69</v>
      </c>
      <c r="E917" t="s">
        <v>27</v>
      </c>
      <c r="F917" t="s">
        <v>58</v>
      </c>
      <c r="G917" t="s">
        <v>54</v>
      </c>
      <c r="H917">
        <v>5</v>
      </c>
      <c r="I917">
        <v>7781</v>
      </c>
      <c r="J917">
        <v>0.05</v>
      </c>
    </row>
    <row r="918" spans="1:11" x14ac:dyDescent="0.3">
      <c r="A918" t="s">
        <v>975</v>
      </c>
      <c r="B918" s="1">
        <v>45456</v>
      </c>
      <c r="C918" t="s">
        <v>5</v>
      </c>
      <c r="D918" t="s">
        <v>69</v>
      </c>
      <c r="E918" t="s">
        <v>25</v>
      </c>
      <c r="F918" t="s">
        <v>24</v>
      </c>
      <c r="G918" t="s">
        <v>54</v>
      </c>
      <c r="H918">
        <v>7</v>
      </c>
      <c r="I918">
        <v>33764</v>
      </c>
      <c r="J918">
        <v>0</v>
      </c>
      <c r="K918">
        <v>17232</v>
      </c>
    </row>
    <row r="919" spans="1:11" x14ac:dyDescent="0.3">
      <c r="A919" t="s">
        <v>976</v>
      </c>
      <c r="B919" s="1">
        <v>45360</v>
      </c>
      <c r="C919" t="s">
        <v>6</v>
      </c>
      <c r="D919" t="s">
        <v>64</v>
      </c>
      <c r="E919" t="s">
        <v>27</v>
      </c>
      <c r="F919" t="s">
        <v>50</v>
      </c>
      <c r="G919" t="s">
        <v>51</v>
      </c>
      <c r="H919">
        <v>4</v>
      </c>
      <c r="I919">
        <v>23956</v>
      </c>
      <c r="J919">
        <v>0</v>
      </c>
    </row>
    <row r="920" spans="1:11" x14ac:dyDescent="0.3">
      <c r="A920" t="s">
        <v>977</v>
      </c>
      <c r="B920" s="1">
        <v>45557</v>
      </c>
      <c r="C920" t="s">
        <v>5</v>
      </c>
      <c r="D920" t="s">
        <v>49</v>
      </c>
      <c r="E920" t="s">
        <v>29</v>
      </c>
      <c r="F920" t="s">
        <v>58</v>
      </c>
      <c r="G920" t="s">
        <v>54</v>
      </c>
      <c r="H920">
        <v>3</v>
      </c>
      <c r="I920">
        <v>2873</v>
      </c>
      <c r="J920">
        <v>0.1</v>
      </c>
      <c r="K920">
        <v>13912</v>
      </c>
    </row>
    <row r="921" spans="1:11" x14ac:dyDescent="0.3">
      <c r="A921" t="s">
        <v>978</v>
      </c>
      <c r="B921" s="1">
        <v>45540</v>
      </c>
      <c r="C921" t="s">
        <v>4</v>
      </c>
      <c r="D921" t="s">
        <v>49</v>
      </c>
      <c r="E921" t="s">
        <v>28</v>
      </c>
      <c r="F921" t="s">
        <v>23</v>
      </c>
      <c r="G921" t="s">
        <v>54</v>
      </c>
      <c r="H921">
        <v>5</v>
      </c>
      <c r="I921">
        <v>41058</v>
      </c>
      <c r="J921">
        <v>0.05</v>
      </c>
    </row>
    <row r="922" spans="1:11" x14ac:dyDescent="0.3">
      <c r="A922" t="s">
        <v>979</v>
      </c>
      <c r="B922" s="1">
        <v>45628</v>
      </c>
      <c r="C922" t="s">
        <v>5</v>
      </c>
      <c r="D922" t="s">
        <v>56</v>
      </c>
      <c r="E922" t="s">
        <v>26</v>
      </c>
      <c r="F922" t="s">
        <v>22</v>
      </c>
      <c r="G922" t="s">
        <v>51</v>
      </c>
      <c r="H922">
        <v>5</v>
      </c>
      <c r="I922">
        <v>18400</v>
      </c>
    </row>
    <row r="923" spans="1:11" x14ac:dyDescent="0.3">
      <c r="A923" t="s">
        <v>980</v>
      </c>
      <c r="B923" s="1">
        <v>45535</v>
      </c>
      <c r="C923" t="s">
        <v>4</v>
      </c>
      <c r="D923" t="s">
        <v>64</v>
      </c>
      <c r="E923" t="s">
        <v>25</v>
      </c>
      <c r="F923" t="s">
        <v>23</v>
      </c>
      <c r="G923" t="s">
        <v>54</v>
      </c>
      <c r="H923">
        <v>9</v>
      </c>
      <c r="I923">
        <v>5796</v>
      </c>
      <c r="J923">
        <v>0.1</v>
      </c>
      <c r="K923">
        <v>890</v>
      </c>
    </row>
    <row r="924" spans="1:11" x14ac:dyDescent="0.3">
      <c r="A924" t="s">
        <v>981</v>
      </c>
      <c r="B924" s="1">
        <v>45643</v>
      </c>
      <c r="C924" t="s">
        <v>4</v>
      </c>
      <c r="D924" t="s">
        <v>53</v>
      </c>
      <c r="E924" t="s">
        <v>29</v>
      </c>
      <c r="F924" t="s">
        <v>22</v>
      </c>
      <c r="G924" t="s">
        <v>51</v>
      </c>
      <c r="H924">
        <v>9</v>
      </c>
      <c r="I924">
        <v>21484</v>
      </c>
      <c r="J924">
        <v>0.1</v>
      </c>
    </row>
    <row r="925" spans="1:11" x14ac:dyDescent="0.3">
      <c r="A925" t="s">
        <v>982</v>
      </c>
      <c r="B925" s="1">
        <v>45324</v>
      </c>
      <c r="C925" t="s">
        <v>6</v>
      </c>
      <c r="D925" t="s">
        <v>64</v>
      </c>
      <c r="E925" t="s">
        <v>27</v>
      </c>
      <c r="F925" t="s">
        <v>58</v>
      </c>
      <c r="G925" t="s">
        <v>54</v>
      </c>
      <c r="H925">
        <v>2</v>
      </c>
      <c r="I925">
        <v>673</v>
      </c>
      <c r="J925">
        <v>0.1</v>
      </c>
      <c r="K925">
        <v>4134</v>
      </c>
    </row>
    <row r="926" spans="1:11" x14ac:dyDescent="0.3">
      <c r="A926" t="s">
        <v>983</v>
      </c>
      <c r="B926" s="1">
        <v>45363</v>
      </c>
      <c r="C926" t="s">
        <v>5</v>
      </c>
      <c r="D926" t="s">
        <v>53</v>
      </c>
      <c r="E926" t="s">
        <v>26</v>
      </c>
      <c r="F926" t="s">
        <v>61</v>
      </c>
      <c r="G926" t="s">
        <v>54</v>
      </c>
      <c r="H926">
        <v>5</v>
      </c>
      <c r="I926">
        <v>30157</v>
      </c>
      <c r="J926">
        <v>0.05</v>
      </c>
      <c r="K926">
        <v>28728</v>
      </c>
    </row>
    <row r="927" spans="1:11" x14ac:dyDescent="0.3">
      <c r="A927" t="s">
        <v>984</v>
      </c>
      <c r="B927" s="1">
        <v>45501</v>
      </c>
      <c r="C927" t="s">
        <v>4</v>
      </c>
      <c r="D927" t="s">
        <v>56</v>
      </c>
      <c r="E927" t="s">
        <v>27</v>
      </c>
      <c r="F927" t="s">
        <v>58</v>
      </c>
      <c r="G927" t="s">
        <v>54</v>
      </c>
      <c r="H927">
        <v>4</v>
      </c>
      <c r="I927">
        <v>37879</v>
      </c>
      <c r="K927">
        <v>20479</v>
      </c>
    </row>
    <row r="928" spans="1:11" x14ac:dyDescent="0.3">
      <c r="A928" t="s">
        <v>985</v>
      </c>
      <c r="B928" s="1">
        <v>45639</v>
      </c>
      <c r="C928" t="s">
        <v>6</v>
      </c>
      <c r="D928" t="s">
        <v>64</v>
      </c>
      <c r="E928" t="s">
        <v>26</v>
      </c>
      <c r="F928" t="s">
        <v>61</v>
      </c>
      <c r="G928" t="s">
        <v>54</v>
      </c>
      <c r="H928">
        <v>1</v>
      </c>
      <c r="I928">
        <v>37080</v>
      </c>
      <c r="J928">
        <v>0</v>
      </c>
      <c r="K928">
        <v>21249</v>
      </c>
    </row>
    <row r="929" spans="1:11" x14ac:dyDescent="0.3">
      <c r="A929" t="s">
        <v>986</v>
      </c>
      <c r="B929" s="1">
        <v>45390</v>
      </c>
      <c r="C929" t="s">
        <v>4</v>
      </c>
      <c r="D929" t="s">
        <v>49</v>
      </c>
      <c r="E929" t="s">
        <v>29</v>
      </c>
      <c r="F929" t="s">
        <v>50</v>
      </c>
      <c r="G929" t="s">
        <v>51</v>
      </c>
      <c r="H929">
        <v>4</v>
      </c>
      <c r="I929">
        <v>14012</v>
      </c>
      <c r="J929">
        <v>0.1</v>
      </c>
      <c r="K929">
        <v>5485</v>
      </c>
    </row>
    <row r="930" spans="1:11" x14ac:dyDescent="0.3">
      <c r="A930" t="s">
        <v>987</v>
      </c>
      <c r="B930" s="1">
        <v>45547</v>
      </c>
      <c r="C930" t="s">
        <v>5</v>
      </c>
      <c r="D930" t="s">
        <v>76</v>
      </c>
      <c r="E930" t="s">
        <v>27</v>
      </c>
      <c r="F930" t="s">
        <v>58</v>
      </c>
      <c r="G930" t="s">
        <v>54</v>
      </c>
      <c r="H930">
        <v>3</v>
      </c>
      <c r="I930">
        <v>17706</v>
      </c>
    </row>
    <row r="931" spans="1:11" x14ac:dyDescent="0.3">
      <c r="A931" t="s">
        <v>988</v>
      </c>
      <c r="B931" s="1">
        <v>45380</v>
      </c>
      <c r="C931" t="s">
        <v>4</v>
      </c>
      <c r="D931" t="s">
        <v>56</v>
      </c>
      <c r="E931" t="s">
        <v>28</v>
      </c>
      <c r="F931" t="s">
        <v>50</v>
      </c>
      <c r="G931" t="s">
        <v>51</v>
      </c>
      <c r="H931">
        <v>4</v>
      </c>
      <c r="I931">
        <v>26930</v>
      </c>
      <c r="K931">
        <v>14937</v>
      </c>
    </row>
    <row r="932" spans="1:11" x14ac:dyDescent="0.3">
      <c r="A932" t="s">
        <v>989</v>
      </c>
      <c r="B932" s="1">
        <v>45472</v>
      </c>
      <c r="C932" t="s">
        <v>6</v>
      </c>
      <c r="D932" t="s">
        <v>76</v>
      </c>
      <c r="E932" t="s">
        <v>26</v>
      </c>
      <c r="F932" t="s">
        <v>22</v>
      </c>
      <c r="G932" t="s">
        <v>51</v>
      </c>
      <c r="H932">
        <v>8</v>
      </c>
      <c r="I932">
        <v>16311</v>
      </c>
      <c r="J932">
        <v>0.05</v>
      </c>
    </row>
    <row r="933" spans="1:11" x14ac:dyDescent="0.3">
      <c r="A933" t="s">
        <v>990</v>
      </c>
      <c r="B933" s="1">
        <v>45424</v>
      </c>
      <c r="C933" t="s">
        <v>4</v>
      </c>
      <c r="D933" t="s">
        <v>69</v>
      </c>
      <c r="E933" t="s">
        <v>28</v>
      </c>
      <c r="F933" t="s">
        <v>61</v>
      </c>
      <c r="G933" t="s">
        <v>54</v>
      </c>
      <c r="H933">
        <v>9</v>
      </c>
      <c r="I933">
        <v>45902</v>
      </c>
      <c r="J933">
        <v>0.05</v>
      </c>
      <c r="K933">
        <v>5070</v>
      </c>
    </row>
    <row r="934" spans="1:11" x14ac:dyDescent="0.3">
      <c r="A934" t="s">
        <v>991</v>
      </c>
      <c r="B934" s="1">
        <v>45346</v>
      </c>
      <c r="C934" t="s">
        <v>5</v>
      </c>
      <c r="D934" t="s">
        <v>49</v>
      </c>
      <c r="E934" t="s">
        <v>29</v>
      </c>
      <c r="F934" t="s">
        <v>22</v>
      </c>
      <c r="G934" t="s">
        <v>51</v>
      </c>
      <c r="H934">
        <v>10</v>
      </c>
      <c r="I934">
        <v>29706</v>
      </c>
      <c r="J934">
        <v>0.05</v>
      </c>
    </row>
    <row r="935" spans="1:11" x14ac:dyDescent="0.3">
      <c r="A935" t="s">
        <v>992</v>
      </c>
      <c r="B935" s="1">
        <v>45296</v>
      </c>
      <c r="C935" t="s">
        <v>3</v>
      </c>
      <c r="D935" t="s">
        <v>64</v>
      </c>
      <c r="E935" t="s">
        <v>28</v>
      </c>
      <c r="F935" t="s">
        <v>50</v>
      </c>
      <c r="G935" t="s">
        <v>51</v>
      </c>
      <c r="H935">
        <v>8</v>
      </c>
      <c r="I935">
        <v>27968</v>
      </c>
      <c r="J935">
        <v>0</v>
      </c>
      <c r="K935">
        <v>25940</v>
      </c>
    </row>
    <row r="936" spans="1:11" x14ac:dyDescent="0.3">
      <c r="A936" t="s">
        <v>993</v>
      </c>
      <c r="B936" s="1">
        <v>45555</v>
      </c>
      <c r="C936" t="s">
        <v>5</v>
      </c>
      <c r="D936" t="s">
        <v>49</v>
      </c>
      <c r="E936" t="s">
        <v>28</v>
      </c>
      <c r="F936" t="s">
        <v>24</v>
      </c>
      <c r="G936" t="s">
        <v>54</v>
      </c>
      <c r="H936">
        <v>7</v>
      </c>
      <c r="I936">
        <v>9904</v>
      </c>
      <c r="J936">
        <v>0</v>
      </c>
    </row>
    <row r="937" spans="1:11" x14ac:dyDescent="0.3">
      <c r="A937" t="s">
        <v>994</v>
      </c>
      <c r="B937" s="1">
        <v>45624</v>
      </c>
      <c r="C937" t="s">
        <v>4</v>
      </c>
      <c r="D937" t="s">
        <v>56</v>
      </c>
      <c r="E937" t="s">
        <v>25</v>
      </c>
      <c r="F937" t="s">
        <v>58</v>
      </c>
      <c r="G937" t="s">
        <v>54</v>
      </c>
      <c r="H937">
        <v>5</v>
      </c>
      <c r="I937">
        <v>23463</v>
      </c>
      <c r="J937">
        <v>0.1</v>
      </c>
      <c r="K937">
        <v>12225</v>
      </c>
    </row>
    <row r="938" spans="1:11" x14ac:dyDescent="0.3">
      <c r="A938" t="s">
        <v>995</v>
      </c>
      <c r="B938" s="1">
        <v>45490</v>
      </c>
      <c r="C938" t="s">
        <v>5</v>
      </c>
      <c r="D938" t="s">
        <v>76</v>
      </c>
      <c r="E938" t="s">
        <v>27</v>
      </c>
      <c r="F938" t="s">
        <v>23</v>
      </c>
      <c r="G938" t="s">
        <v>54</v>
      </c>
      <c r="H938">
        <v>5</v>
      </c>
      <c r="I938">
        <v>39300</v>
      </c>
      <c r="J938">
        <v>0.05</v>
      </c>
    </row>
    <row r="939" spans="1:11" x14ac:dyDescent="0.3">
      <c r="A939" t="s">
        <v>996</v>
      </c>
      <c r="B939" s="1">
        <v>45449</v>
      </c>
      <c r="C939" t="s">
        <v>3</v>
      </c>
      <c r="D939" t="s">
        <v>69</v>
      </c>
      <c r="E939" t="s">
        <v>27</v>
      </c>
      <c r="F939" t="s">
        <v>22</v>
      </c>
      <c r="G939" t="s">
        <v>51</v>
      </c>
      <c r="H939">
        <v>1</v>
      </c>
      <c r="I939">
        <v>24013</v>
      </c>
      <c r="J939">
        <v>0.05</v>
      </c>
      <c r="K939">
        <v>27140</v>
      </c>
    </row>
    <row r="940" spans="1:11" x14ac:dyDescent="0.3">
      <c r="A940" t="s">
        <v>997</v>
      </c>
      <c r="B940" s="1">
        <v>45423</v>
      </c>
      <c r="C940" t="s">
        <v>4</v>
      </c>
      <c r="D940" t="s">
        <v>56</v>
      </c>
      <c r="E940" t="s">
        <v>27</v>
      </c>
      <c r="F940" t="s">
        <v>61</v>
      </c>
      <c r="G940" t="s">
        <v>54</v>
      </c>
      <c r="H940">
        <v>2</v>
      </c>
      <c r="I940">
        <v>41794</v>
      </c>
      <c r="J940">
        <v>0</v>
      </c>
    </row>
    <row r="941" spans="1:11" x14ac:dyDescent="0.3">
      <c r="A941" t="s">
        <v>998</v>
      </c>
      <c r="B941" s="1">
        <v>45410</v>
      </c>
      <c r="C941" t="s">
        <v>6</v>
      </c>
      <c r="D941" t="s">
        <v>53</v>
      </c>
      <c r="E941" t="s">
        <v>28</v>
      </c>
      <c r="F941" t="s">
        <v>22</v>
      </c>
      <c r="G941" t="s">
        <v>51</v>
      </c>
      <c r="H941">
        <v>1</v>
      </c>
      <c r="I941">
        <v>534</v>
      </c>
      <c r="J941">
        <v>0</v>
      </c>
    </row>
    <row r="942" spans="1:11" x14ac:dyDescent="0.3">
      <c r="A942" t="s">
        <v>999</v>
      </c>
      <c r="B942" s="1">
        <v>45527</v>
      </c>
      <c r="C942" t="s">
        <v>6</v>
      </c>
      <c r="D942" t="s">
        <v>69</v>
      </c>
      <c r="E942" t="s">
        <v>25</v>
      </c>
      <c r="F942" t="s">
        <v>58</v>
      </c>
      <c r="G942" t="s">
        <v>54</v>
      </c>
      <c r="H942">
        <v>3</v>
      </c>
      <c r="I942">
        <v>29533</v>
      </c>
      <c r="K942">
        <v>10238</v>
      </c>
    </row>
    <row r="943" spans="1:11" x14ac:dyDescent="0.3">
      <c r="A943" t="s">
        <v>1000</v>
      </c>
      <c r="B943" s="1">
        <v>45435</v>
      </c>
      <c r="C943" t="s">
        <v>4</v>
      </c>
      <c r="D943" t="s">
        <v>76</v>
      </c>
      <c r="E943" t="s">
        <v>25</v>
      </c>
      <c r="F943" t="s">
        <v>24</v>
      </c>
      <c r="G943" t="s">
        <v>54</v>
      </c>
      <c r="H943">
        <v>3</v>
      </c>
      <c r="I943">
        <v>45381</v>
      </c>
      <c r="J943">
        <v>0.1</v>
      </c>
      <c r="K943">
        <v>3499</v>
      </c>
    </row>
    <row r="944" spans="1:11" x14ac:dyDescent="0.3">
      <c r="A944" t="s">
        <v>1001</v>
      </c>
      <c r="B944" s="1">
        <v>45470</v>
      </c>
      <c r="C944" t="s">
        <v>5</v>
      </c>
      <c r="D944" t="s">
        <v>64</v>
      </c>
      <c r="E944" t="s">
        <v>28</v>
      </c>
      <c r="F944" t="s">
        <v>50</v>
      </c>
      <c r="G944" t="s">
        <v>51</v>
      </c>
      <c r="H944">
        <v>4</v>
      </c>
      <c r="I944">
        <v>38548</v>
      </c>
      <c r="J944">
        <v>0.05</v>
      </c>
      <c r="K944">
        <v>11263</v>
      </c>
    </row>
    <row r="945" spans="1:11" x14ac:dyDescent="0.3">
      <c r="A945" t="s">
        <v>1002</v>
      </c>
      <c r="B945" s="1">
        <v>45486</v>
      </c>
      <c r="C945" t="s">
        <v>4</v>
      </c>
      <c r="D945" t="s">
        <v>53</v>
      </c>
      <c r="E945" t="s">
        <v>29</v>
      </c>
      <c r="F945" t="s">
        <v>24</v>
      </c>
      <c r="G945" t="s">
        <v>54</v>
      </c>
      <c r="H945">
        <v>2</v>
      </c>
      <c r="I945">
        <v>7053</v>
      </c>
      <c r="J945">
        <v>0.05</v>
      </c>
    </row>
    <row r="946" spans="1:11" x14ac:dyDescent="0.3">
      <c r="A946" t="s">
        <v>1003</v>
      </c>
      <c r="B946" s="1">
        <v>45402</v>
      </c>
      <c r="C946" t="s">
        <v>3</v>
      </c>
      <c r="D946" t="s">
        <v>76</v>
      </c>
      <c r="E946" t="s">
        <v>25</v>
      </c>
      <c r="F946" t="s">
        <v>58</v>
      </c>
      <c r="G946" t="s">
        <v>54</v>
      </c>
      <c r="H946">
        <v>10</v>
      </c>
      <c r="I946">
        <v>26668</v>
      </c>
      <c r="J946">
        <v>0.1</v>
      </c>
    </row>
    <row r="947" spans="1:11" x14ac:dyDescent="0.3">
      <c r="A947" t="s">
        <v>1004</v>
      </c>
      <c r="B947" s="1">
        <v>45452</v>
      </c>
      <c r="C947" t="s">
        <v>6</v>
      </c>
      <c r="D947" t="s">
        <v>76</v>
      </c>
      <c r="E947" t="s">
        <v>29</v>
      </c>
      <c r="F947" t="s">
        <v>22</v>
      </c>
      <c r="G947" t="s">
        <v>51</v>
      </c>
      <c r="H947">
        <v>3</v>
      </c>
      <c r="I947">
        <v>18921</v>
      </c>
      <c r="J947">
        <v>0</v>
      </c>
      <c r="K947">
        <v>6074</v>
      </c>
    </row>
    <row r="948" spans="1:11" x14ac:dyDescent="0.3">
      <c r="A948" t="s">
        <v>1005</v>
      </c>
      <c r="B948" s="1">
        <v>45549</v>
      </c>
      <c r="C948" t="s">
        <v>6</v>
      </c>
      <c r="D948" t="s">
        <v>64</v>
      </c>
      <c r="E948" t="s">
        <v>26</v>
      </c>
      <c r="F948" t="s">
        <v>24</v>
      </c>
      <c r="G948" t="s">
        <v>54</v>
      </c>
      <c r="H948">
        <v>7</v>
      </c>
      <c r="I948">
        <v>13348</v>
      </c>
    </row>
    <row r="949" spans="1:11" x14ac:dyDescent="0.3">
      <c r="A949" t="s">
        <v>1006</v>
      </c>
      <c r="B949" s="1">
        <v>45538</v>
      </c>
      <c r="C949" t="s">
        <v>5</v>
      </c>
      <c r="D949" t="s">
        <v>49</v>
      </c>
      <c r="E949" t="s">
        <v>29</v>
      </c>
      <c r="F949" t="s">
        <v>22</v>
      </c>
      <c r="G949" t="s">
        <v>51</v>
      </c>
      <c r="H949">
        <v>5</v>
      </c>
      <c r="I949">
        <v>40213</v>
      </c>
    </row>
    <row r="950" spans="1:11" x14ac:dyDescent="0.3">
      <c r="A950" t="s">
        <v>1007</v>
      </c>
      <c r="B950" s="1">
        <v>45583</v>
      </c>
      <c r="C950" t="s">
        <v>6</v>
      </c>
      <c r="D950" t="s">
        <v>56</v>
      </c>
      <c r="E950" t="s">
        <v>28</v>
      </c>
      <c r="F950" t="s">
        <v>50</v>
      </c>
      <c r="G950" t="s">
        <v>51</v>
      </c>
      <c r="H950">
        <v>3</v>
      </c>
      <c r="I950">
        <v>14501</v>
      </c>
      <c r="J950">
        <v>0.05</v>
      </c>
    </row>
    <row r="951" spans="1:11" x14ac:dyDescent="0.3">
      <c r="A951" t="s">
        <v>1008</v>
      </c>
      <c r="B951" s="1">
        <v>45418</v>
      </c>
      <c r="C951" t="s">
        <v>3</v>
      </c>
      <c r="D951" t="s">
        <v>69</v>
      </c>
      <c r="E951" t="s">
        <v>29</v>
      </c>
      <c r="F951" t="s">
        <v>23</v>
      </c>
      <c r="G951" t="s">
        <v>54</v>
      </c>
      <c r="H951">
        <v>4</v>
      </c>
      <c r="I951">
        <v>49397</v>
      </c>
      <c r="J951">
        <v>0.1</v>
      </c>
    </row>
    <row r="952" spans="1:11" x14ac:dyDescent="0.3">
      <c r="A952" t="s">
        <v>1009</v>
      </c>
      <c r="B952" s="1">
        <v>45330</v>
      </c>
      <c r="C952" t="s">
        <v>6</v>
      </c>
      <c r="D952" t="s">
        <v>56</v>
      </c>
      <c r="E952" t="s">
        <v>28</v>
      </c>
      <c r="F952" t="s">
        <v>50</v>
      </c>
      <c r="G952" t="s">
        <v>51</v>
      </c>
      <c r="H952">
        <v>10</v>
      </c>
      <c r="I952">
        <v>28968</v>
      </c>
      <c r="J952">
        <v>0.05</v>
      </c>
    </row>
    <row r="953" spans="1:11" x14ac:dyDescent="0.3">
      <c r="A953" t="s">
        <v>1010</v>
      </c>
      <c r="B953" s="1">
        <v>45620</v>
      </c>
      <c r="C953" t="s">
        <v>5</v>
      </c>
      <c r="D953" t="s">
        <v>69</v>
      </c>
      <c r="E953" t="s">
        <v>25</v>
      </c>
      <c r="F953" t="s">
        <v>61</v>
      </c>
      <c r="G953" t="s">
        <v>54</v>
      </c>
      <c r="H953">
        <v>1</v>
      </c>
      <c r="I953">
        <v>2176</v>
      </c>
      <c r="J953">
        <v>0</v>
      </c>
      <c r="K953">
        <v>28728</v>
      </c>
    </row>
    <row r="954" spans="1:11" x14ac:dyDescent="0.3">
      <c r="A954" t="s">
        <v>1011</v>
      </c>
      <c r="B954" s="1">
        <v>45316</v>
      </c>
      <c r="C954" t="s">
        <v>4</v>
      </c>
      <c r="D954" t="s">
        <v>76</v>
      </c>
      <c r="E954" t="s">
        <v>29</v>
      </c>
      <c r="F954" t="s">
        <v>22</v>
      </c>
      <c r="G954" t="s">
        <v>51</v>
      </c>
      <c r="H954">
        <v>7</v>
      </c>
      <c r="I954">
        <v>4924</v>
      </c>
      <c r="J954">
        <v>0</v>
      </c>
    </row>
    <row r="955" spans="1:11" x14ac:dyDescent="0.3">
      <c r="A955" t="s">
        <v>1012</v>
      </c>
      <c r="B955" s="1">
        <v>45632</v>
      </c>
      <c r="C955" t="s">
        <v>4</v>
      </c>
      <c r="D955" t="s">
        <v>56</v>
      </c>
      <c r="E955" t="s">
        <v>28</v>
      </c>
      <c r="F955" t="s">
        <v>50</v>
      </c>
      <c r="G955" t="s">
        <v>51</v>
      </c>
      <c r="H955">
        <v>10</v>
      </c>
      <c r="I955">
        <v>20631</v>
      </c>
      <c r="J955">
        <v>0</v>
      </c>
      <c r="K955">
        <v>8510</v>
      </c>
    </row>
    <row r="956" spans="1:11" x14ac:dyDescent="0.3">
      <c r="A956" t="s">
        <v>1013</v>
      </c>
      <c r="B956" s="1">
        <v>45570</v>
      </c>
      <c r="C956" t="s">
        <v>3</v>
      </c>
      <c r="D956" t="s">
        <v>53</v>
      </c>
      <c r="E956" t="s">
        <v>29</v>
      </c>
      <c r="F956" t="s">
        <v>58</v>
      </c>
      <c r="G956" t="s">
        <v>54</v>
      </c>
      <c r="H956">
        <v>10</v>
      </c>
      <c r="I956">
        <v>24012</v>
      </c>
      <c r="J956">
        <v>0.1</v>
      </c>
    </row>
    <row r="957" spans="1:11" x14ac:dyDescent="0.3">
      <c r="A957" t="s">
        <v>1014</v>
      </c>
      <c r="B957" s="1">
        <v>45519</v>
      </c>
      <c r="C957" t="s">
        <v>5</v>
      </c>
      <c r="D957" t="s">
        <v>56</v>
      </c>
      <c r="E957" t="s">
        <v>27</v>
      </c>
      <c r="F957" t="s">
        <v>23</v>
      </c>
      <c r="G957" t="s">
        <v>54</v>
      </c>
      <c r="H957">
        <v>4</v>
      </c>
      <c r="I957">
        <v>5854</v>
      </c>
      <c r="J957">
        <v>0.1</v>
      </c>
      <c r="K957">
        <v>19506</v>
      </c>
    </row>
    <row r="958" spans="1:11" x14ac:dyDescent="0.3">
      <c r="A958" t="s">
        <v>1015</v>
      </c>
      <c r="B958" s="1">
        <v>45417</v>
      </c>
      <c r="C958" t="s">
        <v>6</v>
      </c>
      <c r="D958" t="s">
        <v>69</v>
      </c>
      <c r="E958" t="s">
        <v>26</v>
      </c>
      <c r="F958" t="s">
        <v>61</v>
      </c>
      <c r="G958" t="s">
        <v>54</v>
      </c>
      <c r="H958">
        <v>4</v>
      </c>
      <c r="I958">
        <v>44139</v>
      </c>
      <c r="J958">
        <v>0.1</v>
      </c>
      <c r="K958">
        <v>24472</v>
      </c>
    </row>
    <row r="959" spans="1:11" x14ac:dyDescent="0.3">
      <c r="A959" t="s">
        <v>1016</v>
      </c>
      <c r="B959" s="1">
        <v>45442</v>
      </c>
      <c r="C959" t="s">
        <v>3</v>
      </c>
      <c r="D959" t="s">
        <v>64</v>
      </c>
      <c r="E959" t="s">
        <v>25</v>
      </c>
      <c r="F959" t="s">
        <v>50</v>
      </c>
      <c r="G959" t="s">
        <v>51</v>
      </c>
      <c r="H959">
        <v>1</v>
      </c>
      <c r="I959">
        <v>5686</v>
      </c>
      <c r="J959">
        <v>0.05</v>
      </c>
      <c r="K959">
        <v>4953</v>
      </c>
    </row>
    <row r="960" spans="1:11" x14ac:dyDescent="0.3">
      <c r="A960" t="s">
        <v>1017</v>
      </c>
      <c r="B960" s="1">
        <v>45558</v>
      </c>
      <c r="C960" t="s">
        <v>3</v>
      </c>
      <c r="D960" t="s">
        <v>76</v>
      </c>
      <c r="E960" t="s">
        <v>27</v>
      </c>
      <c r="F960" t="s">
        <v>50</v>
      </c>
      <c r="G960" t="s">
        <v>51</v>
      </c>
      <c r="H960">
        <v>5</v>
      </c>
      <c r="I960">
        <v>41447</v>
      </c>
      <c r="J960">
        <v>0.1</v>
      </c>
      <c r="K960">
        <v>15660</v>
      </c>
    </row>
    <row r="961" spans="1:11" x14ac:dyDescent="0.3">
      <c r="A961" t="s">
        <v>1018</v>
      </c>
      <c r="B961" s="1">
        <v>45546</v>
      </c>
      <c r="C961" t="s">
        <v>6</v>
      </c>
      <c r="D961" t="s">
        <v>76</v>
      </c>
      <c r="E961" t="s">
        <v>26</v>
      </c>
      <c r="F961" t="s">
        <v>23</v>
      </c>
      <c r="G961" t="s">
        <v>54</v>
      </c>
      <c r="H961">
        <v>4</v>
      </c>
      <c r="I961">
        <v>10976</v>
      </c>
      <c r="J961">
        <v>0</v>
      </c>
      <c r="K961">
        <v>2770</v>
      </c>
    </row>
    <row r="962" spans="1:11" x14ac:dyDescent="0.3">
      <c r="A962" t="s">
        <v>1019</v>
      </c>
      <c r="B962" s="1">
        <v>45330</v>
      </c>
      <c r="C962" t="s">
        <v>3</v>
      </c>
      <c r="D962" t="s">
        <v>69</v>
      </c>
      <c r="E962" t="s">
        <v>27</v>
      </c>
      <c r="F962" t="s">
        <v>24</v>
      </c>
      <c r="G962" t="s">
        <v>54</v>
      </c>
      <c r="H962">
        <v>9</v>
      </c>
      <c r="I962">
        <v>5011</v>
      </c>
      <c r="J962">
        <v>0.05</v>
      </c>
      <c r="K962">
        <v>14144</v>
      </c>
    </row>
    <row r="963" spans="1:11" x14ac:dyDescent="0.3">
      <c r="A963" t="s">
        <v>1020</v>
      </c>
      <c r="B963" s="1">
        <v>45516</v>
      </c>
      <c r="C963" t="s">
        <v>4</v>
      </c>
      <c r="D963" t="s">
        <v>76</v>
      </c>
      <c r="E963" t="s">
        <v>26</v>
      </c>
      <c r="F963" t="s">
        <v>58</v>
      </c>
      <c r="G963" t="s">
        <v>54</v>
      </c>
      <c r="H963">
        <v>4</v>
      </c>
      <c r="I963">
        <v>20717</v>
      </c>
      <c r="J963">
        <v>0.1</v>
      </c>
    </row>
    <row r="964" spans="1:11" x14ac:dyDescent="0.3">
      <c r="A964" t="s">
        <v>1021</v>
      </c>
      <c r="B964" s="1">
        <v>45398</v>
      </c>
      <c r="C964" t="s">
        <v>3</v>
      </c>
      <c r="D964" t="s">
        <v>69</v>
      </c>
      <c r="E964" t="s">
        <v>29</v>
      </c>
      <c r="F964" t="s">
        <v>22</v>
      </c>
      <c r="G964" t="s">
        <v>51</v>
      </c>
      <c r="H964">
        <v>9</v>
      </c>
      <c r="I964">
        <v>10861</v>
      </c>
    </row>
    <row r="965" spans="1:11" x14ac:dyDescent="0.3">
      <c r="A965" t="s">
        <v>1022</v>
      </c>
      <c r="B965" s="1">
        <v>45531</v>
      </c>
      <c r="C965" t="s">
        <v>4</v>
      </c>
      <c r="D965" t="s">
        <v>49</v>
      </c>
      <c r="E965" t="s">
        <v>28</v>
      </c>
      <c r="F965" t="s">
        <v>24</v>
      </c>
      <c r="G965" t="s">
        <v>54</v>
      </c>
      <c r="H965">
        <v>7</v>
      </c>
      <c r="I965">
        <v>40042</v>
      </c>
      <c r="K965">
        <v>17028</v>
      </c>
    </row>
    <row r="966" spans="1:11" x14ac:dyDescent="0.3">
      <c r="A966" t="s">
        <v>1023</v>
      </c>
      <c r="B966" s="1">
        <v>45353</v>
      </c>
      <c r="C966" t="s">
        <v>6</v>
      </c>
      <c r="D966" t="s">
        <v>56</v>
      </c>
      <c r="E966" t="s">
        <v>29</v>
      </c>
      <c r="F966" t="s">
        <v>61</v>
      </c>
      <c r="G966" t="s">
        <v>54</v>
      </c>
      <c r="H966">
        <v>6</v>
      </c>
      <c r="I966">
        <v>26232</v>
      </c>
      <c r="J966">
        <v>0.05</v>
      </c>
      <c r="K966">
        <v>6187</v>
      </c>
    </row>
    <row r="967" spans="1:11" x14ac:dyDescent="0.3">
      <c r="A967" t="s">
        <v>1024</v>
      </c>
      <c r="B967" s="1">
        <v>45559</v>
      </c>
      <c r="C967" t="s">
        <v>4</v>
      </c>
      <c r="D967" t="s">
        <v>56</v>
      </c>
      <c r="E967" t="s">
        <v>28</v>
      </c>
      <c r="F967" t="s">
        <v>22</v>
      </c>
      <c r="G967" t="s">
        <v>51</v>
      </c>
      <c r="H967">
        <v>8</v>
      </c>
      <c r="I967">
        <v>42239</v>
      </c>
    </row>
    <row r="968" spans="1:11" x14ac:dyDescent="0.3">
      <c r="A968" t="s">
        <v>1025</v>
      </c>
      <c r="B968" s="1">
        <v>45602</v>
      </c>
      <c r="C968" t="s">
        <v>3</v>
      </c>
      <c r="D968" t="s">
        <v>76</v>
      </c>
      <c r="E968" t="s">
        <v>29</v>
      </c>
      <c r="F968" t="s">
        <v>50</v>
      </c>
      <c r="G968" t="s">
        <v>51</v>
      </c>
      <c r="H968">
        <v>1</v>
      </c>
      <c r="I968">
        <v>47143</v>
      </c>
    </row>
    <row r="969" spans="1:11" x14ac:dyDescent="0.3">
      <c r="A969" t="s">
        <v>1026</v>
      </c>
      <c r="B969" s="1">
        <v>45622</v>
      </c>
      <c r="C969" t="s">
        <v>3</v>
      </c>
      <c r="D969" t="s">
        <v>49</v>
      </c>
      <c r="E969" t="s">
        <v>27</v>
      </c>
      <c r="F969" t="s">
        <v>61</v>
      </c>
      <c r="G969" t="s">
        <v>54</v>
      </c>
      <c r="H969">
        <v>6</v>
      </c>
      <c r="I969">
        <v>39746</v>
      </c>
      <c r="J969">
        <v>0</v>
      </c>
      <c r="K969">
        <v>8121</v>
      </c>
    </row>
    <row r="970" spans="1:11" x14ac:dyDescent="0.3">
      <c r="A970" t="s">
        <v>1027</v>
      </c>
      <c r="B970" s="1">
        <v>45566</v>
      </c>
      <c r="C970" t="s">
        <v>5</v>
      </c>
      <c r="D970" t="s">
        <v>69</v>
      </c>
      <c r="E970" t="s">
        <v>28</v>
      </c>
      <c r="F970" t="s">
        <v>58</v>
      </c>
      <c r="G970" t="s">
        <v>54</v>
      </c>
      <c r="H970">
        <v>9</v>
      </c>
      <c r="I970">
        <v>10007</v>
      </c>
    </row>
    <row r="971" spans="1:11" x14ac:dyDescent="0.3">
      <c r="A971" t="s">
        <v>1028</v>
      </c>
      <c r="B971" s="1">
        <v>45528</v>
      </c>
      <c r="C971" t="s">
        <v>5</v>
      </c>
      <c r="D971" t="s">
        <v>56</v>
      </c>
      <c r="E971" t="s">
        <v>29</v>
      </c>
      <c r="F971" t="s">
        <v>61</v>
      </c>
      <c r="G971" t="s">
        <v>54</v>
      </c>
      <c r="H971">
        <v>2</v>
      </c>
      <c r="I971">
        <v>24267</v>
      </c>
      <c r="J971">
        <v>0</v>
      </c>
    </row>
    <row r="972" spans="1:11" x14ac:dyDescent="0.3">
      <c r="A972" t="s">
        <v>1029</v>
      </c>
      <c r="B972" s="1">
        <v>45501</v>
      </c>
      <c r="C972" t="s">
        <v>3</v>
      </c>
      <c r="D972" t="s">
        <v>69</v>
      </c>
      <c r="E972" t="s">
        <v>27</v>
      </c>
      <c r="F972" t="s">
        <v>61</v>
      </c>
      <c r="G972" t="s">
        <v>54</v>
      </c>
      <c r="H972">
        <v>9</v>
      </c>
      <c r="I972">
        <v>12571</v>
      </c>
    </row>
    <row r="973" spans="1:11" x14ac:dyDescent="0.3">
      <c r="A973" t="s">
        <v>1030</v>
      </c>
      <c r="B973" s="1">
        <v>45395</v>
      </c>
      <c r="C973" t="s">
        <v>5</v>
      </c>
      <c r="D973" t="s">
        <v>53</v>
      </c>
      <c r="E973" t="s">
        <v>26</v>
      </c>
      <c r="F973" t="s">
        <v>50</v>
      </c>
      <c r="G973" t="s">
        <v>51</v>
      </c>
      <c r="H973">
        <v>10</v>
      </c>
      <c r="I973">
        <v>45850</v>
      </c>
      <c r="J973">
        <v>0.1</v>
      </c>
      <c r="K973">
        <v>2068</v>
      </c>
    </row>
    <row r="974" spans="1:11" x14ac:dyDescent="0.3">
      <c r="A974" t="s">
        <v>1031</v>
      </c>
      <c r="B974" s="1">
        <v>45523</v>
      </c>
      <c r="C974" t="s">
        <v>3</v>
      </c>
      <c r="D974" t="s">
        <v>76</v>
      </c>
      <c r="E974" t="s">
        <v>26</v>
      </c>
      <c r="F974" t="s">
        <v>23</v>
      </c>
      <c r="G974" t="s">
        <v>54</v>
      </c>
      <c r="H974">
        <v>10</v>
      </c>
      <c r="I974">
        <v>2862</v>
      </c>
      <c r="J974">
        <v>0.1</v>
      </c>
      <c r="K974">
        <v>3893</v>
      </c>
    </row>
    <row r="975" spans="1:11" x14ac:dyDescent="0.3">
      <c r="A975" t="s">
        <v>1032</v>
      </c>
      <c r="B975" s="1">
        <v>45483</v>
      </c>
      <c r="C975" t="s">
        <v>4</v>
      </c>
      <c r="D975" t="s">
        <v>53</v>
      </c>
      <c r="E975" t="s">
        <v>28</v>
      </c>
      <c r="F975" t="s">
        <v>22</v>
      </c>
      <c r="G975" t="s">
        <v>51</v>
      </c>
      <c r="H975">
        <v>9</v>
      </c>
      <c r="I975">
        <v>11007</v>
      </c>
      <c r="K975">
        <v>2696</v>
      </c>
    </row>
    <row r="976" spans="1:11" x14ac:dyDescent="0.3">
      <c r="A976" t="s">
        <v>1033</v>
      </c>
      <c r="B976" s="1">
        <v>45386</v>
      </c>
      <c r="C976" t="s">
        <v>5</v>
      </c>
      <c r="D976" t="s">
        <v>64</v>
      </c>
      <c r="E976" t="s">
        <v>26</v>
      </c>
      <c r="F976" t="s">
        <v>22</v>
      </c>
      <c r="G976" t="s">
        <v>51</v>
      </c>
      <c r="H976">
        <v>7</v>
      </c>
      <c r="I976">
        <v>39407</v>
      </c>
      <c r="J976">
        <v>0</v>
      </c>
    </row>
    <row r="977" spans="1:11" x14ac:dyDescent="0.3">
      <c r="A977" t="s">
        <v>1034</v>
      </c>
      <c r="B977" s="1">
        <v>45425</v>
      </c>
      <c r="C977" t="s">
        <v>4</v>
      </c>
      <c r="D977" t="s">
        <v>56</v>
      </c>
      <c r="E977" t="s">
        <v>26</v>
      </c>
      <c r="F977" t="s">
        <v>24</v>
      </c>
      <c r="G977" t="s">
        <v>54</v>
      </c>
      <c r="H977">
        <v>6</v>
      </c>
      <c r="I977">
        <v>44545</v>
      </c>
      <c r="J977">
        <v>0.1</v>
      </c>
      <c r="K977">
        <v>17047</v>
      </c>
    </row>
    <row r="978" spans="1:11" x14ac:dyDescent="0.3">
      <c r="A978" t="s">
        <v>1035</v>
      </c>
      <c r="B978" s="1">
        <v>45341</v>
      </c>
      <c r="C978" t="s">
        <v>5</v>
      </c>
      <c r="D978" t="s">
        <v>69</v>
      </c>
      <c r="E978" t="s">
        <v>28</v>
      </c>
      <c r="F978" t="s">
        <v>50</v>
      </c>
      <c r="G978" t="s">
        <v>51</v>
      </c>
      <c r="H978">
        <v>4</v>
      </c>
      <c r="I978">
        <v>12177</v>
      </c>
      <c r="K978">
        <v>5366</v>
      </c>
    </row>
    <row r="979" spans="1:11" x14ac:dyDescent="0.3">
      <c r="A979" t="s">
        <v>1036</v>
      </c>
      <c r="B979" s="1">
        <v>45553</v>
      </c>
      <c r="C979" t="s">
        <v>3</v>
      </c>
      <c r="D979" t="s">
        <v>69</v>
      </c>
      <c r="E979" t="s">
        <v>27</v>
      </c>
      <c r="F979" t="s">
        <v>23</v>
      </c>
      <c r="G979" t="s">
        <v>54</v>
      </c>
      <c r="H979">
        <v>3</v>
      </c>
      <c r="I979">
        <v>7376</v>
      </c>
      <c r="J979">
        <v>0.1</v>
      </c>
      <c r="K979">
        <v>2664</v>
      </c>
    </row>
    <row r="980" spans="1:11" x14ac:dyDescent="0.3">
      <c r="A980" t="s">
        <v>1037</v>
      </c>
      <c r="B980" s="1">
        <v>45553</v>
      </c>
      <c r="C980" t="s">
        <v>3</v>
      </c>
      <c r="D980" t="s">
        <v>56</v>
      </c>
      <c r="E980" t="s">
        <v>25</v>
      </c>
      <c r="F980" t="s">
        <v>24</v>
      </c>
      <c r="G980" t="s">
        <v>54</v>
      </c>
      <c r="H980">
        <v>9</v>
      </c>
      <c r="I980">
        <v>3208</v>
      </c>
      <c r="J980">
        <v>0.1</v>
      </c>
      <c r="K980">
        <v>17676</v>
      </c>
    </row>
    <row r="981" spans="1:11" x14ac:dyDescent="0.3">
      <c r="A981" t="s">
        <v>1038</v>
      </c>
      <c r="B981" s="1">
        <v>45330</v>
      </c>
      <c r="C981" t="s">
        <v>4</v>
      </c>
      <c r="D981" t="s">
        <v>53</v>
      </c>
      <c r="E981" t="s">
        <v>29</v>
      </c>
      <c r="F981" t="s">
        <v>24</v>
      </c>
      <c r="G981" t="s">
        <v>54</v>
      </c>
      <c r="H981">
        <v>9</v>
      </c>
      <c r="I981">
        <v>16149</v>
      </c>
      <c r="J981">
        <v>0</v>
      </c>
    </row>
    <row r="982" spans="1:11" x14ac:dyDescent="0.3">
      <c r="A982" t="s">
        <v>1039</v>
      </c>
      <c r="B982" s="1">
        <v>45404</v>
      </c>
      <c r="C982" t="s">
        <v>5</v>
      </c>
      <c r="D982" t="s">
        <v>76</v>
      </c>
      <c r="E982" t="s">
        <v>26</v>
      </c>
      <c r="F982" t="s">
        <v>23</v>
      </c>
      <c r="G982" t="s">
        <v>54</v>
      </c>
      <c r="H982">
        <v>7</v>
      </c>
      <c r="I982">
        <v>42578</v>
      </c>
      <c r="J982">
        <v>0.05</v>
      </c>
    </row>
    <row r="983" spans="1:11" x14ac:dyDescent="0.3">
      <c r="A983" t="s">
        <v>1040</v>
      </c>
      <c r="B983" s="1">
        <v>45618</v>
      </c>
      <c r="C983" t="s">
        <v>3</v>
      </c>
      <c r="D983" t="s">
        <v>69</v>
      </c>
      <c r="E983" t="s">
        <v>25</v>
      </c>
      <c r="F983" t="s">
        <v>61</v>
      </c>
      <c r="G983" t="s">
        <v>54</v>
      </c>
      <c r="H983">
        <v>10</v>
      </c>
      <c r="I983">
        <v>42117</v>
      </c>
      <c r="J983">
        <v>0</v>
      </c>
    </row>
    <row r="984" spans="1:11" x14ac:dyDescent="0.3">
      <c r="A984" t="s">
        <v>1041</v>
      </c>
      <c r="B984" s="1">
        <v>45608</v>
      </c>
      <c r="C984" t="s">
        <v>5</v>
      </c>
      <c r="D984" t="s">
        <v>56</v>
      </c>
      <c r="E984" t="s">
        <v>28</v>
      </c>
      <c r="F984" t="s">
        <v>24</v>
      </c>
      <c r="G984" t="s">
        <v>54</v>
      </c>
      <c r="H984">
        <v>4</v>
      </c>
      <c r="I984">
        <v>23171</v>
      </c>
    </row>
    <row r="985" spans="1:11" x14ac:dyDescent="0.3">
      <c r="A985" t="s">
        <v>1042</v>
      </c>
      <c r="B985" s="1">
        <v>45576</v>
      </c>
      <c r="C985" t="s">
        <v>3</v>
      </c>
      <c r="D985" t="s">
        <v>56</v>
      </c>
      <c r="E985" t="s">
        <v>25</v>
      </c>
      <c r="F985" t="s">
        <v>23</v>
      </c>
      <c r="G985" t="s">
        <v>54</v>
      </c>
      <c r="H985">
        <v>6</v>
      </c>
      <c r="I985">
        <v>45708</v>
      </c>
      <c r="J985">
        <v>0</v>
      </c>
    </row>
    <row r="986" spans="1:11" x14ac:dyDescent="0.3">
      <c r="A986" t="s">
        <v>1043</v>
      </c>
      <c r="B986" s="1">
        <v>45428</v>
      </c>
      <c r="C986" t="s">
        <v>3</v>
      </c>
      <c r="D986" t="s">
        <v>64</v>
      </c>
      <c r="E986" t="s">
        <v>28</v>
      </c>
      <c r="F986" t="s">
        <v>22</v>
      </c>
      <c r="G986" t="s">
        <v>51</v>
      </c>
      <c r="H986">
        <v>9</v>
      </c>
      <c r="I986">
        <v>41435</v>
      </c>
      <c r="J986">
        <v>0</v>
      </c>
      <c r="K986">
        <v>20244</v>
      </c>
    </row>
    <row r="987" spans="1:11" x14ac:dyDescent="0.3">
      <c r="A987" t="s">
        <v>1044</v>
      </c>
      <c r="B987" s="1">
        <v>45476</v>
      </c>
      <c r="C987" t="s">
        <v>5</v>
      </c>
      <c r="D987" t="s">
        <v>56</v>
      </c>
      <c r="E987" t="s">
        <v>27</v>
      </c>
      <c r="F987" t="s">
        <v>22</v>
      </c>
      <c r="G987" t="s">
        <v>51</v>
      </c>
      <c r="H987">
        <v>2</v>
      </c>
      <c r="I987">
        <v>19098</v>
      </c>
      <c r="J987">
        <v>0.05</v>
      </c>
    </row>
    <row r="988" spans="1:11" x14ac:dyDescent="0.3">
      <c r="A988" t="s">
        <v>1045</v>
      </c>
      <c r="B988" s="1">
        <v>45370</v>
      </c>
      <c r="C988" t="s">
        <v>4</v>
      </c>
      <c r="D988" t="s">
        <v>53</v>
      </c>
      <c r="E988" t="s">
        <v>28</v>
      </c>
      <c r="F988" t="s">
        <v>24</v>
      </c>
      <c r="G988" t="s">
        <v>54</v>
      </c>
      <c r="H988">
        <v>7</v>
      </c>
      <c r="I988">
        <v>11430</v>
      </c>
    </row>
    <row r="989" spans="1:11" x14ac:dyDescent="0.3">
      <c r="A989" t="s">
        <v>1046</v>
      </c>
      <c r="B989" s="1">
        <v>45488</v>
      </c>
      <c r="C989" t="s">
        <v>3</v>
      </c>
      <c r="D989" t="s">
        <v>69</v>
      </c>
      <c r="E989" t="s">
        <v>26</v>
      </c>
      <c r="F989" t="s">
        <v>61</v>
      </c>
      <c r="G989" t="s">
        <v>54</v>
      </c>
      <c r="H989">
        <v>10</v>
      </c>
      <c r="I989">
        <v>8474</v>
      </c>
      <c r="J989">
        <v>0</v>
      </c>
    </row>
    <row r="990" spans="1:11" x14ac:dyDescent="0.3">
      <c r="A990" t="s">
        <v>1047</v>
      </c>
      <c r="B990" s="1">
        <v>45579</v>
      </c>
      <c r="C990" t="s">
        <v>6</v>
      </c>
      <c r="D990" t="s">
        <v>56</v>
      </c>
      <c r="E990" t="s">
        <v>28</v>
      </c>
      <c r="F990" t="s">
        <v>58</v>
      </c>
      <c r="G990" t="s">
        <v>54</v>
      </c>
      <c r="H990">
        <v>4</v>
      </c>
      <c r="I990">
        <v>13622</v>
      </c>
      <c r="J990">
        <v>0</v>
      </c>
      <c r="K990">
        <v>29153</v>
      </c>
    </row>
    <row r="991" spans="1:11" x14ac:dyDescent="0.3">
      <c r="A991" t="s">
        <v>1048</v>
      </c>
      <c r="B991" s="1">
        <v>45363</v>
      </c>
      <c r="C991" t="s">
        <v>4</v>
      </c>
      <c r="D991" t="s">
        <v>49</v>
      </c>
      <c r="E991" t="s">
        <v>27</v>
      </c>
      <c r="F991" t="s">
        <v>24</v>
      </c>
      <c r="G991" t="s">
        <v>54</v>
      </c>
      <c r="H991">
        <v>7</v>
      </c>
      <c r="I991">
        <v>22512</v>
      </c>
      <c r="J991">
        <v>0.1</v>
      </c>
    </row>
    <row r="992" spans="1:11" x14ac:dyDescent="0.3">
      <c r="A992" t="s">
        <v>1049</v>
      </c>
      <c r="B992" s="1">
        <v>45351</v>
      </c>
      <c r="C992" t="s">
        <v>4</v>
      </c>
      <c r="D992" t="s">
        <v>69</v>
      </c>
      <c r="E992" t="s">
        <v>25</v>
      </c>
      <c r="F992" t="s">
        <v>22</v>
      </c>
      <c r="G992" t="s">
        <v>51</v>
      </c>
      <c r="H992">
        <v>8</v>
      </c>
      <c r="I992">
        <v>42298</v>
      </c>
      <c r="J992">
        <v>0.1</v>
      </c>
      <c r="K992">
        <v>8454</v>
      </c>
    </row>
    <row r="993" spans="1:11" x14ac:dyDescent="0.3">
      <c r="A993" t="s">
        <v>1050</v>
      </c>
      <c r="B993" s="1">
        <v>45612</v>
      </c>
      <c r="C993" t="s">
        <v>6</v>
      </c>
      <c r="D993" t="s">
        <v>76</v>
      </c>
      <c r="E993" t="s">
        <v>27</v>
      </c>
      <c r="F993" t="s">
        <v>58</v>
      </c>
      <c r="G993" t="s">
        <v>54</v>
      </c>
      <c r="H993">
        <v>3</v>
      </c>
      <c r="I993">
        <v>2302</v>
      </c>
    </row>
    <row r="994" spans="1:11" x14ac:dyDescent="0.3">
      <c r="A994" t="s">
        <v>1051</v>
      </c>
      <c r="B994" s="1">
        <v>45460</v>
      </c>
      <c r="C994" t="s">
        <v>6</v>
      </c>
      <c r="D994" t="s">
        <v>53</v>
      </c>
      <c r="E994" t="s">
        <v>29</v>
      </c>
      <c r="F994" t="s">
        <v>22</v>
      </c>
      <c r="G994" t="s">
        <v>51</v>
      </c>
      <c r="H994">
        <v>4</v>
      </c>
      <c r="I994">
        <v>21041</v>
      </c>
      <c r="J994">
        <v>0</v>
      </c>
      <c r="K994">
        <v>25106</v>
      </c>
    </row>
    <row r="995" spans="1:11" x14ac:dyDescent="0.3">
      <c r="A995" t="s">
        <v>1052</v>
      </c>
      <c r="B995" s="1">
        <v>45513</v>
      </c>
      <c r="C995" t="s">
        <v>6</v>
      </c>
      <c r="D995" t="s">
        <v>49</v>
      </c>
      <c r="E995" t="s">
        <v>27</v>
      </c>
      <c r="F995" t="s">
        <v>61</v>
      </c>
      <c r="G995" t="s">
        <v>54</v>
      </c>
      <c r="H995">
        <v>5</v>
      </c>
      <c r="I995">
        <v>8789</v>
      </c>
      <c r="J995">
        <v>0</v>
      </c>
    </row>
    <row r="996" spans="1:11" x14ac:dyDescent="0.3">
      <c r="A996" t="s">
        <v>1053</v>
      </c>
      <c r="B996" s="1">
        <v>45583</v>
      </c>
      <c r="C996" t="s">
        <v>6</v>
      </c>
      <c r="D996" t="s">
        <v>76</v>
      </c>
      <c r="E996" t="s">
        <v>28</v>
      </c>
      <c r="F996" t="s">
        <v>24</v>
      </c>
      <c r="G996" t="s">
        <v>54</v>
      </c>
      <c r="H996">
        <v>7</v>
      </c>
      <c r="I996">
        <v>39046</v>
      </c>
      <c r="J996">
        <v>0.1</v>
      </c>
    </row>
    <row r="997" spans="1:11" x14ac:dyDescent="0.3">
      <c r="A997" t="s">
        <v>1054</v>
      </c>
      <c r="B997" s="1">
        <v>45602</v>
      </c>
      <c r="C997" t="s">
        <v>6</v>
      </c>
      <c r="D997" t="s">
        <v>56</v>
      </c>
      <c r="E997" t="s">
        <v>29</v>
      </c>
      <c r="F997" t="s">
        <v>24</v>
      </c>
      <c r="G997" t="s">
        <v>54</v>
      </c>
      <c r="H997">
        <v>5</v>
      </c>
      <c r="I997">
        <v>28936</v>
      </c>
      <c r="J997">
        <v>0</v>
      </c>
      <c r="K997">
        <v>5165</v>
      </c>
    </row>
    <row r="998" spans="1:11" x14ac:dyDescent="0.3">
      <c r="A998" t="s">
        <v>1055</v>
      </c>
      <c r="B998" s="1">
        <v>45458</v>
      </c>
      <c r="C998" t="s">
        <v>6</v>
      </c>
      <c r="D998" t="s">
        <v>53</v>
      </c>
      <c r="E998" t="s">
        <v>29</v>
      </c>
      <c r="F998" t="s">
        <v>23</v>
      </c>
      <c r="G998" t="s">
        <v>54</v>
      </c>
      <c r="H998">
        <v>5</v>
      </c>
      <c r="I998">
        <v>28430</v>
      </c>
      <c r="J998">
        <v>0.1</v>
      </c>
      <c r="K998">
        <v>17430</v>
      </c>
    </row>
    <row r="999" spans="1:11" x14ac:dyDescent="0.3">
      <c r="A999" t="s">
        <v>1056</v>
      </c>
      <c r="B999" s="1">
        <v>45603</v>
      </c>
      <c r="C999" t="s">
        <v>3</v>
      </c>
      <c r="D999" t="s">
        <v>53</v>
      </c>
      <c r="E999" t="s">
        <v>29</v>
      </c>
      <c r="F999" t="s">
        <v>58</v>
      </c>
      <c r="G999" t="s">
        <v>54</v>
      </c>
      <c r="H999">
        <v>2</v>
      </c>
      <c r="I999">
        <v>14971</v>
      </c>
      <c r="J999">
        <v>0.05</v>
      </c>
    </row>
    <row r="1000" spans="1:11" x14ac:dyDescent="0.3">
      <c r="A1000" t="s">
        <v>1057</v>
      </c>
      <c r="B1000" s="1">
        <v>45310</v>
      </c>
      <c r="C1000" t="s">
        <v>6</v>
      </c>
      <c r="D1000" t="s">
        <v>49</v>
      </c>
      <c r="E1000" t="s">
        <v>29</v>
      </c>
      <c r="F1000" t="s">
        <v>50</v>
      </c>
      <c r="G1000" t="s">
        <v>51</v>
      </c>
      <c r="H1000">
        <v>6</v>
      </c>
      <c r="I1000">
        <v>38354</v>
      </c>
    </row>
    <row r="1001" spans="1:11" x14ac:dyDescent="0.3">
      <c r="A1001" t="s">
        <v>1058</v>
      </c>
      <c r="B1001" s="1">
        <v>45444</v>
      </c>
      <c r="C1001" t="s">
        <v>5</v>
      </c>
      <c r="D1001" t="s">
        <v>64</v>
      </c>
      <c r="E1001" t="s">
        <v>27</v>
      </c>
      <c r="F1001" t="s">
        <v>22</v>
      </c>
      <c r="G1001" t="s">
        <v>51</v>
      </c>
      <c r="H1001">
        <v>1</v>
      </c>
      <c r="I1001">
        <v>7888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A2" sqref="A2:A7"/>
    </sheetView>
  </sheetViews>
  <sheetFormatPr defaultRowHeight="14.4" x14ac:dyDescent="0.3"/>
  <cols>
    <col min="1" max="1" width="7.6640625" bestFit="1" customWidth="1"/>
    <col min="2" max="2" width="9.88671875" bestFit="1" customWidth="1"/>
    <col min="3" max="3" width="6" bestFit="1" customWidth="1"/>
  </cols>
  <sheetData>
    <row r="1" spans="1:3" x14ac:dyDescent="0.3">
      <c r="A1" t="s">
        <v>35</v>
      </c>
      <c r="B1" t="s">
        <v>37</v>
      </c>
      <c r="C1" t="s">
        <v>1059</v>
      </c>
    </row>
    <row r="2" spans="1:3" x14ac:dyDescent="0.3">
      <c r="A2" t="s">
        <v>23</v>
      </c>
      <c r="B2" t="s">
        <v>54</v>
      </c>
      <c r="C2">
        <v>19265</v>
      </c>
    </row>
    <row r="3" spans="1:3" x14ac:dyDescent="0.3">
      <c r="A3" t="s">
        <v>24</v>
      </c>
      <c r="B3" t="s">
        <v>54</v>
      </c>
      <c r="C3">
        <v>28046</v>
      </c>
    </row>
    <row r="4" spans="1:3" x14ac:dyDescent="0.3">
      <c r="A4" t="s">
        <v>50</v>
      </c>
      <c r="B4" t="s">
        <v>51</v>
      </c>
      <c r="C4">
        <v>13271</v>
      </c>
    </row>
    <row r="5" spans="1:3" x14ac:dyDescent="0.3">
      <c r="A5" t="s">
        <v>22</v>
      </c>
      <c r="B5" t="s">
        <v>51</v>
      </c>
      <c r="C5">
        <v>13040</v>
      </c>
    </row>
    <row r="6" spans="1:3" x14ac:dyDescent="0.3">
      <c r="A6" t="s">
        <v>61</v>
      </c>
      <c r="B6" t="s">
        <v>54</v>
      </c>
      <c r="C6">
        <v>7384</v>
      </c>
    </row>
    <row r="7" spans="1:3" x14ac:dyDescent="0.3">
      <c r="A7" t="s">
        <v>58</v>
      </c>
      <c r="B7" t="s">
        <v>54</v>
      </c>
      <c r="C7">
        <v>2888</v>
      </c>
    </row>
    <row r="9" spans="1:3" x14ac:dyDescent="0.3">
      <c r="A9" t="s">
        <v>0</v>
      </c>
      <c r="B9" t="s">
        <v>1060</v>
      </c>
    </row>
    <row r="10" spans="1:3" x14ac:dyDescent="0.3">
      <c r="A10" t="s">
        <v>6</v>
      </c>
      <c r="B10">
        <v>484968</v>
      </c>
    </row>
    <row r="11" spans="1:3" x14ac:dyDescent="0.3">
      <c r="A11" t="s">
        <v>5</v>
      </c>
      <c r="B11">
        <v>302462</v>
      </c>
    </row>
    <row r="12" spans="1:3" x14ac:dyDescent="0.3">
      <c r="A12" t="s">
        <v>4</v>
      </c>
      <c r="B12">
        <v>574404</v>
      </c>
    </row>
    <row r="13" spans="1:3" x14ac:dyDescent="0.3">
      <c r="A13" t="s">
        <v>3</v>
      </c>
      <c r="B13">
        <v>539344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Pivot_Region</vt:lpstr>
      <vt:lpstr>Pivot_Monthly</vt:lpstr>
      <vt:lpstr>Pivot_Top_Products</vt:lpstr>
      <vt:lpstr>Pivot_Salesperson</vt:lpstr>
      <vt:lpstr>Dashboard</vt:lpstr>
      <vt:lpstr>Cleaned_Data</vt:lpstr>
      <vt:lpstr>Raw_Data</vt:lpstr>
      <vt:lpstr>Lookup_Tables</vt:lpstr>
      <vt:lpstr>Lookup_Tables!Category</vt:lpstr>
      <vt:lpstr>Category</vt:lpstr>
      <vt:lpstr>Category_Fetched</vt:lpstr>
      <vt:lpstr>Cost</vt:lpstr>
      <vt:lpstr>Cost_Price</vt:lpstr>
      <vt:lpstr>Discount</vt:lpstr>
      <vt:lpstr>Discount_Fixed</vt:lpstr>
      <vt:lpstr>Order_Date</vt:lpstr>
      <vt:lpstr>Order_ID</vt:lpstr>
      <vt:lpstr>Lookup_Tables!Product</vt:lpstr>
      <vt:lpstr>Product</vt:lpstr>
      <vt:lpstr>Quantity</vt:lpstr>
      <vt:lpstr>Lookup_Tables!Region</vt:lpstr>
      <vt:lpstr>Region</vt:lpstr>
      <vt:lpstr>Salesperson</vt:lpstr>
      <vt:lpstr>State</vt:lpstr>
      <vt:lpstr>Target</vt:lpstr>
      <vt:lpstr>Unit_Price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Devendra Patil</cp:lastModifiedBy>
  <cp:revision/>
  <dcterms:created xsi:type="dcterms:W3CDTF">2026-01-17T12:35:31Z</dcterms:created>
  <dcterms:modified xsi:type="dcterms:W3CDTF">2026-01-17T16:26:38Z</dcterms:modified>
  <cp:category/>
  <cp:contentStatus/>
</cp:coreProperties>
</file>